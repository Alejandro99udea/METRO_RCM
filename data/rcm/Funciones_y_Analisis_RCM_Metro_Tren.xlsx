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ciones" sheetId="1" r:id="rId4"/>
    <sheet state="visible" name="Análisis RCM" sheetId="2" r:id="rId5"/>
    <sheet state="visible" name="Calificación consecuencia" sheetId="3" r:id="rId6"/>
  </sheets>
  <definedNames>
    <definedName hidden="1" localSheetId="0" name="_xlnm._FilterDatabase">Funciones!$A$1:$W$372</definedName>
    <definedName hidden="1" localSheetId="1" name="_xlnm._FilterDatabase">'Análisis RCM'!$A$1:$V$1610</definedName>
    <definedName hidden="1" localSheetId="2" name="_xlnm._FilterDatabase">'Calificación consecuencia'!$A$2:$K$2</definedName>
  </definedNames>
  <calcPr/>
  <extLst>
    <ext uri="GoogleSheetsCustomDataVersion2">
      <go:sheetsCustomData xmlns:go="http://customooxmlschemas.google.com/" r:id="rId7" roundtripDataChecksum="8gRn88lBxW0WQUSBpt9ARBQ8WeYm7vGdVLS3iN1Q6AI="/>
    </ext>
  </extLst>
</workbook>
</file>

<file path=xl/sharedStrings.xml><?xml version="1.0" encoding="utf-8"?>
<sst xmlns="http://schemas.openxmlformats.org/spreadsheetml/2006/main" count="30411" uniqueCount="5209">
  <si>
    <t>ELEMENTO DE ESTUDIO</t>
  </si>
  <si>
    <t>ID FUNCIÓN</t>
  </si>
  <si>
    <t>ID</t>
  </si>
  <si>
    <t>VERBO</t>
  </si>
  <si>
    <t>OBJETO</t>
  </si>
  <si>
    <t>ESTÁNDAR</t>
  </si>
  <si>
    <t>UNIDAD</t>
  </si>
  <si>
    <t>MODO DE FALLA</t>
  </si>
  <si>
    <t>FUNCIÓN</t>
  </si>
  <si>
    <t>SEGURIDAD
(1-4, peso 0,384)</t>
  </si>
  <si>
    <t>TIPO DE FUNCIÓN</t>
  </si>
  <si>
    <t>FALLA FUNCIONAL</t>
  </si>
  <si>
    <t>IMPACTO A LA OPERACIÓN
(1-4, peso 0,18)</t>
  </si>
  <si>
    <t>ID ELEMENTO (TAG)</t>
  </si>
  <si>
    <t>CONTINUIDAD OPERACIONAL
(1-4, peso 0,24)</t>
  </si>
  <si>
    <t>FUENTE</t>
  </si>
  <si>
    <t>EFECTOS DE FALLA</t>
  </si>
  <si>
    <t>COSTO DE REPARACIÓN
(1-4, peso 0,096)</t>
  </si>
  <si>
    <t>OBSERVACIÓN</t>
  </si>
  <si>
    <t>FALLA POTENCIAL</t>
  </si>
  <si>
    <t>IMPACTO AMBIENTAL
(1-4, peso 0,1)</t>
  </si>
  <si>
    <t>CONSECUENCIA</t>
  </si>
  <si>
    <t>CONSECUENCIA PONDERADA</t>
  </si>
  <si>
    <t>DENOMINACIÓN EN TAXONOMÍA</t>
  </si>
  <si>
    <t>CRITERIOS MÁS CRÍTICOS</t>
  </si>
  <si>
    <t>PROBABILIDAD DE FALLA
(1-4)</t>
  </si>
  <si>
    <t>1A
¿El modo de falla es evidente para la tripulación/operador bajo condiciones normales de operación?</t>
  </si>
  <si>
    <t>ÍNDICE DE CRITICIDAD
(consecuencia ponderada × probabilidad)</t>
  </si>
  <si>
    <t>TAGS CUBIERTOS</t>
  </si>
  <si>
    <t>1B
¿Se puede definir una tarea de búsqueda de falla técnicamente factible que revele la falla oculta y sea rentable realizarla a un intervalo adecuado?</t>
  </si>
  <si>
    <t>N.º ELEMENTOS CUBIERTOS</t>
  </si>
  <si>
    <t>1C
¿La falla oculta combinada con una segunda falla tiene graves consecuencias de seguridad o medio ambiente?</t>
  </si>
  <si>
    <t>CATEGORÍA RCM</t>
  </si>
  <si>
    <t>TIPO P/S</t>
  </si>
  <si>
    <t>2A
¿La falla tiene consecuencias de seguridad o medio ambiente (incumple regulaciones, lesiona personal, causa daño ambiental)?</t>
  </si>
  <si>
    <t>VISIBILIDAD</t>
  </si>
  <si>
    <t>MÉTODO DE VERIFICACIÓN</t>
  </si>
  <si>
    <t>3A
¿Existe una tarea proactiva (CBM, basada en tiempo/uso) técnicamente factible que pueda mitigar la probabilidad de la falla a un nivel aceptable?</t>
  </si>
  <si>
    <t>BASE DEL ESTÁNDAR</t>
  </si>
  <si>
    <t>4A
¿La falla tiene consecuencias operacionales (afecta producción, eficiencia, calidad, servicio al cliente)?</t>
  </si>
  <si>
    <t>ID ANTERIORES (EXCEL ORIGINAL)</t>
  </si>
  <si>
    <t>5A
¿Existe una tarea de mantenimiento basado en condición (CBM) técnicamente factible y rentable?</t>
  </si>
  <si>
    <t>DEFINICIÓN DEL ELEMENTO (punto de partida de la función)</t>
  </si>
  <si>
    <t>5B
¿Existe una tarea de restauración o reemplazo programado (basada en tiempo/uso) técnicamente factible y rentable?</t>
  </si>
  <si>
    <t>FUENTE DE LA DEFINICIÓN</t>
  </si>
  <si>
    <t>FUNCIÓN ANTERIOR (tu versión)</t>
  </si>
  <si>
    <t>5C
¿El costo de la falla (pérdida de producción + reparación) es aceptable si la falla ocurre?</t>
  </si>
  <si>
    <t>F-MET-001</t>
  </si>
  <si>
    <t>6A
¿El costo total del mantenimiento proactivo (inspecciones, paradas) es menor que el costo total de esperar a que falle y repararlo?</t>
  </si>
  <si>
    <t>Vehículo de pasajeros</t>
  </si>
  <si>
    <t>6B
¿Existe una tarea CBM o basada en tiempo/uso técnicamente factible?</t>
  </si>
  <si>
    <t>RESULTADO DEL ÁRBOL</t>
  </si>
  <si>
    <t>A. Tren inmovilizado por disparo del breaker principal</t>
  </si>
  <si>
    <t>TIPO DE MANTENIMIENTO</t>
  </si>
  <si>
    <t>actividad</t>
  </si>
  <si>
    <t>Transportar</t>
  </si>
  <si>
    <t>pasajeros</t>
  </si>
  <si>
    <t xml:space="preserve">frecuencia (meses) </t>
  </si>
  <si>
    <t>hasta 300</t>
  </si>
  <si>
    <t>RESPONSABLE</t>
  </si>
  <si>
    <t>por coche</t>
  </si>
  <si>
    <t>Significativa – Operación</t>
  </si>
  <si>
    <t>MET-MRO-VPA001</t>
  </si>
  <si>
    <t>Wikipedia</t>
  </si>
  <si>
    <t>Confirmar con ficha CAF/MAN.</t>
  </si>
  <si>
    <t>|MET-MRO-VPA001|</t>
  </si>
  <si>
    <t>Operación</t>
  </si>
  <si>
    <t>Primaria</t>
  </si>
  <si>
    <t>Evidente</t>
  </si>
  <si>
    <t>Ficha</t>
  </si>
  <si>
    <t>CONTEXTO OPERACIONAL</t>
  </si>
  <si>
    <t>Nueva (dato medible del estudio)</t>
  </si>
  <si>
    <t>Sistema de puertas de viajeros</t>
  </si>
  <si>
    <t>F-MET-004</t>
  </si>
  <si>
    <t>Bloquear</t>
  </si>
  <si>
    <t>la tracción</t>
  </si>
  <si>
    <t>con 0</t>
  </si>
  <si>
    <t>arranques con puerta abierta</t>
  </si>
  <si>
    <t>No transporta pasajeros. La función se pierde por completo: no se cumple ningún punto del estándar. Estándar: hasta 300 por coche (contexto operacional: Wikipedia). Se verifica con: ficha.</t>
  </si>
  <si>
    <t>Significativa – Seguridad/Ambiental</t>
  </si>
  <si>
    <t>MET-MRO-VPA001-PUE</t>
  </si>
  <si>
    <t>Sistema de Puertas de Viajeros</t>
  </si>
  <si>
    <t>1. Local: El breaker principal se dispara y abre el circuito de potencia de alta tensión del tren.
2. En el equipo: Los convertidores y motores de tracción quedan sin alimentación y el tren pierde tracción. El tren se detiene en línea o no sale de patio y el centro de control recibe la novedad de tren inmovilizado.
3. General: El tren sale de circulación y los pasajeros no se transportan hasta que se restablece la alimentación.</t>
  </si>
  <si>
    <t>|MET-MRO-VPA001-PUE|</t>
  </si>
  <si>
    <t>No hay una condición detectable que avise con anticipación: el breaker principal dispara de forma súbita. Se detecta con: prueba funcional programada; registro de eventos y alarmas del equipo.</t>
  </si>
  <si>
    <t>Seguridad</t>
  </si>
  <si>
    <t>Secundaria</t>
  </si>
  <si>
    <t>Oculta</t>
  </si>
  <si>
    <t>Comprobación de seguridad (PM-2012 pág. 20)</t>
  </si>
  <si>
    <t>NORMA</t>
  </si>
  <si>
    <t>F-MET-007</t>
  </si>
  <si>
    <t>F-MET-005</t>
  </si>
  <si>
    <t>Permitir</t>
  </si>
  <si>
    <t>el intercambio de pasajeros</t>
  </si>
  <si>
    <t>con 24</t>
  </si>
  <si>
    <t>puertas operativas</t>
  </si>
  <si>
    <t>Nombre del equipo en SAP (IW43_2021-28092026.xlsx)</t>
  </si>
  <si>
    <t>24 puertas por unidad (PV01–PV24 en SAP).</t>
  </si>
  <si>
    <t>Protocolo C.E8.92.203</t>
  </si>
  <si>
    <t>DISEÑO</t>
  </si>
  <si>
    <t>Sistema de frenos</t>
  </si>
  <si>
    <t>F-MET-006</t>
  </si>
  <si>
    <t>Frenar</t>
  </si>
  <si>
    <t>el tren</t>
  </si>
  <si>
    <t xml:space="preserve">en una distancia máxima de 30 </t>
  </si>
  <si>
    <t xml:space="preserve">m </t>
  </si>
  <si>
    <t>MET-MRO-VPA001-FRE</t>
  </si>
  <si>
    <t>Funciones validadas del proyecto (HTML de funciones)</t>
  </si>
  <si>
    <t>Sistema de Frenos</t>
  </si>
  <si>
    <t>|MET-MRO-VPA001-FRE|</t>
  </si>
  <si>
    <t>Protocolo C.E8.92.302</t>
  </si>
  <si>
    <t>FABRICANTE</t>
  </si>
  <si>
    <t>F-MET-011</t>
  </si>
  <si>
    <t>Impacto a la operación; Continuidad operacional</t>
  </si>
  <si>
    <t>A. Tren inmovilizado por pérdida de presión en el circuito principal de aire</t>
  </si>
  <si>
    <t>Detener</t>
  </si>
  <si>
    <t>Sí</t>
  </si>
  <si>
    <t>F-MET-012</t>
  </si>
  <si>
    <t>F-MET-008</t>
  </si>
  <si>
    <t>Inmovilizar</t>
  </si>
  <si>
    <t>No</t>
  </si>
  <si>
    <t>con carga de 203</t>
  </si>
  <si>
    <t>t en pendiente de 3 %</t>
  </si>
  <si>
    <t>sustitición cíclica</t>
  </si>
  <si>
    <t>A. Coche dañado por impacto con un obstáculo en la vía</t>
  </si>
  <si>
    <t>Cambio de breaker</t>
  </si>
  <si>
    <t>Masa estimada 203,4 t: tara 118 t + 1.220 pasajeros × 70 kg. Fuerza de retención en pendiente de 3 %: 59,9 kN (65,8 kN con margen de 10 %). Falta: confirmar la pendiente máxima de la red con el Metro.</t>
  </si>
  <si>
    <t>técnico electricista</t>
  </si>
  <si>
    <t>Prueba de estacionamiento</t>
  </si>
  <si>
    <t>F-MET-013</t>
  </si>
  <si>
    <t>Sistema de tracción</t>
  </si>
  <si>
    <t>F-MET-018</t>
  </si>
  <si>
    <t>Alcanzar</t>
  </si>
  <si>
    <t>una velocidad máxima</t>
  </si>
  <si>
    <t>entre 78 y 80</t>
  </si>
  <si>
    <t>km/h</t>
  </si>
  <si>
    <t>A. Módulo de potencia del convertidor disparado por ducto de aire obstruido</t>
  </si>
  <si>
    <t>MET-MRO-VPA001-TRA</t>
  </si>
  <si>
    <t>Sistema de Traccion</t>
  </si>
  <si>
    <t>|MET-MRO-VPA001-TRA|</t>
  </si>
  <si>
    <t>Protocolo C.E8.92.301</t>
  </si>
  <si>
    <t>F-MET-024</t>
  </si>
  <si>
    <t>F-MET-019</t>
  </si>
  <si>
    <t>Entregar</t>
  </si>
  <si>
    <t>el par de tracción</t>
  </si>
  <si>
    <t>en arranque entre _____ y _____</t>
  </si>
  <si>
    <t>N·m</t>
  </si>
  <si>
    <t>A. Contactos del breaker principal picados por arco eléctrico repetido</t>
  </si>
  <si>
    <t>Falta: aceleración de arranque (ficha). Referencia típica de metro 0,9–1,1 m/s² (no validada). | Revisión 27/10: la función pasó de aceleración (0,9–1,1 m/s²) a par de tracción en N·m; los valores de par quedan por confirmar con el fabricante.</t>
  </si>
  <si>
    <t>Protocolo C.E8.92.301; lectura del par en el registro del convertidor</t>
  </si>
  <si>
    <t>Sistema de aire</t>
  </si>
  <si>
    <t>F-MET-022</t>
  </si>
  <si>
    <t>Mantener</t>
  </si>
  <si>
    <t>la presión</t>
  </si>
  <si>
    <t>del depósito principal entre 8,5 y 10</t>
  </si>
  <si>
    <t>bar</t>
  </si>
  <si>
    <t>B. Coche aislado por puertas bloqueadas</t>
  </si>
  <si>
    <t>MET-MRO-VPA001-AIR</t>
  </si>
  <si>
    <t>Falta: presiones de conexión/desconexión. Referencia típica de metro: entre 8,5 y 10 bar (no validada).</t>
  </si>
  <si>
    <t>Sistema de Aire</t>
  </si>
  <si>
    <t>|MET-MRO-VPA001-AIR|</t>
  </si>
  <si>
    <t>Manómetro doble B15</t>
  </si>
  <si>
    <t>F-MET-028</t>
  </si>
  <si>
    <t>F-MET-023</t>
  </si>
  <si>
    <t>Contener</t>
  </si>
  <si>
    <t>el aire</t>
  </si>
  <si>
    <t>del circuito principal con caída máxima de 0,2</t>
  </si>
  <si>
    <t>B. Freno del coche aplicado por distribuidor KE atascado en posición de apretado</t>
  </si>
  <si>
    <t>bar en 5 min</t>
  </si>
  <si>
    <t>1. Local: Se pierde presión en el circuito principal de aire: el compresor no alcanza a reponer el aire y la presión cae por debajo del mínimo de operación.
2. En el equipo: Los equipos neumáticos (freno, puertas, suspensión) no reciben la presión de trabajo; el freno se aplica por baja presión. El tren se inmoviliza con el freno aplicado y no puede arrancar.
3. General: El tren sale de circulación hasta recuperar la presión del circuito.</t>
  </si>
  <si>
    <t>Mayor tiempo de recarga o presión que no se sostiene en el circuito principal de aire. Se detecta con: lectura de manómetros; prueba de caída de presión del circuito.</t>
  </si>
  <si>
    <t>Significativa – Mantenimiento</t>
  </si>
  <si>
    <t>Falta: caída admisible (ficha). Referencia típica ≤ 0,2 bar en 5 min.</t>
  </si>
  <si>
    <t>Contención</t>
  </si>
  <si>
    <t>Prueba de estanqueidad con compresores parados</t>
  </si>
  <si>
    <t>Secador de aire (×2) · B0700</t>
  </si>
  <si>
    <t>F-MET-026</t>
  </si>
  <si>
    <t>Secar</t>
  </si>
  <si>
    <t>el aire comprimido</t>
  </si>
  <si>
    <t>con punto de rocío máximo de +3</t>
  </si>
  <si>
    <t>°C</t>
  </si>
  <si>
    <t>MET-MAU-B0700-AIR-SAI01</t>
  </si>
  <si>
    <t>ISO 8573-1</t>
  </si>
  <si>
    <t>Clase 4 ISO 8573-1 como referencia; confirmar con el fabricante.</t>
  </si>
  <si>
    <t>Secador DE Aire</t>
  </si>
  <si>
    <t>A. Lazo de puertas cerradas en cortocircuito por aislamiento del cable dañado</t>
  </si>
  <si>
    <t>|MET-MAU-B0700-AIR-SAI01|MET-MAU-B0700-AIR-SCO01|</t>
  </si>
  <si>
    <t>Protección</t>
  </si>
  <si>
    <t>Purga diaria de calderines sin agua</t>
  </si>
  <si>
    <t>F-MET-057, F-MET-058</t>
  </si>
  <si>
    <t>Bomba hidráulica (×4) · B0700</t>
  </si>
  <si>
    <t>F-MET-027</t>
  </si>
  <si>
    <t>Suministrar</t>
  </si>
  <si>
    <t>caudal de aceite</t>
  </si>
  <si>
    <t>[ESTÁNDAR POR CONFIRMAR]</t>
  </si>
  <si>
    <t>Tarea proactiva obligatoria: basada en condición (CBM)</t>
  </si>
  <si>
    <t>Predictivo (basado en condición)</t>
  </si>
  <si>
    <t>MET-MAU-B0700-AVA-BEM01</t>
  </si>
  <si>
    <t>A. Relé de puertas cerradas pegado por contactos soldados</t>
  </si>
  <si>
    <t>Falta: caudal nominal (placa de la bomba).</t>
  </si>
  <si>
    <t>Bomba Avance Embolos Axiales</t>
  </si>
  <si>
    <t>|MET-MAU-B0700-AVA-BEM01|MET-MAU-B0700-AVA-BOB01|MET-MAU-B0700-AVA-BOP01|MET-MAU-B0700-AVA-BOP02|</t>
  </si>
  <si>
    <t>Caudalímetro / tiempos de ciclo</t>
  </si>
  <si>
    <t>F-MET-059, F-MET-061, F-MET-062, F-MET-063</t>
  </si>
  <si>
    <t>Generar</t>
  </si>
  <si>
    <t>presión hidráulica</t>
  </si>
  <si>
    <t>Falta: presión de trabajo (placa / esquema hidráulico).</t>
  </si>
  <si>
    <t>A. Final de carrera de puerta desajustado por vibración</t>
  </si>
  <si>
    <t>Manómetro</t>
  </si>
  <si>
    <t>Bomba Manual · B0700</t>
  </si>
  <si>
    <t>F-MET-029</t>
  </si>
  <si>
    <t>caudal de emergencia</t>
  </si>
  <si>
    <t>1. Local: El coche golpea un obstáculo en la vía y su caja recibe el impacto; se deforman o rompen los elementos de la estructura y de los equipos de la zona golpeada.
2. En el equipo: El coche queda con daño estructural y con equipos de la zona afectada fuera de funcionamiento. El tren no puede continuar su recorrido y se detiene en el sitio.
3. General: El tren sale de circulación y el servicio se interrumpe hasta retirarlo de la vía.</t>
  </si>
  <si>
    <t>No hay una condición detectable que avise con anticipación: el impacto con el obstáculo es un evento súbito y externo. Se detecta con: inspección visual de la vía y registro de eventos del tren.</t>
  </si>
  <si>
    <t>MET-MAU-B0700-AVA-BMA01</t>
  </si>
  <si>
    <t>Falta: el caudal y la presión de emergencia.</t>
  </si>
  <si>
    <t>Bomba Manual</t>
  </si>
  <si>
    <t>|MET-MAU-B0700-AVA-BMA01|</t>
  </si>
  <si>
    <t>Prueba funcional de la bomba manual</t>
  </si>
  <si>
    <t>F-MET-060</t>
  </si>
  <si>
    <t>A. Contacto del relé de puertas sulfatado por humedad en el conector</t>
  </si>
  <si>
    <t>Compresor A/C Hidráulico · B0700</t>
  </si>
  <si>
    <t>F-MET-031</t>
  </si>
  <si>
    <t>caudal de aire</t>
  </si>
  <si>
    <t>MET-MAU-B0700-AVA-COH01</t>
  </si>
  <si>
    <t>Falta: el caudal y la presión nominales del compresor (ficha del compresor).</t>
  </si>
  <si>
    <t>Compresor A/C Hidráulico</t>
  </si>
  <si>
    <t>|MET-MAU-B0700-AVA-COH01|</t>
  </si>
  <si>
    <t>Tiempo de llenado de calderines</t>
  </si>
  <si>
    <t>F-MET-064</t>
  </si>
  <si>
    <t>Rediseño</t>
  </si>
  <si>
    <t>F-MET-032</t>
  </si>
  <si>
    <t>Comprimir</t>
  </si>
  <si>
    <t>el refrigerante</t>
  </si>
  <si>
    <t>A. Conector de puerta flojo por vibración</t>
  </si>
  <si>
    <t>Falta: presiones de alta/baja.</t>
  </si>
  <si>
    <t>Manómetros de servicio</t>
  </si>
  <si>
    <t>Intercambiador Aire-aceite · B0700</t>
  </si>
  <si>
    <t>F-MET-033</t>
  </si>
  <si>
    <t>la temperatura del aceite hidráulico</t>
  </si>
  <si>
    <t>por debajo de 80</t>
  </si>
  <si>
    <t>MET-MAU-B0700-AVA-INA01</t>
  </si>
  <si>
    <t>B. Final de carrera de puerta desajustado por vibración</t>
  </si>
  <si>
    <t>Falta: temperatura máxima del aceite hidráulico.</t>
  </si>
  <si>
    <t>Intercambiador Aire-aceite</t>
  </si>
  <si>
    <t>|MET-MAU-B0700-AVA-INA01|</t>
  </si>
  <si>
    <t>1. Local: Los ductos de aire del convertidor se obstruyen y el módulo de potencia se sobrecalienta hasta que su protección térmica lo dispara.
2. En el equipo: El convertidor deja de entregar potencia a los motores y el tren pierde tracción. El conductor reporta paradas y arranques no programados sin una causa fija, porque el módulo se rearma al enfriarse y se vuelve a disparar.
3. General: Se afecta el cumplimiento de los tiempos de recorrido y se afecta el servicio del tren.</t>
  </si>
  <si>
    <t>Pérdida de potencia y caída de presión o de caudal en el módulo de potencia del convertidor por ducto de aire obstruido. Se detecta con: lectura de presión y de presión diferencial; inspección del filtro y del circuito.</t>
  </si>
  <si>
    <t>Termómetro</t>
  </si>
  <si>
    <t>F-MET-065</t>
  </si>
  <si>
    <t>Bogie (×2) · B0700</t>
  </si>
  <si>
    <t>F-MET-041</t>
  </si>
  <si>
    <t>Soportar</t>
  </si>
  <si>
    <t>la carga vertical</t>
  </si>
  <si>
    <t>de 18</t>
  </si>
  <si>
    <t>t por bogie</t>
  </si>
  <si>
    <t>MET-MAU-B0700-BOI-BMO01</t>
  </si>
  <si>
    <t>Falta: carga por bogie.</t>
  </si>
  <si>
    <t>Bogie Motriz</t>
  </si>
  <si>
    <t>|MET-MAU-B0700-BOI-BMO01|MET-MAU-B0700-BOI-BPO01|</t>
  </si>
  <si>
    <t>Soporte</t>
  </si>
  <si>
    <t>Pesaje</t>
  </si>
  <si>
    <t>B. Cableado de supervisión cortado por rozamiento con la estructura de la puerta</t>
  </si>
  <si>
    <t>F-MET-074, F-MET-076</t>
  </si>
  <si>
    <t>F-MET-042</t>
  </si>
  <si>
    <t>Impedir</t>
  </si>
  <si>
    <t>el remonte de pestaña</t>
  </si>
  <si>
    <t>con cota qR ≥ 6,5</t>
  </si>
  <si>
    <t>mm</t>
  </si>
  <si>
    <t>TSI LOC&amp;PAS / OTIF UTP LOC&amp;PAS, tablas 1 y 2</t>
  </si>
  <si>
    <t>qR: cota de la cara activa de la pestaña (galga de perfil).</t>
  </si>
  <si>
    <t>Galga de perfil</t>
  </si>
  <si>
    <t>F-MET-075, F-MET-077</t>
  </si>
  <si>
    <t>Cabina (×3) · B0700</t>
  </si>
  <si>
    <t>F-MET-044</t>
  </si>
  <si>
    <t>A. Línea de aire de puertas despresurizada por fuga en el racor principal</t>
  </si>
  <si>
    <t>la entrada de agua</t>
  </si>
  <si>
    <t>filtraciones</t>
  </si>
  <si>
    <t>MET-MAU-B0700-CAJ-CABI01</t>
  </si>
  <si>
    <t>Manual de Mantenimiento DR1227 Plasser &amp; Theurer DIC-40 (WS6761) – p.81</t>
  </si>
  <si>
    <t>Valor del manual DR1227 de la DIC-40 (máquina Plasser equivalente); validar con el manual de esta máquina.</t>
  </si>
  <si>
    <t>Cabina Trabajo</t>
  </si>
  <si>
    <t>|MET-MAU-B0700-CAJ-CABI01|MET-MAU-B0700-CAJ-CBI01|MET-MAU-B0700-CAJ-CDE01|</t>
  </si>
  <si>
    <t>1. Local: Los contactos del breaker principal se pican por los arcos repetidos: la superficie de contacto se reduce y la resistencia de paso aumenta.
2. En el equipo: El breaker se calienta y su apertura o cierre se vuelve inestable; la alimentación de alta tensión se interrumpe de forma intermitente. El conductor reporta paradas y arranques no programados sin una causa fija.
3. General: El servicio se interrumpe de forma repetida y el tren termina fuera de circulación.</t>
  </si>
  <si>
    <t>No hay una condición detectable que avise con anticipación: los contactos del breaker principal dejan de funcionar de forma súbita. Se detecta con: prueba funcional programada; registro de eventos y alarmas del equipo.</t>
  </si>
  <si>
    <t>Control visual anual de juntas de goma</t>
  </si>
  <si>
    <t>F-MET-078, F-MET-079, F-MET-080</t>
  </si>
  <si>
    <t>Caja Baterias · B0700</t>
  </si>
  <si>
    <t>F-MET-047</t>
  </si>
  <si>
    <t>la corriente de arranque</t>
  </si>
  <si>
    <t>con tensión mínima de 19,2</t>
  </si>
  <si>
    <t>V</t>
  </si>
  <si>
    <t>A. Unidad de control de puertas (DCU) bloqueada por bloqueo del programa de control</t>
  </si>
  <si>
    <t>MET-MAU-B0700-ELE-CAJB01</t>
  </si>
  <si>
    <t>Falta: tensión y capacidad (placa).</t>
  </si>
  <si>
    <t>Caja Baterias</t>
  </si>
  <si>
    <t>|MET-MAU-B0700-ELE-CAJB01|</t>
  </si>
  <si>
    <t>Voltímetro</t>
  </si>
  <si>
    <t>F-MET-082</t>
  </si>
  <si>
    <t>F-MET-901</t>
  </si>
  <si>
    <t>Almacenar</t>
  </si>
  <si>
    <t>energía eléctrica</t>
  </si>
  <si>
    <t>Función agregada en la revisión 27/10. Mismo estándar de tensión que la función existente del activo.</t>
  </si>
  <si>
    <t>Nueva (solicitada en la revisión)</t>
  </si>
  <si>
    <t>B. Motor de puerta quemado por roce del carro de la puerta</t>
  </si>
  <si>
    <t>Función nueva: no existía en la versión anterior</t>
  </si>
  <si>
    <t>Sistema Frenos · B0700</t>
  </si>
  <si>
    <t>F-MET-050</t>
  </si>
  <si>
    <t>Transporta menos de 300 pasajeros por coche. Estándar: hasta 300 por coche (contexto operacional: Wikipedia). Se verifica con: ficha.</t>
  </si>
  <si>
    <t>Presurizar</t>
  </si>
  <si>
    <t>los cilindros de freno</t>
  </si>
  <si>
    <t>entre 3,7 y 3,9</t>
  </si>
  <si>
    <t>1. Local: Una o más puertas del coche quedan bloqueadas, no abren y se aíslan del sistema.
2. En el equipo: Las puertas aisladas no se utilizan para el ingreso ni la salida y el coche queda con menos accesos. El coche sale con capacidad reducida y la ocupación se limita por debajo de los 300 pasajeros.
3. General: El tren transporta menos pasajeros por viaje y los tiempos de parada en estación se alargan.</t>
  </si>
  <si>
    <t>Puertas con apertura o cierre cada vez más lentos y errores de cierre repetidos en el pupitre del conductor. Se detecta con: revisión del registro de fallas de puertas; medición de tiempos de ciclo.</t>
  </si>
  <si>
    <t>MET-MAU-B0700-FRN</t>
  </si>
  <si>
    <t>UIC 540</t>
  </si>
  <si>
    <t>Presión de freno a fondo del freno automático UIC 540 (3,8 ± 0,1 bar).</t>
  </si>
  <si>
    <t>Sistema Frenos</t>
  </si>
  <si>
    <t>|MET-MAU-B0700-FRN|</t>
  </si>
  <si>
    <t>Bomba Lubricación · B0700</t>
  </si>
  <si>
    <t>F-MET-055</t>
  </si>
  <si>
    <t>Lubricar</t>
  </si>
  <si>
    <t>los puntos de engrase</t>
  </si>
  <si>
    <t>a un máximo de 15</t>
  </si>
  <si>
    <t>Significativa – Económica</t>
  </si>
  <si>
    <t>MET-MAU-B0700-LUB-BLU01</t>
  </si>
  <si>
    <t>B. Hoja de puerta trabada por guía deformada</t>
  </si>
  <si>
    <t>Manual de Mantenimiento DR1227 Plasser &amp; Theurer DIC-40 (WS6761) – p.38</t>
  </si>
  <si>
    <t>Criterio del manual Plasser (DR1227).</t>
  </si>
  <si>
    <t>Bomba Lubricación</t>
  </si>
  <si>
    <t>|MET-MAU-B0700-LUB-BLU01|</t>
  </si>
  <si>
    <t>Manómetro de la bomba</t>
  </si>
  <si>
    <t>F-MET-086</t>
  </si>
  <si>
    <t>Caja Twindisc AM365 Acoplamientos · B0700</t>
  </si>
  <si>
    <t>F-MET-061</t>
  </si>
  <si>
    <t>Transmitir</t>
  </si>
  <si>
    <t>el par motriz</t>
  </si>
  <si>
    <t>hasta 2.300</t>
  </si>
  <si>
    <t>N.m</t>
  </si>
  <si>
    <t>Continuidad operacional; Impacto a la operación</t>
  </si>
  <si>
    <t>MET-MAU-B0700-TRC-CTW01</t>
  </si>
  <si>
    <t>hasta 2.300 N.m</t>
  </si>
  <si>
    <t>Caja Twindisc AM365 Acoplamientos</t>
  </si>
  <si>
    <t>|MET-MAU-B0700-TRC-CTW01|</t>
  </si>
  <si>
    <t>B. Detector de obstáculo descalibrado por suciedad en el sensor</t>
  </si>
  <si>
    <t>Tarea CBM programada</t>
  </si>
  <si>
    <t>Prueba de tracción</t>
  </si>
  <si>
    <t>F-MET-094</t>
  </si>
  <si>
    <t>Motor Deutz TCD2015V8 Power Pack · B0700</t>
  </si>
  <si>
    <t>potencia mecánica</t>
  </si>
  <si>
    <t>en un rango de 490 a 510</t>
  </si>
  <si>
    <t>kW</t>
  </si>
  <si>
    <t>MET-MAU-B0700-TRC-MOP01</t>
  </si>
  <si>
    <t>DEUTZ</t>
  </si>
  <si>
    <t>potencia mecánica en un rago de 490 kW a 510 kW.</t>
  </si>
  <si>
    <t>Motor Deutz TCD2015V8 Power Pack</t>
  </si>
  <si>
    <t>|MET-MAU-B0700-TRC-MOP01|</t>
  </si>
  <si>
    <t>Banco / opacímetro / registro ECU</t>
  </si>
  <si>
    <t>F-MET-095</t>
  </si>
  <si>
    <t>Transmisión Cardan · B0700</t>
  </si>
  <si>
    <t>B. Tarjeta de control de puerta inestable por soldaduras fatigadas</t>
  </si>
  <si>
    <t>F-MET-069</t>
  </si>
  <si>
    <t xml:space="preserve">torque al eje </t>
  </si>
  <si>
    <t>hasta 2.500</t>
  </si>
  <si>
    <t>MET-MAU-B0700-TRC-TCA01</t>
  </si>
  <si>
    <t xml:space="preserve"> hasta 2.500 N.m</t>
  </si>
  <si>
    <t>Transmisión Cardan</t>
  </si>
  <si>
    <t>|MET-MAU-B0700-TRC-TCA01|</t>
  </si>
  <si>
    <t>1. Local: El distribuidor KE queda atascado en la posición de apretado y mantiene aire en los cilindros del freno del coche.
2. En el equipo: Las zapatas permanecen aplicadas contra la rueda aunque el conductor suelte el freno. El coche se aísla del tren o debe operar con el freno arrastrando y con menor ocupación.
3. General: La capacidad de transporte del tren se limita y los tiempos de recorrido aumentan.</t>
  </si>
  <si>
    <t>Control de juego y vibración mensual (DR1227 pág. 104)</t>
  </si>
  <si>
    <t>Respuesta más lenta o movimiento duro del freno del coche antes de quedar trabado. Se detecta con: prueba funcional; medición de tiempos de ciclo.</t>
  </si>
  <si>
    <t>F-MET-096</t>
  </si>
  <si>
    <t>Compresor (×2) · B3011</t>
  </si>
  <si>
    <t>F-MET-911</t>
  </si>
  <si>
    <t>a una presión de _____</t>
  </si>
  <si>
    <t>MET-MAU-B3011-AIR-COM01</t>
  </si>
  <si>
    <t>Función agregada en la revisión 27/10. Falta: presión de trabajo en bar (placa del compresor); si se prefiere psi, cambiar la unidad.</t>
  </si>
  <si>
    <t>Compresor 1 BT-3011</t>
  </si>
  <si>
    <t>|MET-MAU-B3011-AIR-COM01|MET-MAU-B3011-AIR-COM02|</t>
  </si>
  <si>
    <t>Lectura del manómetro y tiempo de llenado de calderines</t>
  </si>
  <si>
    <t>F-MET-072</t>
  </si>
  <si>
    <t>aire</t>
  </si>
  <si>
    <t>con caudal de 980 a 1.020</t>
  </si>
  <si>
    <t>A. Válvula distribuidora de freno atascada por contaminación del émbolo con partículas</t>
  </si>
  <si>
    <t>L/min</t>
  </si>
  <si>
    <t xml:space="preserve"> caudal de 980 a 1.020 L/min. | Revisión 27/10: la función principal pasó a ser comprimir el aire (nueva función de presión); esta queda como secundaria.</t>
  </si>
  <si>
    <t>F-MET-097, F-MET-098</t>
  </si>
  <si>
    <t>A. Manguera del conducto general rota por envejecimiento del caucho</t>
  </si>
  <si>
    <t>Secador de Aire BT-3011 · B3011</t>
  </si>
  <si>
    <t>F-MET-076</t>
  </si>
  <si>
    <t>MET-MAU-B3011-AIR-SAI01</t>
  </si>
  <si>
    <t>Secador DE Aire BT-3011</t>
  </si>
  <si>
    <t>|MET-MAU-B3011-AIR-SAI01|</t>
  </si>
  <si>
    <t>F-MET-100</t>
  </si>
  <si>
    <t>No bloquea la tracción. La función se pierde por completo: no se cumple ningún punto del estándar. Estándar: con 0 arranques con puerta abierta (norma). Se verifica con: comprobación de seguridad (PM-2012 pág. 20).</t>
  </si>
  <si>
    <t>Unidad hidráulica (×2) · PERFI</t>
  </si>
  <si>
    <t>F-MET-077</t>
  </si>
  <si>
    <t>aceite</t>
  </si>
  <si>
    <t>A. Control de freno de servicio bloqueado por defecto del módulo electrónico</t>
  </si>
  <si>
    <t>con caudal de 38 a 42</t>
  </si>
  <si>
    <t>1. Local: El aislamiento del cable del lazo de puertas cerradas se daña y el lazo se pone en cortocircuito: el circuito siempre indica puertas cerradas, sin importar su estado real.
2. En el equipo: El sistema de mando no recibe la señal de puerta abierta. En servicio no se nota; se descubre en la comprobación de seguridad del lazo de puertas (PM-2012 pág. 20), cuando el tren no se bloquea con una puerta abierta.
3. General: La tracción no se bloquea con puertas abiertas y la función queda sin respaldo de bloqueo hasta la comprobación.</t>
  </si>
  <si>
    <t>Aumento de temperatura, de consumo de corriente o caída de la resistencia de aislamiento del lazo de puertas cerradas. Se detecta con: termografía; medición de corriente; prueba de aislamiento (megóhmetro). Al ser una función oculta no se nota en operación: depende de la inspección o prueba programada.</t>
  </si>
  <si>
    <t>MET-TAL-PERFI-PER-HIA01</t>
  </si>
  <si>
    <t xml:space="preserve"> caudal de 38 a 42 L/min.</t>
  </si>
  <si>
    <t>Unidad Hidraulica</t>
  </si>
  <si>
    <t>|MET-TAL-PERFI-PER-HIA01|MET-TAL-PERFI-PER-HID01|</t>
  </si>
  <si>
    <t>F-MET-1000, F-MET-1001</t>
  </si>
  <si>
    <t>Torno de foso (×2) · PERFI</t>
  </si>
  <si>
    <t>F-MET-084</t>
  </si>
  <si>
    <t>Limitar</t>
  </si>
  <si>
    <t>la excentricidad</t>
  </si>
  <si>
    <t>a un máximo de 0,1</t>
  </si>
  <si>
    <t>B. Zapatas de freno desgastadas por fin de vida útil</t>
  </si>
  <si>
    <t>MET-TAL-PERFI-PER-PER01</t>
  </si>
  <si>
    <t>Hegenscheidt</t>
  </si>
  <si>
    <t>Dato del torno U2000-150 del mismo taller; confirmar si la perfiladora PFR es el mismo equipo.</t>
  </si>
  <si>
    <t>Perfiladora DE Ruedas PFR</t>
  </si>
  <si>
    <t>|MET-TAL-PERFI-PER-PER01|MET-TAL-PERFI-PER-PER02|</t>
  </si>
  <si>
    <t>Medición integrada</t>
  </si>
  <si>
    <t>FUENTE TÉCNICA</t>
  </si>
  <si>
    <t>F-MET-085</t>
  </si>
  <si>
    <t>Igualar</t>
  </si>
  <si>
    <t>el diámetro en bogie</t>
  </si>
  <si>
    <t>con diferencia máxima de 0,3</t>
  </si>
  <si>
    <t>B. Membrana del cilindro de freno agrietada por envejecimiento</t>
  </si>
  <si>
    <t>Seguridad; Continuidad operacional</t>
  </si>
  <si>
    <t>Potencia PFR · PERFI</t>
  </si>
  <si>
    <t>F-MET-088</t>
  </si>
  <si>
    <t>de 80</t>
  </si>
  <si>
    <t>kVA</t>
  </si>
  <si>
    <t>MET-TAL-PERFI-PER-PON01</t>
  </si>
  <si>
    <t>Potencia PFR</t>
  </si>
  <si>
    <t>|MET-TAL-PERFI-PER-PON01|</t>
  </si>
  <si>
    <t>Medición de demanda</t>
  </si>
  <si>
    <t>B. Timonería de freno desajustada por desgaste de articulaciones</t>
  </si>
  <si>
    <t>F-MET-1007</t>
  </si>
  <si>
    <t>Bomba de Emergencia BT-3011 · B3011</t>
  </si>
  <si>
    <t xml:space="preserve">aceite </t>
  </si>
  <si>
    <t>con un caudal de 13 a 16</t>
  </si>
  <si>
    <t>Tarea de búsqueda de falla programada</t>
  </si>
  <si>
    <t>Detectivo (búsqueda de falla)</t>
  </si>
  <si>
    <t>MET-MAU-B3011-AVA-BMB01</t>
  </si>
  <si>
    <t xml:space="preserve">caudal de 13 a 16 L/min. </t>
  </si>
  <si>
    <t>Bomba DE Emergencia BT-3011</t>
  </si>
  <si>
    <t>|MET-MAU-B3011-AVA-BMB01|</t>
  </si>
  <si>
    <t>Prueba funcional de la bomba de emergencia</t>
  </si>
  <si>
    <t>F-MET-104</t>
  </si>
  <si>
    <t>Motor HD EJE Motriz 1 BT-3011 · B3011</t>
  </si>
  <si>
    <t xml:space="preserve">torque </t>
  </si>
  <si>
    <t>B. Equipo antibloqueo activado por sensor de velocidad sucio</t>
  </si>
  <si>
    <t>hasta 3.500</t>
  </si>
  <si>
    <t>MET-MAU-B3011-AVA-MMO01</t>
  </si>
  <si>
    <t>Torque hasta 3.500 N.m</t>
  </si>
  <si>
    <t>Motor HD EJE Motriz 1 BT-3011</t>
  </si>
  <si>
    <t>|MET-MAU-B3011-AVA-MMO01|</t>
  </si>
  <si>
    <t>F-MET-108</t>
  </si>
  <si>
    <t>Bogie Motriz · B3011</t>
  </si>
  <si>
    <t>carga vertical</t>
  </si>
  <si>
    <t>1. Local: Los contactos del relé de puertas cerradas se sueldan entre sí y el relé queda pegado en posición cerrada.
2. En el equipo: El circuito del lazo de puertas continúa señalando puertas cerradas aunque alguna esté abierta. En servicio no se nota; se descubre en la comprobación de seguridad del lazo de puertas.
3. General: La tracción no se bloquea con puertas abiertas y la función queda sin respaldo de bloqueo.</t>
  </si>
  <si>
    <t>hasta 20</t>
  </si>
  <si>
    <t>toneladas</t>
  </si>
  <si>
    <t>Respuesta más lenta o movimiento duro del relé de puertas cerradas antes de quedar trabado. Se detecta con: prueba funcional; medición de tiempos de ciclo. Al ser una función oculta no se nota en operación: depende de la inspección o prueba programada.</t>
  </si>
  <si>
    <t>MET-MAU-B3011-BOI-BMO01</t>
  </si>
  <si>
    <t>B. Distribuidor de freno pegajoso por grasa endurecida en el émbolo</t>
  </si>
  <si>
    <t>|MET-MAU-B3011-BOI-BMO01|</t>
  </si>
  <si>
    <t>F-MET-117</t>
  </si>
  <si>
    <t>EJE Motriz 2 BT-3011 · B3011</t>
  </si>
  <si>
    <t>F-MET-106</t>
  </si>
  <si>
    <t>la potencia del motor a las ruedas</t>
  </si>
  <si>
    <t>hasta un par de _____</t>
  </si>
  <si>
    <t>MET-MAU-B3011-BOI-MOZ01</t>
  </si>
  <si>
    <t>Falta: carga por eje. | Revisión 27/10: la función pasó de soportar la carga por eje (16 t) a recibir la potencia del motor y transmitirla a las ruedas; par por confirmar con el fabricante.</t>
  </si>
  <si>
    <t>EJE Motriz 2 BT-3011</t>
  </si>
  <si>
    <t>|MET-MAU-B3011-BOI-MOZ01|</t>
  </si>
  <si>
    <t>A. Válvula de emergencia atascada por suciedad en el émbolo</t>
  </si>
  <si>
    <t>Ensayos no destructivos (END) del eje</t>
  </si>
  <si>
    <t>F-MET-119</t>
  </si>
  <si>
    <t>F-MET-107</t>
  </si>
  <si>
    <t>F-MET-118</t>
  </si>
  <si>
    <t>A. Bucle de emergencia interrumpido por roce del cable con la estructura</t>
  </si>
  <si>
    <t>la distancia entre ruedas</t>
  </si>
  <si>
    <t>de 1.357 a 1.363</t>
  </si>
  <si>
    <t>1. Local: El final de carrera de la puerta se desajusta por vibración y deja de accionarse cuando la hoja se abre.
2. En el equipo: El lazo de puertas mantiene la señal de puerta cerrada. En servicio no se nota; se descubre en la comprobación de seguridad del lazo de puertas.
3. General: La tracción no se bloquea con esa puerta abierta.</t>
  </si>
  <si>
    <t>Deriva del final de carrera de puerta frente al valor patrón, con lecturas o ajustes que se van corriendo. Se detecta con: verificación contra patrón calibrado; lectura de parámetros; medición de alineación o vibración. Al ser una función oculta no se nota en operación: depende de la inspección o prueba programada.</t>
  </si>
  <si>
    <t>Distancia entre caras internas; asegura el juego rueda-carril en vía de 1.435 mm. Límite TSI según diámetro: ≥ 1.357 (&gt; 840 mm), 1.358–1.363 (760–840 mm), ≥ 1.359 (≤ 760 mm).</t>
  </si>
  <si>
    <t>Calibre</t>
  </si>
  <si>
    <t>Tanque de Aceite Hidraulico BT-3011 · B3011</t>
  </si>
  <si>
    <t>F-MET-116</t>
  </si>
  <si>
    <t>el aceite hidráulico</t>
  </si>
  <si>
    <t>hasta 150</t>
  </si>
  <si>
    <t>L</t>
  </si>
  <si>
    <t>A. Electroválvula de emergencia desenergizada por bobina quemada</t>
  </si>
  <si>
    <t>MET-MAU-B3011-CAJ-TAH01</t>
  </si>
  <si>
    <t>Falta: volumen del tanque.</t>
  </si>
  <si>
    <t>Tanque DE Aceite Hidraulico BT-3011</t>
  </si>
  <si>
    <t>|MET-MAU-B3011-CAJ-TAH01|</t>
  </si>
  <si>
    <t>Mirilla de nivel</t>
  </si>
  <si>
    <t>F-MET-126</t>
  </si>
  <si>
    <t>Baterias BT-3011 · B3011</t>
  </si>
  <si>
    <t xml:space="preserve">Almacenar </t>
  </si>
  <si>
    <t>hasta 800</t>
  </si>
  <si>
    <t>CCA</t>
  </si>
  <si>
    <t>MET-MAU-B3011-ELE-BTE01</t>
  </si>
  <si>
    <t>Criterio de prueba de carga: 9,6 V por batería de 12 V en sistema de 24 V. Confirmar tensión nominal en la placa. | Revisión 27/10: objeto cambiado de "carga eléctrica" a "energía eléctrica".</t>
  </si>
  <si>
    <t>A. Contacto del bucle de emergencia sulfatado por humedad</t>
  </si>
  <si>
    <t>Baterias BT-3011</t>
  </si>
  <si>
    <t>|MET-MAU-B3011-ELE-BTE01|</t>
  </si>
  <si>
    <t>F-MET-127</t>
  </si>
  <si>
    <t>Generador 28V/140A BT-3011 · B3011</t>
  </si>
  <si>
    <t>F-MET-120</t>
  </si>
  <si>
    <t>corriente de carga</t>
  </si>
  <si>
    <t>de 140</t>
  </si>
  <si>
    <t>A</t>
  </si>
  <si>
    <t>MET-MAU-B3011-ELE-GEE01</t>
  </si>
  <si>
    <t>Valores del nombre del equipo en SAP (Generador 28V/140A).</t>
  </si>
  <si>
    <t>Generador 28V/140A BT-3011</t>
  </si>
  <si>
    <t>|MET-MAU-B3011-ELE-GEE01|</t>
  </si>
  <si>
    <t>Voltímetro / amperímetro</t>
  </si>
  <si>
    <t>F-MET-128</t>
  </si>
  <si>
    <t>A. Relé de emergencia inestable por desgaste de contactos</t>
  </si>
  <si>
    <t>Cilindro DE Freno (×2) · B3011</t>
  </si>
  <si>
    <t>F-MET-125</t>
  </si>
  <si>
    <t>1. Local: El contacto del relé de puertas se sulfata por la humedad que entra al conector y la señal pasa de forma irregular.
2. En el equipo: El lazo de puertas cambia de estado sin patrón. El bloqueo funciona y deja de funcionar sin patrón; solo se detecta por reportes aislados o en prueba.
3. General: La función de bloqueo es poco confiable y no puede asegurarse su actuación en cada arranque.</t>
  </si>
  <si>
    <t>Óxido, picaduras o sulfatación visibles del contacto del relé de puertas. Se detecta con: inspección visual; medición de resistencia de contacto o de tensión en bornes. Al ser una función oculta no se nota en operación: depende de la inspección o prueba programada.</t>
  </si>
  <si>
    <t>MET-MAU-B3011-FRN-CID01</t>
  </si>
  <si>
    <t>Cilindro DE Freno EJE 1</t>
  </si>
  <si>
    <t>|MET-MAU-B3011-FRN-CID01|MET-MAU-B3011-FRN-CIM01|</t>
  </si>
  <si>
    <t>Manómetro en toma de prueba</t>
  </si>
  <si>
    <t>F-MET-132, F-MET-133</t>
  </si>
  <si>
    <t>Timoneria DE Freno (×2) · B3011</t>
  </si>
  <si>
    <t>la fuerza a zapatas</t>
  </si>
  <si>
    <t>con juego de 5 a 7</t>
  </si>
  <si>
    <t>MET-MAU-B3011-FRN-TFR01</t>
  </si>
  <si>
    <t>Manual de Mantenimiento DR1227 Plasser &amp; Theurer DIC-40 (WS6761) – p.51</t>
  </si>
  <si>
    <t>Valor del manual Plasser DR1227; aplicar como referencia en otras máquinas Plasser.</t>
  </si>
  <si>
    <t>Timoneria DE Freno EJE Motriz 1 Y 2</t>
  </si>
  <si>
    <t>|MET-MAU-B3011-FRN-TFR01|MET-MAU-B3011-FRN-TIF01|</t>
  </si>
  <si>
    <t>Medición de juego / prueba de frenado</t>
  </si>
  <si>
    <t>F-MET-136, F-MET-137</t>
  </si>
  <si>
    <t>Carro Tensor Y DE Registro (×2) · B3011</t>
  </si>
  <si>
    <t>F-MET-140</t>
  </si>
  <si>
    <t>Tensar</t>
  </si>
  <si>
    <t>la cuerda de medición</t>
  </si>
  <si>
    <t>con una fuerza de 98 a 105</t>
  </si>
  <si>
    <t>N</t>
  </si>
  <si>
    <t>B. Válvula de emergencia obstruida por filtro con suciedad</t>
  </si>
  <si>
    <t>MET-MAU-B3011-MED-CARR01</t>
  </si>
  <si>
    <t>Falta: tensión de la cuerda.</t>
  </si>
  <si>
    <t>Carro Tensor Y DE Registro Trasero</t>
  </si>
  <si>
    <t>|MET-MAU-B3011-MED-CARR01|MET-MAU-B3011-MED-CTE01|</t>
  </si>
  <si>
    <t>Medición</t>
  </si>
  <si>
    <t>Calibración</t>
  </si>
  <si>
    <t>Caja de Engranaje Distribuidor BT-3011 · B3011</t>
  </si>
  <si>
    <t>F-MET-148</t>
  </si>
  <si>
    <t>1. Local: El conector de la puerta se afloja por vibración y el contacto eléctrico se vuelve intermitente.
2. En el equipo: La señal del lazo de puertas se interrumpe y se restablece sin patrón. El bloqueo funciona y deja de funcionar sin patrón; solo se detecta por reportes aislados o en prueba.
3. General: La función de bloqueo es poco confiable y no puede asegurarse su actuación en cada arranque.</t>
  </si>
  <si>
    <t>Distribuir</t>
  </si>
  <si>
    <t>A. Resorte del freno de estacionamiento roto por fatiga del material</t>
  </si>
  <si>
    <t>el par entre ejes</t>
  </si>
  <si>
    <t>Pérdida de apriete, holgura o marcas de testigo desalineadas del conector de puerta. Se detecta con: control de torque con llave; inspección visual de marcas de testigo. Al ser una función oculta no se nota en operación: depende de la inspección o prueba programada.</t>
  </si>
  <si>
    <t>hasta 1.780</t>
  </si>
  <si>
    <t>MET-MAU-B3011-TRC-CAJA01</t>
  </si>
  <si>
    <t>Falta: la relación de transmisión.</t>
  </si>
  <si>
    <t>Caja DE Engranaje Distribuidor BT-3011</t>
  </si>
  <si>
    <t>|MET-MAU-B3011-TRC-CAJA01|</t>
  </si>
  <si>
    <t>Prueba de tracción / termografía y ruido</t>
  </si>
  <si>
    <t>F-MET-163</t>
  </si>
  <si>
    <t>Motor Diesel KHD BF6M 1015/C Deutz · B3011</t>
  </si>
  <si>
    <t>F-MET-151</t>
  </si>
  <si>
    <t>A. Cilindro de estacionamiento trabado por corrosión del vástago</t>
  </si>
  <si>
    <t>MET-MAU-B3011-TRC-MDE01</t>
  </si>
  <si>
    <t>Potencia nominal del Deutz BF6M1015C según el fabricante.</t>
  </si>
  <si>
    <t>Motor Diesel KHD BF6M 1015/C Deutz</t>
  </si>
  <si>
    <t>|MET-MAU-B3011-TRC-MDE01|</t>
  </si>
  <si>
    <t>Banco / registro</t>
  </si>
  <si>
    <t>F-MET-164</t>
  </si>
  <si>
    <t>F-MET-152</t>
  </si>
  <si>
    <t>Mover</t>
  </si>
  <si>
    <t>Eje</t>
  </si>
  <si>
    <t>de 0 a 1.200</t>
  </si>
  <si>
    <t>rpm</t>
  </si>
  <si>
    <t>A. Válvula de estacionamiento atascada por contaminación</t>
  </si>
  <si>
    <t>Par máximo de 1.978 N·m a 1.200 rpm (Deutz).</t>
  </si>
  <si>
    <t>Banco</t>
  </si>
  <si>
    <t>Bloquea la tracción solo con parte de las puertas supervisadas. Estándar: con 0 arranques con puerta abierta (norma). Se verifica con: comprobación de seguridad (PM-2012 pág. 20).</t>
  </si>
  <si>
    <t>1. Local: El final de carrera de una puerta se desajusta por vibración y no detecta la apertura de esa hoja.
2. En el equipo: El lazo ignora esa puerta; las demás siguen supervisadas. Una puerta abierta no genera bloqueo y la prueba lo revela solo en ese punto.
3. General: El bloqueo de tracción actúa con parte de las puertas y queda sin supervisión la puerta afectada.</t>
  </si>
  <si>
    <t>Locotractor CRAB (×2) · CRA01–CRA02</t>
  </si>
  <si>
    <t>F-MET-157</t>
  </si>
  <si>
    <t>Remolcar</t>
  </si>
  <si>
    <t>vehículos</t>
  </si>
  <si>
    <t>toneladas en sistema de rieles</t>
  </si>
  <si>
    <t>B. Zapatas de estacionamiento desgastadas por fin de vida útil</t>
  </si>
  <si>
    <t>MET-MAU-CRA01</t>
  </si>
  <si>
    <t>Masa remolcable del locotractor CRAB: 300 t. Validar con la placa.</t>
  </si>
  <si>
    <t>Locotractor CRAB-01</t>
  </si>
  <si>
    <t>|MET-MAU-CRA01|MET-MAU-CRA02|</t>
  </si>
  <si>
    <t>Prueba de arrastre</t>
  </si>
  <si>
    <t>Bomba Direccion (×2) · CRA01–CRA02</t>
  </si>
  <si>
    <t>F-MET-158</t>
  </si>
  <si>
    <t>entre 23 y 27</t>
  </si>
  <si>
    <t>B. Resorte del freno de estacionamiento debilitado por fatiga del material</t>
  </si>
  <si>
    <t>MET-MAU-CRA01-AVA-BOD01</t>
  </si>
  <si>
    <t>Caudal nominal de la bomba de dirección. Validar con la placa.</t>
  </si>
  <si>
    <t>Bomba Direccion</t>
  </si>
  <si>
    <t>|MET-MAU-CRA01-AVA-BOD01|MET-MAU-CRA02-AVA-BOD01|</t>
  </si>
  <si>
    <t>F-MET-165, F-MET-173</t>
  </si>
  <si>
    <t>F-MET-159</t>
  </si>
  <si>
    <t>Incrementar</t>
  </si>
  <si>
    <t>Presión máxima del circuito de dirección. Validar con el tarado de la válvula de alivio.</t>
  </si>
  <si>
    <t>A. Convertidor de tracción bloqueado por defecto del módulo de control</t>
  </si>
  <si>
    <t>Cabina (×2) · CRA01–CRA02</t>
  </si>
  <si>
    <t>F-MET-160</t>
  </si>
  <si>
    <t>Sellar</t>
  </si>
  <si>
    <t>la cabina</t>
  </si>
  <si>
    <t>filtraciones en prueba de agua</t>
  </si>
  <si>
    <t>A. Motor de tracción quemado por aislamiento del devanado dañado</t>
  </si>
  <si>
    <t>MET-MAU-CRA01-CAJ-CAI01</t>
  </si>
  <si>
    <t>Cabina</t>
  </si>
  <si>
    <t>|MET-MAU-CRA01-CAJ-CAI01|MET-MAU-CRA02-CAJ-CAI01|</t>
  </si>
  <si>
    <t>1. Local: El cableado de supervisión se corta por el rozamiento con la estructura de la puerta y se pierde la señal de esa puerta.
2. En el equipo: El lazo de puertas deja de recibir la información de esa hoja. Una puerta abierta no genera bloqueo y la prueba lo revela solo en ese punto.
3. General: El bloqueo de tracción actúa con parte de las puertas y queda sin supervisión la puerta afectada.</t>
  </si>
  <si>
    <t>Grietas, resequedad, abultamientos o rozaduras visibles del cableado de supervisión. Se detecta con: inspección visual. Al ser una función oculta no se nota en operación: depende de la inspección o prueba programada.</t>
  </si>
  <si>
    <t>F-MET-166, F-MET-174</t>
  </si>
  <si>
    <t>Banco DE Baterias (×2) · CRA01–CRA02</t>
  </si>
  <si>
    <t>energía</t>
  </si>
  <si>
    <t>B. Motor de tracción aislado por protección térmica disparada</t>
  </si>
  <si>
    <t>de 78 a 82</t>
  </si>
  <si>
    <t>V en corriente directa</t>
  </si>
  <si>
    <t>MET-MAU-CRA01-ELE-BAN01</t>
  </si>
  <si>
    <t>Tensión nominal del banco: 80 V CC.</t>
  </si>
  <si>
    <t>Banco DE Baterias</t>
  </si>
  <si>
    <t>|MET-MAU-CRA01-ELE-BAN01|MET-MAU-CRA02-ELE-BAN01|</t>
  </si>
  <si>
    <t>Ensayo de capacidad</t>
  </si>
  <si>
    <t>F-MET-168, F-MET-176</t>
  </si>
  <si>
    <t>B. Banda del pantógrafo desgastada por fin de vida útil</t>
  </si>
  <si>
    <t>F-MET-902</t>
  </si>
  <si>
    <t>con tensión de 78 a 82</t>
  </si>
  <si>
    <t>D. Banda del pantógrafo desgastada por contacto irregular con el hilo</t>
  </si>
  <si>
    <t>F-MET-843</t>
  </si>
  <si>
    <t>con capacidad de 800</t>
  </si>
  <si>
    <t>Ah</t>
  </si>
  <si>
    <t>Capacidad nominal del banco: 800 Ah. | Revisión 27/10: la función pasó de "Entregar capacidad de carga" a "Almacenar energía eléctrica".</t>
  </si>
  <si>
    <t>D. Sensor de velocidad inestable por conector flojo</t>
  </si>
  <si>
    <t>No permite el intercambio de pasajeros. La función se pierde por completo: no se cumple ningún punto del estándar. Estándar: con 24 puertas operativas (diseño: Nombre del equipo en SAP (IW43_2021-28092026.xlsx)). Se verifica con: protocolo C.E8.92.203.</t>
  </si>
  <si>
    <t>Sistema Frenos (×2) · CRA01–CRA02</t>
  </si>
  <si>
    <t>F-MET-165</t>
  </si>
  <si>
    <t>1. Local: La línea de aire de las puertas se despresuriza por una fuga en el racor principal y el aire llega sin presión a los cilindros de las puertas.
2. En el equipo: Los actuadores neumáticos de las puertas no tienen fuerza para abrir ni cerrar. Ninguna puerta abre o cierra desde cabina y el conductor lo ve en el panel de puertas.
3. General: Los pasajeros no pueden subir ni bajar y el tren detiene su servicio en la estación.</t>
  </si>
  <si>
    <t>Humedad, goteo o pérdida de nivel o de presión alrededor de la línea de aire de puertas. Se detecta con: inspección visual; prueba de estanqueidad; lectura de nivel y presión.</t>
  </si>
  <si>
    <t>A. Convertidor de tracción disparado por sobretemperatura</t>
  </si>
  <si>
    <t>MET-MAU-CRA01-FRN</t>
  </si>
  <si>
    <t>|MET-MAU-CRA01-FRN|MET-MAU-CRA02-FRN|</t>
  </si>
  <si>
    <t>Timonería de freno (×2) · CRA01–CRA02</t>
  </si>
  <si>
    <t>F-MET-166</t>
  </si>
  <si>
    <t>con holgura de 5 a 8</t>
  </si>
  <si>
    <t>A. Controlador de tracción bloqueado por bloqueo del programa de control</t>
  </si>
  <si>
    <t>MET-MAU-CRA01-FRN-TIF01</t>
  </si>
  <si>
    <t>Juego zapata-rueda admisible.</t>
  </si>
  <si>
    <t>Timoneria DE Freno</t>
  </si>
  <si>
    <t>|MET-MAU-CRA01-FRN-TIF01|MET-MAU-CRA02-FRN-TIM01|</t>
  </si>
  <si>
    <t>Medición de juego</t>
  </si>
  <si>
    <t>F-MET-169, F-MET-177</t>
  </si>
  <si>
    <t>Motor Electrico (×2) · CRA01–CRA02</t>
  </si>
  <si>
    <t>F-MET-170</t>
  </si>
  <si>
    <t>potencia</t>
  </si>
  <si>
    <t>de 18 a 22</t>
  </si>
  <si>
    <t>MET-MAU-CRA01-TRC-MEL01</t>
  </si>
  <si>
    <t>Potencia nominal del motor eléctrico del CRAB.</t>
  </si>
  <si>
    <t>Motor Electrico</t>
  </si>
  <si>
    <t>|MET-MAU-CRA01-TRC-MEL01|MET-MAU-CRA02-TRC-MEL01|</t>
  </si>
  <si>
    <t>Placa</t>
  </si>
  <si>
    <t>B. Ventilador del convertidor lento por rodamiento desgastado</t>
  </si>
  <si>
    <t>F-MET-171, F-MET-179</t>
  </si>
  <si>
    <t>Caja Distribuidora (×2) · CRA01–CRA02</t>
  </si>
  <si>
    <t>F-MET-172</t>
  </si>
  <si>
    <t>hasta 4.300</t>
  </si>
  <si>
    <t>MET-MAU-CRA01-TRN-CAJD01</t>
  </si>
  <si>
    <t>Par máximo de salida de la caja distribuidora. Falta: relación de transmisión.</t>
  </si>
  <si>
    <t>Caja Distribuidora</t>
  </si>
  <si>
    <t>1. Local: La unidad de control de puertas (DCU) se bloquea por un bloqueo del programa de control y deja de enviar órdenes a los motores de las puertas.
2. En el equipo: Las puertas no responden a las órdenes de apertura o cierre. Ninguna puerta abre o cierra desde cabina y el conductor lo ve en el panel de puertas.
3. General: Los pasajeros no pueden subir ni bajar y el tren detiene su servicio en la estación.</t>
  </si>
  <si>
    <t>|MET-MAU-CRA01-TRN-CAJD01|MET-MAU-CRA02-TRN-CAJD01|</t>
  </si>
  <si>
    <t>C. Sensor de carga descalibrado por deriva electrónica</t>
  </si>
  <si>
    <t>No hay una condición detectable que avise con anticipación: la unidad de control de puertas (DCU) deja de funcionar de forma súbita. Se detecta con: prueba funcional programada; registro de eventos y alarmas del equipo.</t>
  </si>
  <si>
    <t>F-MET-172, F-MET-180</t>
  </si>
  <si>
    <t>Dresina Grua 851</t>
  </si>
  <si>
    <t>F-MET-175</t>
  </si>
  <si>
    <t>trenes de trabajo</t>
  </si>
  <si>
    <t>hasta 500</t>
  </si>
  <si>
    <t>C. Control de tracción desajustado por pérdida de los parámetros configurados</t>
  </si>
  <si>
    <t>MET-MAU-DG851</t>
  </si>
  <si>
    <t>Falta: masa remolcable (placa).</t>
  </si>
  <si>
    <t>|MET-MAU-DG851|</t>
  </si>
  <si>
    <t>Compresor DG-851</t>
  </si>
  <si>
    <t>F-MET-912</t>
  </si>
  <si>
    <t>D. Contactor de línea picado por desgaste de contactos</t>
  </si>
  <si>
    <t>MET-MAU-DG851-AIR-COM01</t>
  </si>
  <si>
    <t>|MET-MAU-DG851-AIR-COM01|</t>
  </si>
  <si>
    <t>D. Tarjeta de control inestable por soldaduras fatigadas</t>
  </si>
  <si>
    <t>F-MET-176</t>
  </si>
  <si>
    <t>Falta: caudal (placa). | Revisión 27/10: la función principal pasó a ser comprimir el aire (nueva función de presión); esta queda como secundaria.</t>
  </si>
  <si>
    <t>Permite el intercambio de pasajeros con menos de 24 puertas operativas. Estándar: con 24 puertas operativas (diseño: Nombre del equipo en SAP (IW43_2021-28092026.xlsx)). Se verifica con: protocolo C.E8.92.203.</t>
  </si>
  <si>
    <t>A. Tubería de alimentación del depósito principal rota por vibración y corrosión</t>
  </si>
  <si>
    <t>F-MET-181</t>
  </si>
  <si>
    <t>1. Local: El motor de la puerta se quema por el roce del carro de la puerta, que fuerza el motor por encima de su corriente nominal.
2. En el equipo: La puerta afectada no se mueve y el sistema la aísla. El panel de puertas muestra puertas aisladas y los pasajeros lo notan en el andén.
3. General: El coche queda con menos de 24 puertas operativas y el intercambio de pasajeros se hace por menos accesos.</t>
  </si>
  <si>
    <t>Motor Hidraulico DG-851</t>
  </si>
  <si>
    <t>Aumento del consumo de corriente y del esfuerzo para mover el mecanismo, con calentamiento del motor de puerta. Se detecta con: medición de corriente; termografía; revisión del movimiento libre del mecanismo.</t>
  </si>
  <si>
    <t>F-MET-178</t>
  </si>
  <si>
    <t>torque</t>
  </si>
  <si>
    <t>hasta _____</t>
  </si>
  <si>
    <t>MET-MAU-DG851-AVA-MOH01</t>
  </si>
  <si>
    <t>A. Compresor detenido por motor eléctrico quemado</t>
  </si>
  <si>
    <t>Falta: par y velocidad nominal (placa del motor hidráulico).</t>
  </si>
  <si>
    <t>|MET-MAU-DG851-AVA-MOH01|</t>
  </si>
  <si>
    <t>F-MET-182</t>
  </si>
  <si>
    <t>Cabina DG-851</t>
  </si>
  <si>
    <t>F-MET-180</t>
  </si>
  <si>
    <t>MET-MAU-DG851-CAJ-CAI01</t>
  </si>
  <si>
    <t>|MET-MAU-DG851-CAJ-CAI01|</t>
  </si>
  <si>
    <t>F-MET-183</t>
  </si>
  <si>
    <t>Deposito de Combustible DG-851</t>
  </si>
  <si>
    <t>Retener</t>
  </si>
  <si>
    <t>el combustible</t>
  </si>
  <si>
    <t>a presión de prueba de 0,3</t>
  </si>
  <si>
    <t>MET-MAU-DG851-CAJ-DEC01</t>
  </si>
  <si>
    <t>Referencia UNECE R34 (tanques de vehículos); no validada para esta máquina. Vigilancia diaria: inspección visual de goteos.</t>
  </si>
  <si>
    <t>Deposito DE Combustible DG-851</t>
  </si>
  <si>
    <t>|MET-MAU-DG851-CAJ-DEC01|</t>
  </si>
  <si>
    <t>Medio Ambiente</t>
  </si>
  <si>
    <t>Inspección visual</t>
  </si>
  <si>
    <t>DERIVADA TÉCNICAMENTE</t>
  </si>
  <si>
    <t>B. Válvulas del compresor desgastadas por fin de vida útil</t>
  </si>
  <si>
    <t>Banco de Baterias DG-851</t>
  </si>
  <si>
    <t>F-MET-186</t>
  </si>
  <si>
    <t>1. Local: La guía de la hoja de puerta se deforma y la hoja se traba en su recorrido.
2. En el equipo: La puerta afectada no abre ni cierra completamente y se aísla. El panel de puertas muestra puertas aisladas y los pasajeros lo notan en el andén.
3. General: El coche queda con menos de 24 puertas operativas y el intercambio de pasajeros se hace por menos accesos.</t>
  </si>
  <si>
    <t>MET-MAU-DG851-ELE-BAN01</t>
  </si>
  <si>
    <t>Respuesta más lenta o movimiento duro de la hoja de puerta antes de quedar trabado. Se detecta con: prueba funcional; medición de tiempos de ciclo.</t>
  </si>
  <si>
    <t>Criterio de prueba de carga: 9,6 V por batería de 12 V en sistema de 24 V. Confirmar tensión nominal en la placa.</t>
  </si>
  <si>
    <t>B. Racor de la tubería principal flojo por vibración</t>
  </si>
  <si>
    <t>Banco DE Baterias DG-851</t>
  </si>
  <si>
    <t>|MET-MAU-DG851-ELE-BAN01|</t>
  </si>
  <si>
    <t>F-MET-187</t>
  </si>
  <si>
    <t>Brazo Estabilizador DG-851</t>
  </si>
  <si>
    <t>F-MET-191</t>
  </si>
  <si>
    <t xml:space="preserve">Evitar </t>
  </si>
  <si>
    <t xml:space="preserve">el vuelco de la plataforma </t>
  </si>
  <si>
    <t>con momento de 107</t>
  </si>
  <si>
    <t>kN·m</t>
  </si>
  <si>
    <t>MET-MAU-DG851-ELV-BES01</t>
  </si>
  <si>
    <t>Falta: fuerza de apoyo.</t>
  </si>
  <si>
    <t>B. Válvula de seguridad abierta por resorte debilitado</t>
  </si>
  <si>
    <t>|MET-MAU-DG851-ELV-BES01|</t>
  </si>
  <si>
    <t>Prueba funcional</t>
  </si>
  <si>
    <t>F-MET-189</t>
  </si>
  <si>
    <t>Sistema Frenos · DG851</t>
  </si>
  <si>
    <t>F-MET-193</t>
  </si>
  <si>
    <t>C. Presostato del compresor descalibrado por deriva con el tiempo</t>
  </si>
  <si>
    <t>MET-MAU-DG851-FRN</t>
  </si>
  <si>
    <t>|MET-MAU-DG851-FRN|</t>
  </si>
  <si>
    <t>Timoneria de Frenos DG-851</t>
  </si>
  <si>
    <t>F-MET-194</t>
  </si>
  <si>
    <t>C. Válvula de seguridad atascada por corrosión del asiento</t>
  </si>
  <si>
    <t>hasta detener el vehiculo</t>
  </si>
  <si>
    <t>MET-MAU-DG851-FRN-TIM01</t>
  </si>
  <si>
    <t>Falta: juego zapata-rueda del fabricante. Referencia en máquina Plasser: entre 5 y 7 mm.</t>
  </si>
  <si>
    <t>Timoneria DE Frenos DG-851</t>
  </si>
  <si>
    <t>|MET-MAU-DG851-FRN-TIM01|</t>
  </si>
  <si>
    <t>F-MET-190</t>
  </si>
  <si>
    <t>D. Presostato inestable por contactos sulfatados</t>
  </si>
  <si>
    <t>Bomba de Inyeccion DG-851</t>
  </si>
  <si>
    <t>F-MET-198</t>
  </si>
  <si>
    <t>Elevar</t>
  </si>
  <si>
    <t xml:space="preserve">la presión del combustible </t>
  </si>
  <si>
    <t>1. Local: El sensor del detector de obstáculo se ensucia y se descalibra: detecta obstáculos que no existen.
2. En el equipo: La puerta interpreta un obstáculo en cada cierre y reabre. Las puertas abren y cierran con reaperturas que el conductor reporta repetidamente.
3. General: Los cierres se repiten y los tiempos de parada en estación se alargan.</t>
  </si>
  <si>
    <t>D. Electroválvula de descarga pegajosa por suciedad en el asiento</t>
  </si>
  <si>
    <t>Deriva del detector de obstáculo frente al valor patrón, con lecturas o ajustes que se van corriendo. Se detecta con: verificación contra patrón calibrado; lectura de parámetros; medición de alineación o vibración.</t>
  </si>
  <si>
    <t>MET-MAU-DG851-TRC-BIN01</t>
  </si>
  <si>
    <t>Falta: presión de inyección (manual del motor).</t>
  </si>
  <si>
    <t>Bomba DE Inyeccion DG-851</t>
  </si>
  <si>
    <t>|MET-MAU-DG851-TRC-BIN01|</t>
  </si>
  <si>
    <t>Banco de inyección</t>
  </si>
  <si>
    <t>A. Manguera del circuito principal rota por envejecimiento del caucho</t>
  </si>
  <si>
    <t>Bloque Motor DG-851</t>
  </si>
  <si>
    <t>F-MET-199</t>
  </si>
  <si>
    <t>MET-MAU-DG851-TRC-BLO01</t>
  </si>
  <si>
    <t>Falta: potencia nominal y velocidad (placa del motor).</t>
  </si>
  <si>
    <t>A. Depósito de aire fisurado por corrosión</t>
  </si>
  <si>
    <t>|MET-MAU-DG851-TRC-BLO01|</t>
  </si>
  <si>
    <t>Placa del motor</t>
  </si>
  <si>
    <t>Tarea basada en tiempo/uso programada</t>
  </si>
  <si>
    <t>Preventivo (basado en tiempo/uso)</t>
  </si>
  <si>
    <t>Engranaje (×2) · DG851</t>
  </si>
  <si>
    <t>F-MET-204</t>
  </si>
  <si>
    <t>C. Racor del circuito principal flojo por vibración</t>
  </si>
  <si>
    <t>MET-MAU-DG851-TRN-ENM01</t>
  </si>
  <si>
    <t>Falta: par y relación de transmisión.</t>
  </si>
  <si>
    <t>Engranaje EJE Motriz 1 DG-851</t>
  </si>
  <si>
    <t>|MET-MAU-DG851-TRN-ENM01|MET-MAU-DG851-TRN-ENM02|</t>
  </si>
  <si>
    <t>F-MET-196, F-MET-197</t>
  </si>
  <si>
    <t>Dresina Inspeccion de Catenaria Tipo 1</t>
  </si>
  <si>
    <t>F-MET-207</t>
  </si>
  <si>
    <t>C. Empaque de la válvula resecado por envejecimiento</t>
  </si>
  <si>
    <t>Recorrer</t>
  </si>
  <si>
    <t>curvas</t>
  </si>
  <si>
    <t>de radio mínimo de 90</t>
  </si>
  <si>
    <t>m</t>
  </si>
  <si>
    <t>MET-MAU-DIC41</t>
  </si>
  <si>
    <t>Manual de Mantenimiento DR1227 Plasser &amp; Theurer DIC-40 (WS6761) – p.47</t>
  </si>
  <si>
    <t>|MET-MAU-DIC41|</t>
  </si>
  <si>
    <t>1. Local: Las soldaduras de la tarjeta de control de la puerta se fatigan y las pistas pierden contacto de forma intermitente.
2. En el equipo: La tarjeta ordena movimientos incompletos o reaperturas sin causa. Las puertas abren y cierran con reaperturas que el conductor reporta repetidamente.
3. General: Los cierres se repiten y los tiempos de parada en estación se alargan.</t>
  </si>
  <si>
    <t>Lecturas o comportamiento inestables de la tarjeta de control de puerta al vibrar o calentarse. Se detecta con: inspección visual de las soldaduras; prueba funcional bajo vibración; termografía.</t>
  </si>
  <si>
    <t>Prueba en curva</t>
  </si>
  <si>
    <t>C. Válvula de purga abierta por asiento dañado</t>
  </si>
  <si>
    <t>Compresor Aire (×2) · DIC41–DIC42</t>
  </si>
  <si>
    <t>F-MET-913</t>
  </si>
  <si>
    <t>MET-MAU-DIC41-AIR-COP01</t>
  </si>
  <si>
    <t>Compresor Aire</t>
  </si>
  <si>
    <t>C. Junta de racor resecada por ciclos térmicos</t>
  </si>
  <si>
    <t>|MET-MAU-DIC41-AIR-COP01|MET-MAU-DIC42-AIR-COP01|</t>
  </si>
  <si>
    <t>F-MET-210</t>
  </si>
  <si>
    <t>C. Válvula de retención rayada por partículas en el asiento</t>
  </si>
  <si>
    <t>F-MET-199, F-MET-219</t>
  </si>
  <si>
    <t>Bomba DE Traccion (×2) · DIC41–DIC42</t>
  </si>
  <si>
    <t>F-MET-212</t>
  </si>
  <si>
    <t>A. Cartucho desecante saturado por agotamiento del desecante</t>
  </si>
  <si>
    <t>MET-MAU-DIC41-AVA-BOT01</t>
  </si>
  <si>
    <t>Bomba DE Traccion</t>
  </si>
  <si>
    <t>|MET-MAU-DIC41-AVA-BOT01|MET-MAU-DIC42-AVA-BOT01|</t>
  </si>
  <si>
    <t>F-MET-200, F-MET-220</t>
  </si>
  <si>
    <t>A. Válvula de regeneración del secador atascada por contaminación</t>
  </si>
  <si>
    <t>F-MET-213</t>
  </si>
  <si>
    <t>A. Secador apagado por resistencia de calefacción quemada</t>
  </si>
  <si>
    <t>No frena el tren. La función se pierde por completo: no se cumple ningún punto del estándar. Estándar: en una distancia máxima de 247 m desde 80 km/h (fabricante). Se verifica con: protocolo C.E8.92.302.</t>
  </si>
  <si>
    <t>Motor HD (×2) · DIC41–DIC42</t>
  </si>
  <si>
    <t>F-MET-214</t>
  </si>
  <si>
    <t>1. Local: La válvula distribuidora de freno queda atascada por partículas en el émbolo y no deja pasar aire hacia los cilindros.
2. En el equipo: Los cilindros de freno no se presurizan y el manómetro de cilindros no sube. Al aplicar el freno de servicio el tren no se detiene en la distancia prevista.
3. General: El tren pierde su capacidad de frenado de servicio y debe detenerse con otros medios o salir de circulación.</t>
  </si>
  <si>
    <t>par de giro</t>
  </si>
  <si>
    <t>Respuesta más lenta o movimiento duro de la válvula distribuidora de freno antes de quedar trabado. Se detecta con: prueba funcional; medición de tiempos de ciclo.</t>
  </si>
  <si>
    <t>MET-MAU-DIC41-AVA-MMO01</t>
  </si>
  <si>
    <t>Motor HD EJE Motriz 1</t>
  </si>
  <si>
    <t>C. Cartucho desecante degradado por fin de vida útil</t>
  </si>
  <si>
    <t>|MET-MAU-DIC41-AVA-MMO01|MET-MAU-DIC42-AVA-MMO01|</t>
  </si>
  <si>
    <t>F-MET-201, F-MET-221</t>
  </si>
  <si>
    <t>Cabina (×2) · DIC41–DIC42</t>
  </si>
  <si>
    <t>F-MET-216</t>
  </si>
  <si>
    <t>MET-MAU-DIC41-CAJ-CAI01</t>
  </si>
  <si>
    <t>C. Filtro coalescente saturado por aceite del compresor</t>
  </si>
  <si>
    <t>|MET-MAU-DIC41-CAJ-CAI01|MET-MAU-DIC42-CAJ-CAI01|</t>
  </si>
  <si>
    <t>Seguridad; Impacto a la operación</t>
  </si>
  <si>
    <t>F-MET-202, F-MET-222</t>
  </si>
  <si>
    <t>Banco DE Baterias (×2) · DIC41–DIC42</t>
  </si>
  <si>
    <t>F-MET-220</t>
  </si>
  <si>
    <t>C. Válvula de purga automática obstruida por suciedad</t>
  </si>
  <si>
    <t>MET-MAU-DIC41-ELE-BAN01</t>
  </si>
  <si>
    <t>Manual de Mantenimiento DR1227 Plasser &amp; Theurer DIC-40 (WS6761) – p.32</t>
  </si>
  <si>
    <t>|MET-MAU-DIC41-ELE-BAN01|MET-MAU-DIC42-ELE-BAN01|</t>
  </si>
  <si>
    <t>F-MET-204, F-MET-224</t>
  </si>
  <si>
    <t>F-MET-903</t>
  </si>
  <si>
    <t>A. Bomba hidráulica gripada por pérdida de aceite o contaminación del lubricante</t>
  </si>
  <si>
    <t>A. Acople de la bomba roto por desalineación</t>
  </si>
  <si>
    <t>1. Local: La manguera del conducto general se rompe por el envejecimiento del caucho y el aire de mando se escapa por la rotura.
2. En el equipo: La presión del conducto general cae y las válvulas distribuidoras no reciben la orden de aplicar. Al aplicar el freno de servicio el tren no se detiene en la distancia prevista y el manómetro de cilindros no sube.
3. General: El tren pierde su capacidad de frenado de servicio y sale de circulación.</t>
  </si>
  <si>
    <t>Grietas, resequedad, abultamientos o rozaduras visibles de la manguera del conducto general. Se detecta con: inspección visual.</t>
  </si>
  <si>
    <t>Grúa (×2) · DIC41–DIC42</t>
  </si>
  <si>
    <t>F-MET-225</t>
  </si>
  <si>
    <t>las cargas</t>
  </si>
  <si>
    <t>MET-MAU-DIC41-ELV-GRP01</t>
  </si>
  <si>
    <t>Palfinger</t>
  </si>
  <si>
    <t>Grua PK11502 Palfinger</t>
  </si>
  <si>
    <t>|MET-MAU-DIC41-ELV-GRP01|MET-MAU-DIC42-ELV-GRU01|</t>
  </si>
  <si>
    <t>A. Filtro de succión obstruido por suciedad acumulada</t>
  </si>
  <si>
    <t>Diagrama de cargas</t>
  </si>
  <si>
    <t>F-MET-205, F-MET-226</t>
  </si>
  <si>
    <t>Plataforma PIC6500 · DIC41–DIC42</t>
  </si>
  <si>
    <t>F-MET-228</t>
  </si>
  <si>
    <t>material</t>
  </si>
  <si>
    <t>hasta 1.000</t>
  </si>
  <si>
    <t>kg</t>
  </si>
  <si>
    <t>MET-MAU-DIC41-ELV-PLA01</t>
  </si>
  <si>
    <t>B. Bomba hidráulica desgastada por holguras internas</t>
  </si>
  <si>
    <t>Lectura del rótulo en la fotografía del manual: validar.</t>
  </si>
  <si>
    <t>Plataforma PIC6500</t>
  </si>
  <si>
    <t>|MET-MAU-DIC41-ELV-PLA01|</t>
  </si>
  <si>
    <t>Rótulo / control de carga</t>
  </si>
  <si>
    <t>F-MET-206</t>
  </si>
  <si>
    <t>Timoneria DE Frenos (×2) · DIC41–DIC42</t>
  </si>
  <si>
    <t>F-MET-231</t>
  </si>
  <si>
    <t>B. Racor de succión flojo por vibración</t>
  </si>
  <si>
    <t>MET-MAU-DIC41-FRN-TIM01</t>
  </si>
  <si>
    <t>Timoneria DE Frenos</t>
  </si>
  <si>
    <t>|MET-MAU-DIC41-FRN-TIM01|MET-MAU-DIC42-FRN-TIM01|</t>
  </si>
  <si>
    <t>F-MET-207, F-MET-229</t>
  </si>
  <si>
    <t>B. Filtro de succión colmatado por suciedad acumulada</t>
  </si>
  <si>
    <t>Equipo de Medicion sin Contacto · DIC41–DIC42</t>
  </si>
  <si>
    <t>F-MET-236</t>
  </si>
  <si>
    <t>Medir</t>
  </si>
  <si>
    <t>la altura del hilo</t>
  </si>
  <si>
    <t>1. Local: El módulo electrónico del control de freno de servicio se bloquea y deja de emitir la orden de frenado.
2. En el equipo: Las electroválvulas de freno no se activan. Al aplicar el freno de servicio el tren no se detiene en la distancia prevista y el manómetro de cilindros no sube.
3. General: El tren pierde su capacidad de frenado de servicio y sale de circulación.</t>
  </si>
  <si>
    <t>No hay una condición detectable que avise con anticipación: el control de freno de servicio deja de funcionar de forma súbita. Se detecta con: prueba funcional programada; registro de eventos y alarmas del equipo.</t>
  </si>
  <si>
    <t>MET-MAU-DIC41-MED-MEI01</t>
  </si>
  <si>
    <t>Falta: exactitud del sistema de medición.</t>
  </si>
  <si>
    <t>Equipo DE Medicion SIN Contacto</t>
  </si>
  <si>
    <t>|MET-MAU-DIC41-MED-MEI01|</t>
  </si>
  <si>
    <t>B. Bomba hidráulica ruidosa por aire en la succión</t>
  </si>
  <si>
    <t>F-MET-237</t>
  </si>
  <si>
    <t>el descentramiento del hilo</t>
  </si>
  <si>
    <t>con exactitud de ±_____</t>
  </si>
  <si>
    <t>B. Aceite del tanque insuficiente por fuga en manguera</t>
  </si>
  <si>
    <t>Equipo que mide, sin contacto, la altura y el descentramiento del hilo de contacto respecto al eje de la vía.</t>
  </si>
  <si>
    <t>Definición técnica de trabajo (ingeniería ferroviaria)</t>
  </si>
  <si>
    <t>Medir el descentramiento del hilo [ESTÁNDAR POR CONFIRMAR]</t>
  </si>
  <si>
    <t>Pantografo (×2) · DIC41–DIC42</t>
  </si>
  <si>
    <t>F-MET-238</t>
  </si>
  <si>
    <t>la fuerza de contacto</t>
  </si>
  <si>
    <t>de 60 a 140</t>
  </si>
  <si>
    <t>A. Válvula de alivio abierta por resorte roto</t>
  </si>
  <si>
    <t>MET-MAU-DIC41-MED-PAT01</t>
  </si>
  <si>
    <t>Faiveley (Wabtec)</t>
  </si>
  <si>
    <t>Rango de pantógrafos de metro equivalentes; validar con la ficha del pantógrafo de medición.</t>
  </si>
  <si>
    <t>Pantografo</t>
  </si>
  <si>
    <t>|MET-MAU-DIC41-MED-PAT01|MET-MAU-DIC42-MED-PAT01|</t>
  </si>
  <si>
    <t>Dinamómetro</t>
  </si>
  <si>
    <t>F-MET-211, F-MET-232</t>
  </si>
  <si>
    <t>Equipo montado en un vehículo ferroviario para captar corriente de un hilo de contacto o de un riel conductor.</t>
  </si>
  <si>
    <t>ISO/DIS 22575:2024 (borrador), consultada en el glosario de la ERA</t>
  </si>
  <si>
    <t>Mantener la fuerza de contacto de 60 a 140 N</t>
  </si>
  <si>
    <t>Sistema Traccion (×2) · DIC41–DIC42</t>
  </si>
  <si>
    <t>F-MET-240</t>
  </si>
  <si>
    <t>Circular</t>
  </si>
  <si>
    <t>por la vía</t>
  </si>
  <si>
    <t>hasta 40</t>
  </si>
  <si>
    <t>MET-MAU-DIC41-TRC</t>
  </si>
  <si>
    <t>Sistema Traccion</t>
  </si>
  <si>
    <t>|MET-MAU-DIC41-TRC|MET-MAU-DIC42-TRC|</t>
  </si>
  <si>
    <t>Velocímetro</t>
  </si>
  <si>
    <t>A. Manguera hidráulica reventada por fatiga de la malla</t>
  </si>
  <si>
    <t>Conjunto de motor, transmisión y ejes que desarrolla el esfuerzo tractor para desplazar el vehículo.</t>
  </si>
  <si>
    <t>Circular por la vía hasta 40 km/h</t>
  </si>
  <si>
    <t>Motor Diesel (×2) · DIC41–DIC42</t>
  </si>
  <si>
    <t>F-MET-241</t>
  </si>
  <si>
    <t>de _____</t>
  </si>
  <si>
    <t>Frena el tren con distancia de frenado mayor a 247 m desde 80 km/h. Estándar: en una distancia máxima de 247 m desde 80 km/h (fabricante). Se verifica con: protocolo C.E8.92.302.</t>
  </si>
  <si>
    <t>MET-MAU-DIC41-TRC-MOR01</t>
  </si>
  <si>
    <t>1. Local: Las zapatas llegan al final de su vida útil y el material de fricción se agota; baja el coeficiente de fricción contra la rueda.
2. En el equipo: La fuerza de frenado transmitida a la rueda es menor aunque la presión del cilindro sea la correcta. El conductor nota mayor distancia de frenado y la prueba de frenado da una distancia mayor a 247 m desde 80 km/h.
3. General: El tren frena con menos fuerza y requiere más distancia para detenerse.</t>
  </si>
  <si>
    <t>Motor Diesel</t>
  </si>
  <si>
    <t>Pérdida progresiva de material de las zapatas de freno hasta acercarse al límite de desgaste. Se detecta con: medición con calibre, galga o micrómetro; inspección visual.</t>
  </si>
  <si>
    <t>|MET-MAU-DIC41-TRC-MOR01|MET-MAU-DIC42-TRC-MOR01|</t>
  </si>
  <si>
    <t>F-MET-214, F-MET-235</t>
  </si>
  <si>
    <t>Motor de combustión interna de ciclo diésel que convierte la energía química del combustible en potencia mecánica en el eje. Su desempeño se expresa en potencia (kW) y velocidad (rpm).</t>
  </si>
  <si>
    <t>Definición técnica de trabajo; parámetros y unidades según ISO 14224, clase Motores de combustión (kW, rpm)</t>
  </si>
  <si>
    <t>Entregar potencia mecánica [ESTÁNDAR POR CONFIRMAR]</t>
  </si>
  <si>
    <t>Caja DE Engranaje Distribuidor (×2) · DIC41–DIC42</t>
  </si>
  <si>
    <t>F-MET-246</t>
  </si>
  <si>
    <t>B. Válvula de alivio descalibrada por resorte asentado</t>
  </si>
  <si>
    <t>MET-MAU-DIC41-TRN-CAJA01</t>
  </si>
  <si>
    <t>Caja DE Engranaje Distribuidor</t>
  </si>
  <si>
    <t>|MET-MAU-DIC41-TRN-CAJA01|MET-MAU-DIC42-TRN-CAJA01|</t>
  </si>
  <si>
    <t>F-MET-215, F-MET-236</t>
  </si>
  <si>
    <t>Caja de engranajes que reparte el par del motor entre los ejes del vehículo.</t>
  </si>
  <si>
    <t>Distribuir el par entre ejes [ESTÁNDAR POR CONFIRMAR]</t>
  </si>
  <si>
    <t>B. Válvula reguladora inestable por resorte fatigado</t>
  </si>
  <si>
    <t>Eje Tractor (×3) · DIC41–DIC42</t>
  </si>
  <si>
    <t>F-MET-249</t>
  </si>
  <si>
    <t>la carga por eje</t>
  </si>
  <si>
    <t>t</t>
  </si>
  <si>
    <t>MET-MAU-DIC41-TRN-EJT01</t>
  </si>
  <si>
    <t>Falta: carga por eje.</t>
  </si>
  <si>
    <t>Eje Tractor 1</t>
  </si>
  <si>
    <t>|MET-MAU-DIC41-TRN-EJT01|MET-MAU-DIC41-TRN-EJT02|MET-MAU-DIC42-TRN-EJT01|</t>
  </si>
  <si>
    <t>F-MET-216, F-MET-217, F-MET-237</t>
  </si>
  <si>
    <t>Conjunto formado por un par de ruedas y el eje que las une. Los discos de freno y los rodamientos montados sobre el eje o las ruedas se consideran parte del eje montado. En este caso es un eje propulsado: recibe el par del sistema de tracción.</t>
  </si>
  <si>
    <t>C. Válvula de alivio atascada por contaminación del asiento</t>
  </si>
  <si>
    <t>Soportar la carga por eje [ESTÁNDAR POR CONFIRMAR]</t>
  </si>
  <si>
    <t>F-MET-250</t>
  </si>
  <si>
    <t>1. Local: La membrana del cilindro de freno se agrieta por el envejecimiento y deja pasar parte del aire.
2. En el equipo: El cilindro no alcanza toda su presión ni su recorrido, y empuja con menos fuerza. El conductor nota mayor distancia de frenado y la prueba de frenado da una distancia de frenado mayor a la máxima.
3. General: El tren frena con menos fuerza y requiere más distancia para detenerse.</t>
  </si>
  <si>
    <t>Grietas, resequedad, abultamientos o rozaduras visibles de la membrana del cilindro de freno. Se detecta con: inspección visual.</t>
  </si>
  <si>
    <t>A. Bomba manual trabada por corrosión del émbolo</t>
  </si>
  <si>
    <t>Impedir el remonte de pestaña con cota qR ≥ 6,5 mm</t>
  </si>
  <si>
    <t>F-MET-251</t>
  </si>
  <si>
    <t>A. Motor de la bomba de emergencia quemado por humedad en el bobinado</t>
  </si>
  <si>
    <t>Mantener la distancia entre ruedas de 1.357 a 1.363 mm</t>
  </si>
  <si>
    <t>A. Batería de emergencia descargada por fin de vida útil</t>
  </si>
  <si>
    <t>F-MET-252</t>
  </si>
  <si>
    <t>Guiar</t>
  </si>
  <si>
    <t>el eje</t>
  </si>
  <si>
    <t>con pestaña de _____</t>
  </si>
  <si>
    <t>Falta: diámetro de rueda de la máquina para fijar el límite de espesor de pestaña Sd. Límite TSI: 25 a 33 mm (rueda de 760 a 840 mm); 22 a 33 mm (rueda &gt; 840 mm).</t>
  </si>
  <si>
    <t>B. Sellos de la bomba manual desgastados por fin de vida útil</t>
  </si>
  <si>
    <t>Guiar el eje [ESTÁNDAR POR CONFIRMAR]</t>
  </si>
  <si>
    <t>Dresina Inspeccion de Catenaria Tipo 2</t>
  </si>
  <si>
    <t>F-MET-254</t>
  </si>
  <si>
    <t>con radio mínimo de 90</t>
  </si>
  <si>
    <t>1. Local: Las articulaciones de la timonería de freno se desgastan y se genera juego en el mecanismo.
2. En el equipo: Parte del recorrido del cilindro se consume en el juego y la zapata se aplica con menos fuerza. El conductor nota mayor distancia de frenado y la prueba de frenado da una distancia de frenado mayor a la máxima.
3. General: El tren frena con menos fuerza y requiere más distancia para detenerse.</t>
  </si>
  <si>
    <t>Deriva de la timonería de freno frente al valor patrón, con lecturas o ajustes que se van corriendo. Se detecta con: verificación contra patrón calibrado; lectura de parámetros; medición de alineación o vibración.</t>
  </si>
  <si>
    <t>MET-MAU-DIC42</t>
  </si>
  <si>
    <t>B. Filtro de la bomba de emergencia obstruido por suciedad</t>
  </si>
  <si>
    <t>|MET-MAU-DIC42|</t>
  </si>
  <si>
    <t>Vehículo ferroviario de servicio equipado para inspeccionar la catenaria.</t>
  </si>
  <si>
    <t>Recorrer curvas de radio 90 m mínimo</t>
  </si>
  <si>
    <t>Brazo Estabilizador · DIC42</t>
  </si>
  <si>
    <t>F-MET-257</t>
  </si>
  <si>
    <t>Evitar</t>
  </si>
  <si>
    <t>el vuelco de la máquina en izaje</t>
  </si>
  <si>
    <t>con momento de _____</t>
  </si>
  <si>
    <t>A. Motor del compresor quemado por sobrecarga eléctrica</t>
  </si>
  <si>
    <t>MET-MAU-DIC42-ELV-BES01</t>
  </si>
  <si>
    <t>Brazo Estabilizador</t>
  </si>
  <si>
    <t>|MET-MAU-DIC42-ELV-BES01|</t>
  </si>
  <si>
    <t>Apoyo extensible que fija la máquina durante el izaje para evitar el vuelco.</t>
  </si>
  <si>
    <t>Estabilizar la máquina en izaje [ESTÁNDAR POR CONFIRMAR]</t>
  </si>
  <si>
    <t>A. Correa del compresor rota por fatiga</t>
  </si>
  <si>
    <t>Enganche Automatico Alliance · DIC41–DIC42</t>
  </si>
  <si>
    <t>F-MET-258</t>
  </si>
  <si>
    <t>Acoplar</t>
  </si>
  <si>
    <t>con tracción de _____</t>
  </si>
  <si>
    <t>kN</t>
  </si>
  <si>
    <t>MET-MAU-DIC42-ENA-EAL01</t>
  </si>
  <si>
    <t>Falta: resistencia del enganche Alliance.</t>
  </si>
  <si>
    <t>Enganche Automatico Alliance</t>
  </si>
  <si>
    <t>|MET-MAU-DIC42-ENA-EAL01|</t>
  </si>
  <si>
    <t>Interfaz</t>
  </si>
  <si>
    <t>Prueba de acople</t>
  </si>
  <si>
    <t>A. Compresor gripado por pérdida de la película lubricante</t>
  </si>
  <si>
    <t>F-MET-227</t>
  </si>
  <si>
    <t>Equipo montado en el vehículo para conectar vehículos ferroviarios, transferir los esfuerzos de tracción y frenado y disipar la energía de compresión. Es un dispositivo mecánico que, opcionalmente, también transfiere potencia, datos o aire entre vehículos. El tipo automático acopla al aproximar los vehículos, sin maniobra manual.</t>
  </si>
  <si>
    <t>Acoplar vehículos [ESTÁNDAR POR CONFIRMAR]</t>
  </si>
  <si>
    <t>F-MET-260</t>
  </si>
  <si>
    <t>1. Local: El sensor de velocidad se ensucia y entrega señales erróneas al equipo antibloqueo, que activa el alivio de freno sin que las ruedas estén deslizando.
2. En el equipo: El freno se libera y se reaplica de forma intermitente. El freno responde con retardos o saltos que el conductor reporta como frenado errático.
3. General: El tren recorre más distancia hasta detenerse y con una respuesta irregular.</t>
  </si>
  <si>
    <t>la altura del enganche</t>
  </si>
  <si>
    <t>entre _____ y _____</t>
  </si>
  <si>
    <t>Lecturas erráticas del sensor asociado del equipo antibloqueo. Se detecta con: lectura de la señal del sensor con equipo de diagnóstico; inspección visual.</t>
  </si>
  <si>
    <t>Falta: altura nominal y tolerancia.</t>
  </si>
  <si>
    <t>Medición cada 500 h (DR1227 pág. 77)</t>
  </si>
  <si>
    <t>Mantener la altura del enganche [ESTÁNDAR POR CONFIRMAR]</t>
  </si>
  <si>
    <t>Locomotora DIC70</t>
  </si>
  <si>
    <t>F-MET-261</t>
  </si>
  <si>
    <t>B. Filtro de admisión obstruido por polvo acumulado</t>
  </si>
  <si>
    <t>MET-MAU-DIC70</t>
  </si>
  <si>
    <t>|MET-MAU-DIC70|</t>
  </si>
  <si>
    <t>Vehículo ferroviario motorizado destinado a remolcar trenes o vagones; su capacidad se expresa como masa remolcable (t) y esfuerzo tractor (kN).</t>
  </si>
  <si>
    <t>Remolcar trenes de trabajo [ESTÁNDAR POR CONFIRMAR]</t>
  </si>
  <si>
    <t>B. Anillos del pistón desgastados por fin de vida útil</t>
  </si>
  <si>
    <t>Compresor Aire · DIC70</t>
  </si>
  <si>
    <t>F-MET-914</t>
  </si>
  <si>
    <t>MET-MAU-DIC70-AIR-COP01</t>
  </si>
  <si>
    <t>|MET-MAU-DIC70-AIR-COP01|</t>
  </si>
  <si>
    <t>B. Regulador de presión inestable por resorte fatigado</t>
  </si>
  <si>
    <t>Máquina que eleva la presión del aire tomado de la atmósfera para alimentar el circuito neumático. Su desempeño se expresa como caudal (L/min o m³/h) a una presión de descarga (bar), con una potencia (kW) y una velocidad (rpm).</t>
  </si>
  <si>
    <t>Definición técnica de trabajo; parámetros y unidades según ISO 14224, clase Compresores (bar, m³/h, kW, rpm)</t>
  </si>
  <si>
    <t>1. Local: La grasa del émbolo del distribuidor se endurece y el émbolo se mueve con dificultad.
2. En el equipo: El distribuidor responde con retardo al aplicar y al aliviar el freno. El freno responde con retardos o saltos que el conductor reporta como frenado errático.
3. General: El tren frena con una respuesta irregular y mayor distancia de parada.</t>
  </si>
  <si>
    <t>F-MET-263</t>
  </si>
  <si>
    <t>Respuesta más lenta o movimiento duro del distribuidor de freno antes de quedar trabado. Se detecta con: prueba funcional; medición de tiempos de ciclo.</t>
  </si>
  <si>
    <t>B. Electroválvula de descarga pegajosa por suciedad</t>
  </si>
  <si>
    <t>F-MET-239</t>
  </si>
  <si>
    <t>Suministrar caudal de aire [ESTÁNDAR POR CONFIRMAR]</t>
  </si>
  <si>
    <t>Secador de Aire · DIC70</t>
  </si>
  <si>
    <t>F-MET-265</t>
  </si>
  <si>
    <t>A. Compresor de aire acondicionado gripado por pérdida de aceite refrigerante</t>
  </si>
  <si>
    <t>MET-MAU-DIC70-AIR-SAI01</t>
  </si>
  <si>
    <t>|MET-MAU-DIC70-AIR-SAI01|</t>
  </si>
  <si>
    <t>Equipo que retira el vapor de agua del aire comprimido hasta alcanzar un punto de rocío especificado (clases de calidad del aire ISO 8573-1).</t>
  </si>
  <si>
    <t>A. Embrague del compresor desgastado por fin de vida útil</t>
  </si>
  <si>
    <t>ISO 8573-1 (clases de calidad del aire comprimido)</t>
  </si>
  <si>
    <t>Secar el aire comprimido con punto de rocío máximo de +3 °C</t>
  </si>
  <si>
    <t>Mangueras y Racores · DIC70</t>
  </si>
  <si>
    <t>F-MET-266</t>
  </si>
  <si>
    <t>Conducir</t>
  </si>
  <si>
    <t>a presión máxima de _____</t>
  </si>
  <si>
    <t>MET-MAU-DIC70-AVA-MRA01</t>
  </si>
  <si>
    <t>Manual de Mantenimiento DR1227 Plasser &amp; Theurer DIC-40 (WS6761) – p.57</t>
  </si>
  <si>
    <t>Falta: presión máxima de trabajo del circuito. Criterio de inspección: 0 fugas en racores y mangueras. Valor del manual DR1227 de la DIC-40 (máquina Plasser equivalente); validar con el manual de esta máquina.</t>
  </si>
  <si>
    <t>Mangueras Y Racores</t>
  </si>
  <si>
    <t>B. Racor del circuito de refrigerante flojo por vibración</t>
  </si>
  <si>
    <t>|MET-MAU-DIC70-AVA-MRA01|</t>
  </si>
  <si>
    <t>No detiene el tren en emergencia. La función se pierde por completo: no se cumple ningún punto del estándar. Estándar: en una distancia máxima de 190 m desde 80 km/h (fabricante). Se verifica con: protocolo C.E8.92.302.</t>
  </si>
  <si>
    <t>Inspección diaria</t>
  </si>
  <si>
    <t>F-MET-242</t>
  </si>
  <si>
    <t>1. Local: El émbolo de la válvula de emergencia se atasca por suciedad y la válvula no abre el escape del conducto de freno.
2. En el equipo: El conducto no se despresuriza con la rapidez de emergencia y los cilindros no reciben presión de emergencia. Al abrir el bucle de emergencia el tren no frena y el manómetro de cilindros no responde.
3. General: El tren no cuenta con el freno de emergencia y debe salir de circulación.</t>
  </si>
  <si>
    <t>Conductos flexibles o rígidos y racores que conducen el aceite hidráulico entre bombas, válvulas y actuadores.</t>
  </si>
  <si>
    <t>Respuesta más lenta o movimiento duro de la válvula de emergencia antes de quedar trabado. Se detecta con: prueba funcional; medición de tiempos de ciclo.</t>
  </si>
  <si>
    <t>Conducir el aceite hidráulico [ESTÁNDAR POR CONFIRMAR]</t>
  </si>
  <si>
    <t>Equipo DE Traccion (×2) · DIC70</t>
  </si>
  <si>
    <t>F-MET-267</t>
  </si>
  <si>
    <t>esfuerzo de tracción</t>
  </si>
  <si>
    <t>B. Válvulas internas del compresor desgastadas por fin de vida útil</t>
  </si>
  <si>
    <t>MET-MAU-DIC70-AVA-TRI01</t>
  </si>
  <si>
    <t>Falta: esfuerzo tractor.</t>
  </si>
  <si>
    <t>Equipo DE Traccion 1</t>
  </si>
  <si>
    <t>|MET-MAU-DIC70-AVA-TRI01|MET-MAU-DIC70-AVA-TRI02|</t>
  </si>
  <si>
    <t>F-MET-243, F-MET-244</t>
  </si>
  <si>
    <t>A. Motor del ventilador quemado por humedad en el bobinado</t>
  </si>
  <si>
    <t>Conjunto que entrega el esfuerzo tractor para mover el vehículo.</t>
  </si>
  <si>
    <t>Entregar esfuerzo de tracción [ESTÁNDAR POR CONFIRMAR]</t>
  </si>
  <si>
    <t>Bogie (×2) · DIC70</t>
  </si>
  <si>
    <t>F-MET-268</t>
  </si>
  <si>
    <t>MET-MAU-DIC70-BOE-BGE01</t>
  </si>
  <si>
    <t>Bogie 1</t>
  </si>
  <si>
    <t>A. Radiador de aceite roto por impacto de piedra</t>
  </si>
  <si>
    <t>|MET-MAU-DIC70-BOE-BGE01|MET-MAU-DIC70-BOE-BGE02|</t>
  </si>
  <si>
    <t>F-MET-245, F-MET-247</t>
  </si>
  <si>
    <t>Conjunto pivotante montado en el vehículo, formado por bastidor, ruedas o ejes montados y suspensión, y opcionalmente por componentes de tracción y frenado, que sirve de apoyo a la caja del vehículo sobre el riel.</t>
  </si>
  <si>
    <t>Soportar la carga vertical [ESTÁNDAR POR CONFIRMAR]</t>
  </si>
  <si>
    <t>F-MET-269</t>
  </si>
  <si>
    <t>C. Aletas del radiador obstruidas por polvo y grasa</t>
  </si>
  <si>
    <t>1. Local: El cable del bucle de emergencia se interrumpe por el roce con la estructura y se abre el circuito.
2. En el equipo: La orden de emergencia no llega a la electroválvula. Al abrir el bucle de emergencia el tren no frena y el manómetro de cilindros no responde.
3. General: El tren no cuenta con el freno de emergencia y debe salir de circulación.</t>
  </si>
  <si>
    <t>Resistencia anormal o pérdida de continuidad del bucle de emergencia. Se detecta con: medición de continuidad; inspección de conexiones.</t>
  </si>
  <si>
    <t>F-MET-246, F-MET-248</t>
  </si>
  <si>
    <t>C. Termostato atascado por corrosión</t>
  </si>
  <si>
    <t>Engranaje de Ejes Bogie 1 · DIC70</t>
  </si>
  <si>
    <t>F-MET-271</t>
  </si>
  <si>
    <t>MET-MAU-DIC70-BOE-ENE01</t>
  </si>
  <si>
    <t>Engranaje DE Ejes Bogie 1</t>
  </si>
  <si>
    <t>|MET-MAU-DIC70-BOE-ENE01|</t>
  </si>
  <si>
    <t>A. Resorte helicoidal roto por fatiga del material</t>
  </si>
  <si>
    <t>Engranaje que transmite el par del motor de tracción al eje del bogie.</t>
  </si>
  <si>
    <t>Transmitir el par motriz [ESTÁNDAR POR CONFIRMAR]</t>
  </si>
  <si>
    <t>Banco de Baterias · DIC70</t>
  </si>
  <si>
    <t>F-MET-277</t>
  </si>
  <si>
    <t>A. Bastidor del bogie fisurado por cargas dinámicas repetidas</t>
  </si>
  <si>
    <t>MET-MAU-DIC70-ELE-BAN01</t>
  </si>
  <si>
    <t>|MET-MAU-DIC70-ELE-BAN01|</t>
  </si>
  <si>
    <t>Acumuladores electroquímicos que almacenan energía eléctrica y entregan la corriente de arranque y de alimentación de los circuitos de baja tensión.</t>
  </si>
  <si>
    <t>Suministrar la corriente de arranque con tensión mínima de 19,2 V</t>
  </si>
  <si>
    <t>F-MET-904</t>
  </si>
  <si>
    <t>B. Balón de aire de la suspensión desinflado por fuga en la goma</t>
  </si>
  <si>
    <t>1. Local: La bobina de la electroválvula de emergencia se quema y deja de generar el campo magnético que mueve la válvula.
2. En el equipo: La válvula no cambia de posición y no descarga el conducto de freno. Al abrir el bucle de emergencia el tren no frena y el manómetro de cilindros no responde.
3. General: El tren no cuenta con el freno de emergencia y debe salir de circulación.</t>
  </si>
  <si>
    <t>Brazo Estabilizador · DIC70</t>
  </si>
  <si>
    <t>F-MET-281</t>
  </si>
  <si>
    <t>Aumento de temperatura y de consumo de corriente de la bobina. Se detecta con: termografía; medición de corriente; prueba de aislamiento (megóhmetro).</t>
  </si>
  <si>
    <t>B. Resorte helicoidal asentado por fatiga</t>
  </si>
  <si>
    <t>MET-MAU-DIC70-ELV-BES01</t>
  </si>
  <si>
    <t>|MET-MAU-DIC70-ELV-BES01|</t>
  </si>
  <si>
    <t>A. Pestaña de rueda fracturada por fatiga del material</t>
  </si>
  <si>
    <t>GRUA · DIC70</t>
  </si>
  <si>
    <t>F-MET-282</t>
  </si>
  <si>
    <t>MET-MAU-DIC70-ELV-GRU01</t>
  </si>
  <si>
    <t>Falta: modelo de grúa.</t>
  </si>
  <si>
    <t>GRUA</t>
  </si>
  <si>
    <t>|MET-MAU-DIC70-ELV-GRU01|</t>
  </si>
  <si>
    <t>B. Pestaña de rueda afilada por contacto riel-rueda sin lubricación</t>
  </si>
  <si>
    <t>Placa / diagrama de cargas</t>
  </si>
  <si>
    <t>F-MET-255</t>
  </si>
  <si>
    <t>Equipo de elevación con brazo que levanta cargas; su capacidad se expresa como momento de carga (kN·m).</t>
  </si>
  <si>
    <t>Elevar las cargas [ESTÁNDAR POR CONFIRMAR]</t>
  </si>
  <si>
    <t>Cilindros de Freno · DIC70</t>
  </si>
  <si>
    <t>F-MET-285</t>
  </si>
  <si>
    <t>B. Boquilla de engrase de pestaña obstruida por grasa endurecida</t>
  </si>
  <si>
    <t>MET-MAU-DIC70-FRN-CIR01</t>
  </si>
  <si>
    <t>Cilindros DE Freno</t>
  </si>
  <si>
    <t>|MET-MAU-DIC70-FRN-CIR01|</t>
  </si>
  <si>
    <t>F-MET-256</t>
  </si>
  <si>
    <t>Actuador neumático que convierte la presión del aire de freno en fuerza mecánica sobre la timonería y las zapatas.</t>
  </si>
  <si>
    <t>B. Perfil de rueda deformado por desgaste desigual</t>
  </si>
  <si>
    <t>Presurizar los cilindros de freno entre 3,7 y 3,9 bar</t>
  </si>
  <si>
    <t>Freno Estacionamiento · DIC70</t>
  </si>
  <si>
    <t>F-MET-287</t>
  </si>
  <si>
    <t>la máquina estacionada</t>
  </si>
  <si>
    <t>en pendiente de _____</t>
  </si>
  <si>
    <t>Cambiar la bobina quemada</t>
  </si>
  <si>
    <t>%</t>
  </si>
  <si>
    <t>MET-MAU-DIC70-FRN-FES01</t>
  </si>
  <si>
    <t>Falta: masa o pendiente de inmovilización (rótulo de la máquina).</t>
  </si>
  <si>
    <t>A. Empaque del parabrisas desprendido por envejecimiento</t>
  </si>
  <si>
    <t>Freno Estacionamiento</t>
  </si>
  <si>
    <t>|MET-MAU-DIC70-FRN-FES01|</t>
  </si>
  <si>
    <t>Prueba en pendiente</t>
  </si>
  <si>
    <t>Freno que mantiene inmovilizado el vehículo cuando está estacionado.</t>
  </si>
  <si>
    <t>Inmovilizar la máquina estacionada [ESTÁNDAR POR CONFIRMAR]</t>
  </si>
  <si>
    <t>Freno Directo · DIC70</t>
  </si>
  <si>
    <t>F-MET-288</t>
  </si>
  <si>
    <t>la locomotora</t>
  </si>
  <si>
    <t>en una distancia máxima de _____</t>
  </si>
  <si>
    <t>C. Burlete de puerta de cabina desgarrado por fatiga por ciclos repetidos</t>
  </si>
  <si>
    <t>MET-MAU-DIC70-FRN-FRD01</t>
  </si>
  <si>
    <t>Freno directo: actúa solo sobre la locomotora. Falta: distancia de frenado desde la velocidad máxima.</t>
  </si>
  <si>
    <t>Freno Directo</t>
  </si>
  <si>
    <t>|MET-MAU-DIC70-FRN-FRD01|</t>
  </si>
  <si>
    <t>Prueba de frenado</t>
  </si>
  <si>
    <t>1. Local: El contacto del bucle de emergencia se sulfata por humedad y la señal pasa solo en algunos intentos.
2. En el equipo: La orden de emergencia llega de forma intermitente a la electroválvula. El freno de emergencia actúa solo en algunos intentos y se descubre en la prueba.
3. General: El freno de emergencia no es confiable en cada demanda.</t>
  </si>
  <si>
    <t>Óxido, picaduras o sulfatación visibles del contacto del bucle de emergencia. Se detecta con: inspección visual; medición de resistencia de contacto o de tensión en bornes.</t>
  </si>
  <si>
    <t>Freno directo: actúa solo sobre la locomotora.</t>
  </si>
  <si>
    <t>C. Drenaje de cabina taponado por suciedad</t>
  </si>
  <si>
    <t>Frenar la locomotora [ESTÁNDAR POR CONFIRMAR]</t>
  </si>
  <si>
    <t>Freno Indirecto · DIC70</t>
  </si>
  <si>
    <t>F-MET-289</t>
  </si>
  <si>
    <t>el tren de trabajo</t>
  </si>
  <si>
    <t>MET-MAU-DIC70-FRN-FRI01</t>
  </si>
  <si>
    <t>Freno automático (indirecto) UIC: actúa sobre todo el tren por la tubería general. Falta: distancia de frenado.</t>
  </si>
  <si>
    <t>Freno Indirecto</t>
  </si>
  <si>
    <t>C. Sello de ventana resecado por envejecimiento</t>
  </si>
  <si>
    <t>|MET-MAU-DIC70-FRN-FRI01|</t>
  </si>
  <si>
    <t>F-MET-259</t>
  </si>
  <si>
    <t>Freno automático (indirecto) UIC: actúa sobre todo el tren a través de la tubería general.</t>
  </si>
  <si>
    <t>Frenar el tren de trabajo [ESTÁNDAR POR CONFIRMAR]</t>
  </si>
  <si>
    <t>Timoneria de Frenos · DIC70</t>
  </si>
  <si>
    <t>F-MET-290</t>
  </si>
  <si>
    <t>A. Batería descargada por celdas sulfatadas</t>
  </si>
  <si>
    <t>MET-MAU-DIC70-FRN-TIM01</t>
  </si>
  <si>
    <t>|MET-MAU-DIC70-FRN-TIM01|</t>
  </si>
  <si>
    <t>Conjunto de palancas, tirantes y articulaciones que transmite la fuerza del cilindro de freno hasta las zapatas contra la rueda.</t>
  </si>
  <si>
    <t>A. Bornes de batería sulfatados por corrosión</t>
  </si>
  <si>
    <t>Transmitir la fuerza a zapatas con juego de 5 a 7 mm</t>
  </si>
  <si>
    <t>Motor Deutz · DIC70</t>
  </si>
  <si>
    <t>F-MET-295</t>
  </si>
  <si>
    <t>MET-MAU-DIC70-TRC-MOTD01</t>
  </si>
  <si>
    <t>1. Local: Los contactos del relé de emergencia se desgastan y cierran o abren de forma inestable.
2. En el equipo: La orden de emergencia llega de forma intermitente. El freno de emergencia actúa solo en algunos intentos y se descubre en la prueba.
3. General: El freno de emergencia no es confiable en cada demanda.</t>
  </si>
  <si>
    <t>Lecturas que varían o se pierden al mover o vibrar el conector, con aumento de la resistencia de contacto del relé de emergencia. Se detecta con: inspección de conectores; medición de resistencia de contacto; lectura de la señal con equipo de diagnóstico.</t>
  </si>
  <si>
    <t>Motor Deutz</t>
  </si>
  <si>
    <t>|MET-MAU-DIC70-TRC-MOTD01|</t>
  </si>
  <si>
    <t>A. Celda de batería cortocircuitada por separador dañado</t>
  </si>
  <si>
    <t>Transmision acc neumatica · DIC70</t>
  </si>
  <si>
    <t>F-MET-299</t>
  </si>
  <si>
    <t>Accionar</t>
  </si>
  <si>
    <t>los cambios</t>
  </si>
  <si>
    <t>con presión de mando de _____</t>
  </si>
  <si>
    <t>A. Terminal de batería flojo por vibración</t>
  </si>
  <si>
    <t>MET-MAU-DIC70-TRC-TNE01</t>
  </si>
  <si>
    <t>Falta: presión de mando.</t>
  </si>
  <si>
    <t>Transmision acc neumatica</t>
  </si>
  <si>
    <t>|MET-MAU-DIC70-TRC-TNE01|</t>
  </si>
  <si>
    <t>Control</t>
  </si>
  <si>
    <t>F-MET-264</t>
  </si>
  <si>
    <t>Mando neumático que acciona el cambio de marchas de la transmisión.</t>
  </si>
  <si>
    <t>Accionar los cambios [ESTÁNDAR POR CONFIRMAR]</t>
  </si>
  <si>
    <t>A. Cable de arranque dañado por rozamiento con el chasis</t>
  </si>
  <si>
    <t>Dresina de Personal (×2) · DP842–DP843</t>
  </si>
  <si>
    <t>F-MET-300</t>
  </si>
  <si>
    <t>al personal</t>
  </si>
  <si>
    <t>personas</t>
  </si>
  <si>
    <t>MET-MAU-DP842</t>
  </si>
  <si>
    <t>Falta: número de plazas y velocidad máxima de la dresina (placa).</t>
  </si>
  <si>
    <t>Dresina de Personal 842</t>
  </si>
  <si>
    <t>|MET-MAU-DP842|MET-MAU-DP843|</t>
  </si>
  <si>
    <t>B. Batería degradada por fin de vida útil</t>
  </si>
  <si>
    <t>Vehículo ferroviario de servicio para transportar personal por la vía.</t>
  </si>
  <si>
    <t>Transportar al personal [ESTÁNDAR POR CONFIRMAR]</t>
  </si>
  <si>
    <t>Compresor (×2) · DP842–DP843</t>
  </si>
  <si>
    <t>F-MET-915</t>
  </si>
  <si>
    <t>B. Conexión de masa floja por vibración</t>
  </si>
  <si>
    <t>MET-MAU-DP842-AIR-COM01</t>
  </si>
  <si>
    <t>Compresor DP-842</t>
  </si>
  <si>
    <t>|MET-MAU-DP842-AIR-COM01|MET-MAU-DP843-AIR-COM01|</t>
  </si>
  <si>
    <t>Detiene el tren en emergencia con distancia de parada mayor a 190 m desde 80 km/h. Estándar: en una distancia máxima de 190 m desde 80 km/h (fabricante). Se verifica con: protocolo C.E8.92.302.</t>
  </si>
  <si>
    <t>1. Local: Las zapatas se desgastan hasta el final de su vida útil y pierden fricción contra la rueda.
2. En el equipo: La fuerza de frenado de emergencia es menor a la de diseño. La prueba de emergencia da una distancia de frenado mayor a la esperada.
3. General: El tren recorre más de 190 m desde 80 km/h hasta quedar parado en emergencia.</t>
  </si>
  <si>
    <t>F-MET-301</t>
  </si>
  <si>
    <t>F-MET-265, F-MET-282</t>
  </si>
  <si>
    <t>Cabina (×2) · DP842–DP843</t>
  </si>
  <si>
    <t>F-MET-303</t>
  </si>
  <si>
    <t>MET-MAU-DP842-CAJ-CAI01</t>
  </si>
  <si>
    <t>Cabina DP-842</t>
  </si>
  <si>
    <t>|MET-MAU-DP842-CAJ-CAI01|MET-MAU-DP843-CAJ-CAI01|</t>
  </si>
  <si>
    <t>A. Válvula de freno atascada por contaminación del émbolo</t>
  </si>
  <si>
    <t>1. Local: El filtro de la válvula de emergencia se llena de suciedad y restringe el paso del aire.
2. En el equipo: El conducto se descarga más lento de lo previsto y los cilindros alcanzan su presión con retardo. La prueba de emergencia da una distancia de frenado mayor a la esperada.
3. General: El tren recorre más de 190 m desde 80 km/h hasta quedar parado en emergencia.</t>
  </si>
  <si>
    <t>A. Manguera de cilindro rota por envejecimiento</t>
  </si>
  <si>
    <t>Aumento de la presión diferencial o caída del caudal por acumulación de suciedad de la válvula de emergencia. Se detecta con: lectura de manómetros y diferencial de presión; medición de caudal; inspección visual.</t>
  </si>
  <si>
    <t>F-MET-266, F-MET-283</t>
  </si>
  <si>
    <t>Compartimento cerrado desde el que se opera el vehículo, aislado del agua, el polvo y el ruido exterior.</t>
  </si>
  <si>
    <t>Sellar la cabina con 0 filtraciones en prueba de agua</t>
  </si>
  <si>
    <t>Deposito de Combustible DP-842</t>
  </si>
  <si>
    <t>F-MET-305</t>
  </si>
  <si>
    <t>B. Válvula reductora de presión descalibrada por deriva</t>
  </si>
  <si>
    <t>MET-MAU-DP842-CAJ-DEC01</t>
  </si>
  <si>
    <t>Deposito DE Combustible DP-842</t>
  </si>
  <si>
    <t>|MET-MAU-DP842-CAJ-DEC01|</t>
  </si>
  <si>
    <t>B. Sello del cilindro de freno desgastado por fin de vida útil</t>
  </si>
  <si>
    <t>Recipiente que almacena y retiene el combustible del motor.</t>
  </si>
  <si>
    <t>Definición técnica de trabajo; parámetros y unidades según ISO 14224, clase Contenedores (bar, °C, mm)</t>
  </si>
  <si>
    <t>Retener el combustible a presión de prueba de 0,3 bar</t>
  </si>
  <si>
    <t>Alternador (×2) · DP842–DP843</t>
  </si>
  <si>
    <t>F-MET-308</t>
  </si>
  <si>
    <t>C. Válvula reductora de presión atascada por contaminación</t>
  </si>
  <si>
    <t>MET-MAU-DP842-ELE-ALE01</t>
  </si>
  <si>
    <t>Falta: tensión de regulación (≈ 28 V en sistemas de 24 V, validar).</t>
  </si>
  <si>
    <t>Alternador DP-842</t>
  </si>
  <si>
    <t>|MET-MAU-DP842-ELE-ALE01|MET-MAU-DP843-ELE-ALE01|</t>
  </si>
  <si>
    <t>F-MET-269, F-MET-285</t>
  </si>
  <si>
    <t>Máquina eléctrica acoplada al motor que genera la corriente para cargar las baterías y alimentar los circuitos de baja tensión.</t>
  </si>
  <si>
    <t>Definición técnica de trabajo; parámetros y unidades según ISO 14224, clase Generadores eléctricos (kW, V, Hz)</t>
  </si>
  <si>
    <t>Generar corriente de carga [ESTÁNDAR POR CONFIRMAR]</t>
  </si>
  <si>
    <t>Banco DE Baterias (×2) · DP842–DP843</t>
  </si>
  <si>
    <t>D. Válvula reguladora inestable por resorte fatigado</t>
  </si>
  <si>
    <t>F-MET-309</t>
  </si>
  <si>
    <t>No inmoviliza el tren. La función se pierde por completo: no se cumple ningún punto del estándar. Estándar: con carga de 203 t en pendiente de 3 % (fabricante). Se verifica con: prueba de estacionamiento.</t>
  </si>
  <si>
    <t>1. Local: El resorte del freno de estacionamiento se rompe por fatiga y no entrega fuerza de aplicación.
2. En el equipo: Las zapatas de estacionamiento no se presionan contra la rueda. No se nota en servicio; se descubre al estacionar y ver que el tren se desplaza o en la prueba de inmovilización.
3. General: El tren no queda retenido en la pendiente cuando está estacionado.</t>
  </si>
  <si>
    <t>Pérdida de altura libre o de carga del resorte del freno de estacionamiento. Se detecta con: medición de altura libre y de carga en banco de pruebas; inspección visual. Al ser una función oculta no se nota en operación: depende de la inspección o prueba programada.</t>
  </si>
  <si>
    <t>MET-MAU-DP842-ELE-BAN01</t>
  </si>
  <si>
    <t>Banco DE Baterias DP-842</t>
  </si>
  <si>
    <t>|MET-MAU-DP842-ELE-BAN01|MET-MAU-DP843-ELE-BAN01|</t>
  </si>
  <si>
    <t>F-MET-270, F-MET-286</t>
  </si>
  <si>
    <t>A. Bomba de lubricación atascada por grasa endurecida</t>
  </si>
  <si>
    <t>F-MET-905</t>
  </si>
  <si>
    <t>A. Línea de engrase obstruida por grasa endurecida</t>
  </si>
  <si>
    <t>Sistema Frenos (×2) · DP842–DP843</t>
  </si>
  <si>
    <t>F-MET-314</t>
  </si>
  <si>
    <t>A. Depósito de grasa vacío por fuga</t>
  </si>
  <si>
    <t>MET-MAU-DP842-FRN</t>
  </si>
  <si>
    <t>|MET-MAU-DP842-FRN|MET-MAU-DP843-FRN|</t>
  </si>
  <si>
    <t>B. Bomba de lubricación desgastada por fin de vida útil</t>
  </si>
  <si>
    <t>Conjunto de equipos que genera, transmite y controla la fuerza necesaria para reducir la velocidad o inmovilizar el vehículo.</t>
  </si>
  <si>
    <t>1. Local: El vástago del cilindro de estacionamiento se corroe y el cilindro se traba, sin completar su recorrido.
2. En el equipo: El freno de estacionamiento no se aplica por completo. No se nota en servicio; se descubre al estacionar y ver que el tren se desplaza o en la prueba de inmovilización.
3. General: El tren no queda retenido en la pendiente cuando está estacionado.</t>
  </si>
  <si>
    <t>Movimiento duro, ruido o calentamiento anormal del cilindro de estacionamiento antes de trabarse. Se detecta con: análisis de vibraciones; termografía; análisis de partículas en el aceite. Al ser una función oculta no se nota en operación: depende de la inspección o prueba programada.</t>
  </si>
  <si>
    <t>Timoneria DE Frenos (×2) · DP842–DP843</t>
  </si>
  <si>
    <t>F-MET-315</t>
  </si>
  <si>
    <t>con juego de _____</t>
  </si>
  <si>
    <t>C. Válvula limitadora atascada por contaminación</t>
  </si>
  <si>
    <t>MET-MAU-DP842-FRN-TIM01</t>
  </si>
  <si>
    <t>Timoneria DE Frenos DP-842</t>
  </si>
  <si>
    <t>|MET-MAU-DP842-FRN-TIM01|MET-MAU-DP843-FRN-TIM01|</t>
  </si>
  <si>
    <t>F-MET-272, F-MET-290</t>
  </si>
  <si>
    <t>Transmitir la fuerza a zapatas [ESTÁNDAR POR CONFIRMAR]</t>
  </si>
  <si>
    <t>A. Engranaje fracturado por fatiga del diente</t>
  </si>
  <si>
    <t>Bloque Motor (×2) · DP842–DP843</t>
  </si>
  <si>
    <t>F-MET-320</t>
  </si>
  <si>
    <t>MET-MAU-DP842-TRC-BLO01</t>
  </si>
  <si>
    <t>Bloque Motor DP-842</t>
  </si>
  <si>
    <t>|MET-MAU-DP842-TRC-BLO01|MET-MAU-DP843-TRC-BLO01|</t>
  </si>
  <si>
    <t>A. Eje de salida roto por fatiga</t>
  </si>
  <si>
    <t>F-MET-276, F-MET-293</t>
  </si>
  <si>
    <t>Caja de engranajes (×6) · DP842–DP843</t>
  </si>
  <si>
    <t>F-MET-325</t>
  </si>
  <si>
    <t>A. Acople de la caja roto por desalineación</t>
  </si>
  <si>
    <t>MET-MAU-DP842-TRN-CSE01</t>
  </si>
  <si>
    <t>Caja Semiautomatica DP-842</t>
  </si>
  <si>
    <t>|MET-MAU-DP842-TRN-CSE01|MET-MAU-DP842-TRN-ENM01|MET-MAU-DP842-TRN-ENM02|MET-MAU-DP843-TRN-CSE01|MET-MAU-DP843-TRN-ENM01|MET-MAU-DP843-TRN-ENM02|</t>
  </si>
  <si>
    <t>1. Local: La válvula de estacionamiento se atasca por contaminación y no cambia de posición para aplicar el freno.
2. En el equipo: El cilindro de estacionamiento no se descarga ni se aplica cuando se requiere. No se nota en servicio; se descubre al estacionar y ver que el tren se desplaza o en la prueba de inmovilización.
3. General: El tren no queda retenido en la pendiente cuando está estacionado.</t>
  </si>
  <si>
    <t>Respuesta más lenta o movimiento duro de la válvula de estacionamiento antes de quedar trabado. Se detecta con: prueba funcional; medición de tiempos de ciclo. Al ser una función oculta no se nota en operación: depende de la inspección o prueba programada.</t>
  </si>
  <si>
    <t>F-MET-278, F-MET-279, F-MET-280, F-MET-294, F-MET-295, F-MET-296</t>
  </si>
  <si>
    <t>Conjunto de engranajes que transmite el par del motor a los ejes, modificando velocidad y par según su relación de transmisión; el par se mide en N·m.</t>
  </si>
  <si>
    <t>Toma DE Fuerza (×2) · DP842–DP843</t>
  </si>
  <si>
    <t>F-MET-328</t>
  </si>
  <si>
    <t>B. Discos del embrague desgastados por fin de vida útil</t>
  </si>
  <si>
    <t>potencia auxiliar</t>
  </si>
  <si>
    <t>MET-MAU-DP842-TRN-TOM01</t>
  </si>
  <si>
    <t>Falta: potencia de la toma de fuerza.</t>
  </si>
  <si>
    <t>Toma DE Fuerza DP-842</t>
  </si>
  <si>
    <t>|MET-MAU-DP842-TRN-TOM01|MET-MAU-DP843-TRN-TOM01|</t>
  </si>
  <si>
    <t>F-MET-281, F-MET-297</t>
  </si>
  <si>
    <t>Salida de potencia del motor o de la transmisión que mueve equipos auxiliares (bombas, compresores).</t>
  </si>
  <si>
    <t>B. Engranaje picado por fatiga superficial</t>
  </si>
  <si>
    <t>Transmitir potencia auxiliar [ESTÁNDAR POR CONFIRMAR]</t>
  </si>
  <si>
    <t>Enganche Automatico Alliance DP-843</t>
  </si>
  <si>
    <t>F-MET-329</t>
  </si>
  <si>
    <t>MET-MAU-DP843-ENA-EAL01</t>
  </si>
  <si>
    <t>|MET-MAU-DP843-ENA-EAL01|</t>
  </si>
  <si>
    <t>A. Inyectores del motor atascados por combustible contaminado</t>
  </si>
  <si>
    <t>F-MET-331</t>
  </si>
  <si>
    <t>A. Turbocompresor bloqueado por rodamiento desgastado</t>
  </si>
  <si>
    <t>Inmoviliza el tren con fuerza de retención inferior a la requerida. Estándar: con carga de 203 t en pendiente de 3 % (fabricante). Se verifica con: prueba de estacionamiento.</t>
  </si>
  <si>
    <t>1. Local: Las zapatas de estacionamiento llegan al final de su vida útil y pierden espesor y fricción.
2. En el equipo: La fuerza de retención sobre la rueda es menor a la necesaria. La prueba de inmovilización en pendiente no sostiene la carga de 203 t.
3. General: El tren queda retenido con una fuerza inferior a la requerida y no sostiene la carga en la pendiente.</t>
  </si>
  <si>
    <t>Pérdida progresiva de material de las zapatas de estacionamiento hasta acercarse al límite de desgaste. Se detecta con: medición con calibre, galga o micrómetro; inspección visual. Al ser una función oculta no se nota en operación: depende de la inspección o prueba programada.</t>
  </si>
  <si>
    <t>A. Filtro de combustible obstruido por suciedad del combustible</t>
  </si>
  <si>
    <t>Locomotora 961</t>
  </si>
  <si>
    <t>F-MET-332</t>
  </si>
  <si>
    <t>MET-MAU-LL961</t>
  </si>
  <si>
    <t>|MET-MAU-LL961|</t>
  </si>
  <si>
    <t>B. Filtro de aire obstruido por polvo acumulado</t>
  </si>
  <si>
    <t>Continuidad operacional; Seguridad</t>
  </si>
  <si>
    <t>Compresor V2 el-961 · LL961</t>
  </si>
  <si>
    <t>F-MET-916</t>
  </si>
  <si>
    <t>MET-MAU-LL961-AIR-COM01</t>
  </si>
  <si>
    <t>B. Enfriador del aire de carga taponado por suciedad</t>
  </si>
  <si>
    <t>Compresor V2 EL-961</t>
  </si>
  <si>
    <t>|MET-MAU-LL961-AIR-COM01|</t>
  </si>
  <si>
    <t>F-MET-333</t>
  </si>
  <si>
    <t>B. Inyectores del motor desgastados por fin de vida útil</t>
  </si>
  <si>
    <t>F-MET-298</t>
  </si>
  <si>
    <t>1. Local: El resorte del freno de estacionamiento se debilita por fatiga y entrega menos fuerza de aplicación.
2. En el equipo: Las zapatas se aprietan contra la rueda con menos fuerza. La prueba de inmovilización en pendiente no sostiene la carga de 203 t.
3. General: El tren queda retenido con una fuerza inferior a la requerida y no sostiene la carga en la pendiente.</t>
  </si>
  <si>
    <t>D. Sensor de presión de carga inestable por conector flojo</t>
  </si>
  <si>
    <t>Cabina el-961 · LL961</t>
  </si>
  <si>
    <t>F-MET-335</t>
  </si>
  <si>
    <t>MET-MAU-LL961-CAJ-CAI01</t>
  </si>
  <si>
    <t>Cabina EL-961</t>
  </si>
  <si>
    <t>A. Eje cardán roto por desalineación</t>
  </si>
  <si>
    <t>|MET-MAU-LL961-CAJ-CAI01|</t>
  </si>
  <si>
    <t>ALTERNADOR1 el-961 · LL961</t>
  </si>
  <si>
    <t>F-MET-338</t>
  </si>
  <si>
    <t>B. Crucetas del cardán desgastadas por pérdida de la película lubricante</t>
  </si>
  <si>
    <t>MET-MAU-LL961-ELE-ALR01</t>
  </si>
  <si>
    <t>ALTERNADOR1 EL-961</t>
  </si>
  <si>
    <t>|MET-MAU-LL961-ELE-ALR01|</t>
  </si>
  <si>
    <t>B. Brida del cardán floja por vibración</t>
  </si>
  <si>
    <t>Baterias el-961 · LL961</t>
  </si>
  <si>
    <t>F-MET-339</t>
  </si>
  <si>
    <t>MET-MAU-LL961-ELE-BTE01</t>
  </si>
  <si>
    <t>Baterias EL-961</t>
  </si>
  <si>
    <t>|MET-MAU-LL961-ELE-BTE01|</t>
  </si>
  <si>
    <t>B. Eje cardán desbalanceado por impacto mecánico</t>
  </si>
  <si>
    <t>F-MET-302</t>
  </si>
  <si>
    <t>F-MET-906</t>
  </si>
  <si>
    <t>No alcanza una velocidad máxima. La función se pierde por completo: no se cumple ningún punto del estándar. Estándar: entre 78 y 80 km/h (contexto operacional: Wikipedia). Se verifica con: protocolo C.E8.92.301.</t>
  </si>
  <si>
    <t>1. Local: El convertidor de tracción se bloquea por un defecto del módulo de control y deja de modular la potencia hacia los motores.
2. En el equipo: Los motores de tracción no reciben tensión ni frecuencia de trabajo. El tren no pasa de baja velocidad y el conductor lo percibe de inmediato.
3. General: El tren no alcanza la velocidad máxima y los tiempos de recorrido no se cumplen.</t>
  </si>
  <si>
    <t>No hay una condición detectable que avise con anticipación: el convertidor de tracción deja de funcionar de forma súbita. Se detecta con: prueba funcional programada; registro de eventos y alarmas del equipo.</t>
  </si>
  <si>
    <t>Motor Marcha · LL961</t>
  </si>
  <si>
    <t>F-MET-344</t>
  </si>
  <si>
    <t>Arrancar</t>
  </si>
  <si>
    <t>el motor diésel</t>
  </si>
  <si>
    <t>en un máximo de _____</t>
  </si>
  <si>
    <t>s</t>
  </si>
  <si>
    <t>MET-MAU-LL961-TRC-MMA01</t>
  </si>
  <si>
    <t>Falta: tiempo de arranque y corriente máxima del motor de arranque (placa).</t>
  </si>
  <si>
    <t>Motor Marcha</t>
  </si>
  <si>
    <t>|MET-MAU-LL961-TRC-MMA01|</t>
  </si>
  <si>
    <t>Prueba de arranque / corriente del motor de arranque</t>
  </si>
  <si>
    <t>F-MET-304</t>
  </si>
  <si>
    <t>Motor eléctrico de arranque que hace girar el motor diésel hasta que arranca por sí solo.</t>
  </si>
  <si>
    <t>Arrancar el motor diésel [ESTÁNDAR POR CONFIRMAR]</t>
  </si>
  <si>
    <t>Caja Engranaj Distribuidor UD76IJ el-961 · LL961</t>
  </si>
  <si>
    <t>F-MET-345</t>
  </si>
  <si>
    <t>Si</t>
  </si>
  <si>
    <t>MET-MAU-LL961-TRN-CAJE01</t>
  </si>
  <si>
    <t>Caja Engranaj Distribuidor UD76IJ EL-961</t>
  </si>
  <si>
    <t>|MET-MAU-LL961-TRN-CAJE01|</t>
  </si>
  <si>
    <t>Correctivo</t>
  </si>
  <si>
    <t>Correctivo (operar hasta la falla)</t>
  </si>
  <si>
    <t>Al presentarse el bloqueo, diagnosticar con el registro de eventos del convertidor y sustituir la tarjeta del módulo de control por una de repuesto; mantener tarjetas de repuesto en almacén</t>
  </si>
  <si>
    <t>No aplica</t>
  </si>
  <si>
    <t>Técnico electromecánico de material rodante (taller de trenes)</t>
  </si>
  <si>
    <t>Caja de Engranaje EJE MOTRIZ1 el-961 · LL961</t>
  </si>
  <si>
    <t>F-MET-348</t>
  </si>
  <si>
    <t>MET-MAU-LL961-TRN-CAK01</t>
  </si>
  <si>
    <t>Caja DE Engranaje EJE MOTRIZ1 EL-961</t>
  </si>
  <si>
    <t>|MET-MAU-LL961-TRN-CAK01|</t>
  </si>
  <si>
    <t>F-MET-306</t>
  </si>
  <si>
    <t>Plataforma (×7) · P901–P908</t>
  </si>
  <si>
    <t>F-MET-351</t>
  </si>
  <si>
    <t>material de vía</t>
  </si>
  <si>
    <t>D. Regulador de presión inestable por resorte fatigado</t>
  </si>
  <si>
    <t>A.Aislamiento del devanado del motor de tracción degradado por envejecimiento térmico</t>
  </si>
  <si>
    <t>1. Local: El aislamiento del devanado del motor de tracción se daña y el motor se quema.
2. En el equipo: El motor entra en cortocircuito y la protección del convertidor desconecta la tracción de ese grupo. El conductor recibe la alarma en cabina y el tren sigue con menos tracción.
3. General: El tren acelera más lento y no alcanza la velocidad máxima en pendientes; los tiempos de recorrido no se cumplen y el tren se retira al final de la vuelta.</t>
  </si>
  <si>
    <t>MET-MAU-P901</t>
  </si>
  <si>
    <t>Caída de la resistencia de aislamiento y del índice de polarización del devanado del motor de tracción. Se detecta con: prueba de aislamiento con megóhmetro a la tensión que indique el fabricante, registrando la tendencia.</t>
  </si>
  <si>
    <t>D. Electroválvula de descarga pegajosa por suciedad</t>
  </si>
  <si>
    <t>Impacto a la operación; Costo de reparación</t>
  </si>
  <si>
    <t>Falta: carga útil del vehículo.</t>
  </si>
  <si>
    <t>Plataforma 901</t>
  </si>
  <si>
    <t>|MET-MAU-P901|MET-MAU-P902|MET-MAU-P903|MET-MAU-P904|MET-MAU-P905|MET-MAU-P907|MET-MAU-P906|</t>
  </si>
  <si>
    <t>Rótulo</t>
  </si>
  <si>
    <t>Vehículo ferroviario de carga, sin cerramiento, que transporta material de vía.</t>
  </si>
  <si>
    <t>Transportar material de vía [ESTÁNDAR POR CONFIRMAR]</t>
  </si>
  <si>
    <t>Bogie 2 PP-902</t>
  </si>
  <si>
    <t>F-MET-355</t>
  </si>
  <si>
    <t>MET-MAU-P902-BOI-BGE01</t>
  </si>
  <si>
    <t>|MET-MAU-P902-BOI-BGE01|</t>
  </si>
  <si>
    <t>Eje montado (×6) · P901–P908</t>
  </si>
  <si>
    <t>F-MET-359</t>
  </si>
  <si>
    <t>Alcanza una velocidad máxima por debajo de 78 km/h. Estándar: entre 78 y 80 km/h (contexto operacional: Wikipedia). Se verifica con: protocolo C.E8.92.301.</t>
  </si>
  <si>
    <t>MET-MAU-P903-BOI-EJB01</t>
  </si>
  <si>
    <t>1. Local: La protección térmica del motor de tracción se dispara y desconecta el motor.
2. En el equipo: El tren pierde la tracción de ese motor y queda con menos potencia disponible. El tren llega a una velocidad máxima menor a la esperada en tramos rectos.
3. General: El tren circula por debajo de 78 km/h y cumple los tiempos con retraso.</t>
  </si>
  <si>
    <t>EJE 2 PP-903</t>
  </si>
  <si>
    <t>Aumento de temperatura, de consumo de corriente o caída de la resistencia de aislamiento del motor de tracción. Se detecta con: termografía; medición de corriente; prueba de aislamiento (megóhmetro).</t>
  </si>
  <si>
    <t>|MET-MAU-P903-BOI-EJB01|MET-MAU-P903-BOI-EJC01|MET-MAU-P904-BOI-EJP01|MET-MAU-P905-BOI-EJF01|MET-MAU-P905-BOI-EPP01|MET-MAU-P907-BOE-EJEP01|</t>
  </si>
  <si>
    <t>F-MET-312, F-MET-313, F-MET-315, F-MET-320, F-MET-321, F-MET-322</t>
  </si>
  <si>
    <t>Conjunto formado por un par de ruedas y el eje que las une. Los discos de freno y los rodamientos montados sobre el eje o las ruedas se consideran parte del eje montado.</t>
  </si>
  <si>
    <t>F-MET-360</t>
  </si>
  <si>
    <t>Costo de reparación; Continuidad operacional</t>
  </si>
  <si>
    <t>F-MET-311, F-MET-319</t>
  </si>
  <si>
    <t>F-MET-361</t>
  </si>
  <si>
    <t>F-MET-362</t>
  </si>
  <si>
    <t>1. Local: La banda del pantógrafo se desgasta hasta el final de su vida útil y el área de contacto con el hilo disminuye.
2. En el equipo: La captación de corriente es menor y la tensión disponible en el tren baja. El tren llega a una velocidad máxima menor a la esperada en tramos rectos.
3. General: El tren circula por debajo de 78 km/h y cumple los tiempos con retraso.</t>
  </si>
  <si>
    <t>Pérdida progresiva de material de la banda del pantógrafo hasta acercarse al límite de desgaste. Se detecta con: medición con calibre, galga o micrómetro; inspección visual.</t>
  </si>
  <si>
    <t>Enganche Automatico Alliance PP-904</t>
  </si>
  <si>
    <t>F-MET-365</t>
  </si>
  <si>
    <t>MET-MAU-P904-ENA-EAL01</t>
  </si>
  <si>
    <t>A. Válvula de regeneración atascada por contaminación</t>
  </si>
  <si>
    <t>|MET-MAU-P904-ENA-EAL01|</t>
  </si>
  <si>
    <t>F-MET-316</t>
  </si>
  <si>
    <t>F-MET-367</t>
  </si>
  <si>
    <t>Bomba de agua · RGH10</t>
  </si>
  <si>
    <t>Alcanza una velocidad máxima que oscila fuera del rango de 78 a 80 km/h. Estándar: entre 78 y 80 km/h (contexto operacional: Wikipedia). Se verifica con: protocolo C.E8.92.301.</t>
  </si>
  <si>
    <t>F-MET-368</t>
  </si>
  <si>
    <t>agua a presión</t>
  </si>
  <si>
    <t>1. Local: La banda del pantógrafo se desgasta de forma irregular y el contacto con el hilo se interrumpe por instantes.
2. En el equipo: La corriente captada varía en el tiempo. La velocidad oscila sin causa aparente durante el recorrido.
3. General: El tren no sostiene una velocidad estable entre 78 y 80 km/h y el tiempo de recorrido varía.</t>
  </si>
  <si>
    <t>MET-MAU-RGH10-AGU-BOA01</t>
  </si>
  <si>
    <t>Falta: presión de la bomba.</t>
  </si>
  <si>
    <t>Bomba de agua</t>
  </si>
  <si>
    <t>|MET-MAU-RGH10-AGU-BOA01|</t>
  </si>
  <si>
    <t>F-MET-324</t>
  </si>
  <si>
    <t>Máquina que da energía a un líquido para impulsarlo; su desempeño se expresa como caudal (L/min), presión de descarga (bar), potencia (kW) y velocidad (rpm).</t>
  </si>
  <si>
    <t>Definición técnica de trabajo; parámetros y unidades según ISO 14224, clase Bombas (bar, kW, rpm)</t>
  </si>
  <si>
    <t>Suministrar agua a presión [ESTÁNDAR POR CONFIRMAR]</t>
  </si>
  <si>
    <t>Tanque de agua · RGH10</t>
  </si>
  <si>
    <t>F-MET-369</t>
  </si>
  <si>
    <t>agua contra incendio</t>
  </si>
  <si>
    <t>de 3.000</t>
  </si>
  <si>
    <t>MET-MAU-RGH10-AGU-TAN01</t>
  </si>
  <si>
    <t>Harsco Rail</t>
  </si>
  <si>
    <t>Dato de la serie RGHC (equivalente); confirmar.</t>
  </si>
  <si>
    <t>Tanque de agua</t>
  </si>
  <si>
    <t>|MET-MAU-RGH10-AGU-TAN01|</t>
  </si>
  <si>
    <t>Recipiente que almacena el agua del sistema contra incendio.</t>
  </si>
  <si>
    <t>Almacenar agua contra incendio de 3.000 l</t>
  </si>
  <si>
    <t>Compresor a Tornillo · RGH10</t>
  </si>
  <si>
    <t>F-MET-917</t>
  </si>
  <si>
    <t>MET-MAU-RGH10-AIR-COS01</t>
  </si>
  <si>
    <t>Compresor a Tornillo</t>
  </si>
  <si>
    <t>|MET-MAU-RGH10-AIR-COS01|</t>
  </si>
  <si>
    <t>1. Local: El conector del sensor de velocidad se afloja por vibración y la señal se corta de forma intermitente.
2. En el equipo: El control de tracción recibe una lectura de velocidad inestable. La velocidad oscila sin causa aparente durante el recorrido.
3. General: El tren no sostiene una velocidad estable entre 78 y 80 km/h y el tiempo de recorrido varía.</t>
  </si>
  <si>
    <t>F-MET-370</t>
  </si>
  <si>
    <t>Lecturas que varían o se pierden al mover o vibrar el conector, con aumento de la resistencia de contacto del sensor de velocidad. Se detecta con: inspección de conectores; medición de resistencia de contacto; lectura de la señal con equipo de diagnóstico.</t>
  </si>
  <si>
    <t>F-MET-326</t>
  </si>
  <si>
    <t>Secador de aire · RGH10</t>
  </si>
  <si>
    <t>F-MET-372</t>
  </si>
  <si>
    <t>MET-MAU-RGH10-AIR-SEO01</t>
  </si>
  <si>
    <t>Secador de aire</t>
  </si>
  <si>
    <t>|MET-MAU-RGH10-AIR-SEO01|</t>
  </si>
  <si>
    <t>F-MET-327</t>
  </si>
  <si>
    <t>Deposito hidraulico · RGH10</t>
  </si>
  <si>
    <t>F-MET-373</t>
  </si>
  <si>
    <t>MET-MAU-RGH10-AVA-DEP01</t>
  </si>
  <si>
    <t>Deposito hidraulico</t>
  </si>
  <si>
    <t>|MET-MAU-RGH10-AVA-DEP01|</t>
  </si>
  <si>
    <t>No entrega par de tracción. La función se pierde por completo: no se cumple ningún punto del estándar. Estándar: en arranque entre _____ y _____ N·m (valor por confirmar; fabricante). Se verifica con: protocolo C.E8.92.301; lectura del par en el registro del convertidor.</t>
  </si>
  <si>
    <t>Recipiente que almacena el aceite del circuito hidráulico.</t>
  </si>
  <si>
    <t>1. Local: El convertidor de tracción supera su temperatura máxima y se dispara por sobretemperatura.
2. En el equipo: El convertidor deja de entregar potencia a los motores. El tren no arranca al dar potencia y el conductor ve el mensaje de alarma de tracción.
3. General: El tren no recibe par de tracción y queda detenido o sale de circulación.</t>
  </si>
  <si>
    <t>Almacenar el aceite hidráulico [ESTÁNDAR POR CONFIRMAR]</t>
  </si>
  <si>
    <t>Motor y bomba de emergencia · RGH10</t>
  </si>
  <si>
    <t>Aumento de temperatura, de consumo de corriente o caída de la resistencia de aislamiento del convertidor de tracción. Se detecta con: termografía; medición de corriente; prueba de aislamiento (megóhmetro).</t>
  </si>
  <si>
    <t>F-MET-375</t>
  </si>
  <si>
    <t>MET-MAU-RGH10-AVA-MBO01</t>
  </si>
  <si>
    <t>Motor y bomba de emergencia</t>
  </si>
  <si>
    <t>A. Mordaza de sujeción rota por fatiga del material</t>
  </si>
  <si>
    <t>|MET-MAU-RGH10-AVA-MBO01|</t>
  </si>
  <si>
    <t>Conjunto motor–bomba de reserva que mueve el aceite hidráulico cuando la bomba principal no está disponible.</t>
  </si>
  <si>
    <t>Suministrar caudal de emergencia [ESTÁNDAR POR CONFIRMAR]</t>
  </si>
  <si>
    <t>C. Rodamiento del husillo cascado por fatiga</t>
  </si>
  <si>
    <t>Tuberias y accesorios hidraulicos del va · RGH10</t>
  </si>
  <si>
    <t>F-MET-377</t>
  </si>
  <si>
    <t>MET-MAU-RGH10-AVA-TUA01</t>
  </si>
  <si>
    <t>Tuberias y accesorios hidraulicos del va</t>
  </si>
  <si>
    <t>C. Plato del torno descentrado por impacto mecánico</t>
  </si>
  <si>
    <t>|MET-MAU-RGH10-AVA-TUA01|</t>
  </si>
  <si>
    <t>F-MET-330</t>
  </si>
  <si>
    <t>Eje propulsado N2 · RGH10</t>
  </si>
  <si>
    <t>F-MET-382</t>
  </si>
  <si>
    <t>A. Sistema de medición de diámetro bloqueado por defecto del sensor</t>
  </si>
  <si>
    <t>1. Local: El controlador de tracción se bloquea por un bloqueo del programa de control y no emite la orden de torque.
2. En el equipo: El convertidor no recibe consigna y los motores no producen torque. El tren no arranca al dar potencia y el conductor ve el mensaje de alarma de tracción.
3. General: El tren no recibe par de tracción y queda detenido o sale de circulación.</t>
  </si>
  <si>
    <t>No hay una condición detectable que avise con anticipación: el controlador de tracción deja de funcionar de forma súbita. Se detecta con: prueba funcional programada; registro de eventos y alarmas del equipo.</t>
  </si>
  <si>
    <t>MET-MAU-RGH10-BOI-EPR01</t>
  </si>
  <si>
    <t>Eje propulsado N2</t>
  </si>
  <si>
    <t>|MET-MAU-RGH10-BOI-EPR01|</t>
  </si>
  <si>
    <t>F-MET-383</t>
  </si>
  <si>
    <t>C. Carro de copiado descalibrado por desgaste de guías</t>
  </si>
  <si>
    <t>C. Palpador desajustado por impacto mecánico</t>
  </si>
  <si>
    <t>A. Transformador de potencia quemado por sobrecarga</t>
  </si>
  <si>
    <t>F-MET-384</t>
  </si>
  <si>
    <t>A. Interruptor general disparado por cortocircuito en el cableado</t>
  </si>
  <si>
    <t>A. Terminal de potencia sulfatado por humedad</t>
  </si>
  <si>
    <t>B. Contactor de potencia picado por desgaste de contactos</t>
  </si>
  <si>
    <t>F-MET-385</t>
  </si>
  <si>
    <t>B. Conexión de potencia floja por vibración</t>
  </si>
  <si>
    <t>Aire acondicionado · RGH10</t>
  </si>
  <si>
    <t>F-MET-387</t>
  </si>
  <si>
    <t>Enfriar</t>
  </si>
  <si>
    <t>el aire de cabina</t>
  </si>
  <si>
    <t>a temperatura de consigna de _____</t>
  </si>
  <si>
    <t>MET-MAU-RGH10-CAJ-AAC01</t>
  </si>
  <si>
    <t>Falta: temperatura de consigna y tolerancia (ficha).</t>
  </si>
  <si>
    <t>Aire acondicionado</t>
  </si>
  <si>
    <t>|MET-MAU-RGH10-CAJ-AAC01|</t>
  </si>
  <si>
    <t>Protocolo C.E8.92.205 Equipo HVAC cabina</t>
  </si>
  <si>
    <t>Equipo que enfría y acondiciona el aire del espacio ocupado (cabina o salón).</t>
  </si>
  <si>
    <t>Enfriar el aire de cabina [ESTÁNDAR POR CONFIRMAR]</t>
  </si>
  <si>
    <t>Entrega par de tracción por debajo de _____ N·m. Estándar: en arranque entre _____ y _____ N·m (valor por confirmar; fabricante). Se verifica con: protocolo C.E8.92.301; lectura del par en el registro del convertidor.</t>
  </si>
  <si>
    <t>Cabina (×2) · RGH10</t>
  </si>
  <si>
    <t>F-MET-390</t>
  </si>
  <si>
    <t>1. Local: La protección térmica del motor de tracción se dispara y desconecta el motor.
2. En el equipo: El tren pierde el torque de ese motor y la fuerza de tracción total baja. El tren tarda más en llegar a velocidad y los registros de tracción lo confirman.
3. General: El tren recibe un par menor al mínimo y se pierden segundos por estación.</t>
  </si>
  <si>
    <t>MET-MAU-RGH10-CAJ-CBN01</t>
  </si>
  <si>
    <t>Cabina auxiliar</t>
  </si>
  <si>
    <t>|MET-MAU-RGH10-CAJ-CBN01|MET-MAU-RGH10-CAJ-CPR01|</t>
  </si>
  <si>
    <t>F-MET-340, F-MET-341</t>
  </si>
  <si>
    <t>Sistema contra incendios · RGH10</t>
  </si>
  <si>
    <t>F-MET-392</t>
  </si>
  <si>
    <t>Extinguir</t>
  </si>
  <si>
    <t>los conatos de incendio</t>
  </si>
  <si>
    <t>con capacidad de _____</t>
  </si>
  <si>
    <t>A. Motor hidráulico gripado por contaminación del aceite</t>
  </si>
  <si>
    <t>MET-MAU-RGH10-COI-CNT01</t>
  </si>
  <si>
    <t>Falta: capacidad del sistema.</t>
  </si>
  <si>
    <t>Sistema contra incendios</t>
  </si>
  <si>
    <t>|MET-MAU-RGH10-COI-CNT01|</t>
  </si>
  <si>
    <t>Inspección</t>
  </si>
  <si>
    <t>A. Manguera del motor hidráulico reventada por fatiga de la malla</t>
  </si>
  <si>
    <t>F-MET-343</t>
  </si>
  <si>
    <t>Sistema que detecta y combate los conatos de incendio de la máquina.</t>
  </si>
  <si>
    <t>Extinguir los conatos de incendio [ESTÁNDAR POR CONFIRMAR]</t>
  </si>
  <si>
    <t>Filtros colector de polvo y bandejas · RGH10</t>
  </si>
  <si>
    <t>F-MET-393</t>
  </si>
  <si>
    <t>el polvo de esmerilado</t>
  </si>
  <si>
    <t>hasta presión diferencial de _____</t>
  </si>
  <si>
    <t>Pa</t>
  </si>
  <si>
    <t>B. Motor hidráulico desgastado por holguras internas</t>
  </si>
  <si>
    <t>MET-MAU-RGH10-COL-FIL01</t>
  </si>
  <si>
    <t>Falta: presión diferencial de cambio.</t>
  </si>
  <si>
    <t>Filtros colector de polvo y bandejas</t>
  </si>
  <si>
    <t>|MET-MAU-RGH10-COL-FIL01|</t>
  </si>
  <si>
    <t>B. Sello del motor hidráulico desgastado por fin de vida útil</t>
  </si>
  <si>
    <t>Manómetro diferencial</t>
  </si>
  <si>
    <t>Equipo que capta y retiene el polvo generado en el esmerilado; se vigila por la presión diferencial a través de sus filtros.</t>
  </si>
  <si>
    <t>Retener el polvo de esmerilado [ESTÁNDAR POR CONFIRMAR]</t>
  </si>
  <si>
    <t>Baterias · RGH10</t>
  </si>
  <si>
    <t>F-MET-394</t>
  </si>
  <si>
    <t>B. Motor hidráulico ruidoso por aire en la succión</t>
  </si>
  <si>
    <t>MET-MAU-RGH10-ELE-BTE01</t>
  </si>
  <si>
    <t>Baterias</t>
  </si>
  <si>
    <t>|MET-MAU-RGH10-ELE-BTE01|</t>
  </si>
  <si>
    <t>F-MET-907</t>
  </si>
  <si>
    <t>1. Local: El rodamiento del ventilador del convertidor se desgasta y el ventilador gira lento.
2. En el equipo: La refrigeración del convertidor disminuye y el convertidor reduce su potencia para proteger sus componentes. El tren tarda más en llegar a velocidad y los registros de tracción lo confirman.
3. General: El tren recibe un par menor al mínimo y se pierden segundos por estación.</t>
  </si>
  <si>
    <t>Movimiento duro, ruido o calentamiento anormal del ventilador del convertidor antes de trabarse. Se detecta con: análisis de vibraciones; termografía; análisis de partículas en el aceite.</t>
  </si>
  <si>
    <t>Cabezal esmerilador (×12) · RGH10</t>
  </si>
  <si>
    <t>F-MET-406</t>
  </si>
  <si>
    <t>Remover</t>
  </si>
  <si>
    <t>metal del riel</t>
  </si>
  <si>
    <t>mm por pasada</t>
  </si>
  <si>
    <t>MET-MAU-RGH10-ESM-CAE01</t>
  </si>
  <si>
    <t>A. Eje fracturado por fatiga del material</t>
  </si>
  <si>
    <t>Falta: remoción por pasada.</t>
  </si>
  <si>
    <t>Cabezal esmerilador No 1 Der</t>
  </si>
  <si>
    <t>|MET-MAU-RGH10-ESM-CAE01|MET-MAU-RGH10-ESM-CAE02|MET-MAU-RGH10-ESM-CAE03|MET-MAU-RGH10-ESM-CAE04|MET-MAU-RGH10-ESM-CAE05|MET-MAU-RGH10-ESM-CAN01|MET-MAU-RGH10-ESM-CAN02|MET-MAU-RGH10-ESM-CAN03|MET-MAU-RGH10-ESM-CAN04|MET-MAU-RGH10-ESM-CAN05|MET-MAU-RGH10-ESM-ESE01|MET-MAU-RGH10-ESM-ESE02|</t>
  </si>
  <si>
    <t>Medición de perfil</t>
  </si>
  <si>
    <t>F-MET-357, F-MET-358, F-MET-359, F-MET-360, F-MET-361, F-MET-362, F-MET-363, F-MET-364, F-MET-365, F-MET-366, F-MET-367, F-MET-368</t>
  </si>
  <si>
    <t>A. Rodamiento de caja de grasa cascado por fatiga</t>
  </si>
  <si>
    <t>Conjunto de muela abrasiva, motor y soporte que remueve metal de la superficie del riel girando a una velocidad definida.</t>
  </si>
  <si>
    <t>Remover metal del riel [ESTÁNDAR POR CONFIRMAR]</t>
  </si>
  <si>
    <t>F-MET-407</t>
  </si>
  <si>
    <t>Girar</t>
  </si>
  <si>
    <t>la muela</t>
  </si>
  <si>
    <t>a 6.000</t>
  </si>
  <si>
    <t>B. Eje fisurado por corrosión bajo fatiga</t>
  </si>
  <si>
    <t>Dato de la serie RGHC de Harsco (equivalente); confirmar con la RGH10C.</t>
  </si>
  <si>
    <t>Tacómetro</t>
  </si>
  <si>
    <t>B. Caja de grasa recalentada por pérdida de la película lubricante</t>
  </si>
  <si>
    <t>Girar la muela a 6.000 rpm</t>
  </si>
  <si>
    <t>F-MET-408</t>
  </si>
  <si>
    <t>Orientar</t>
  </si>
  <si>
    <t>el cabezal</t>
  </si>
  <si>
    <t>de 45 (campo) a 75 (trocha)</t>
  </si>
  <si>
    <t>grados</t>
  </si>
  <si>
    <t>Indicador de ángulo</t>
  </si>
  <si>
    <t>Entrega par de tracción por encima de _____ N·m. Estándar: en arranque entre _____ y _____ N·m (valor por confirmar; fabricante). Se verifica con: protocolo C.E8.92.301; lectura del par en el registro del convertidor.</t>
  </si>
  <si>
    <t>Orientar el cabezal de 45° campo a 75° trocha</t>
  </si>
  <si>
    <t>Sistema Frenos · RGH10</t>
  </si>
  <si>
    <t>1. Local: El sensor de carga se descalibra por deriva electrónica y reporta menos carga de la real.
2. En el equipo: El control calcula una consigna de torque mayor a la necesaria. Los pasajeros de pie sienten tirones al arrancar.
3. General: El tren recibe un par mayor al máximo y aumenta el esfuerzo sobre acoples y confort.</t>
  </si>
  <si>
    <t>F-MET-410</t>
  </si>
  <si>
    <t>Deriva del sensor de carga frente al valor patrón, con lecturas o ajustes que se van corriendo. Se detecta con: verificación contra patrón calibrado; lectura de parámetros; medición de alineación o vibración.</t>
  </si>
  <si>
    <t>MET-MAU-RGH10-FRN</t>
  </si>
  <si>
    <t>|MET-MAU-RGH10-FRN|</t>
  </si>
  <si>
    <t>Equipo de Corrugacion · RGH10</t>
  </si>
  <si>
    <t>F-MET-415</t>
  </si>
  <si>
    <t>la corrugación del riel</t>
  </si>
  <si>
    <t>A. Rueda suelta por pérdida del calado</t>
  </si>
  <si>
    <t>MET-MAU-RGH10-MED-COU01</t>
  </si>
  <si>
    <t>Falta: la precisión de medición.</t>
  </si>
  <si>
    <t>Equipo de Corrugacion</t>
  </si>
  <si>
    <t>|MET-MAU-RGH10-MED-COU01|</t>
  </si>
  <si>
    <t>Calibración con patrón</t>
  </si>
  <si>
    <t>B. Rueda desplazada por pérdida parcial de calado</t>
  </si>
  <si>
    <t>Equipo que mide la ondulación (corrugación) de la superficie del riel.</t>
  </si>
  <si>
    <t>Medir la corrugación del riel [ESTÁNDAR POR CONFIRMAR]</t>
  </si>
  <si>
    <t>Equipo de Medicion Perfill Transversal · RGH10</t>
  </si>
  <si>
    <t>F-MET-416</t>
  </si>
  <si>
    <t>C. Eje deformado por impacto en descarrilamiento previo</t>
  </si>
  <si>
    <t>el perfil del riel</t>
  </si>
  <si>
    <t>MET-MAU-RGH10-MED-MEP01</t>
  </si>
  <si>
    <t>Falta: exactitud del equipo.</t>
  </si>
  <si>
    <t>Equipo de Medicion Perfill Transversal</t>
  </si>
  <si>
    <t>|MET-MAU-RGH10-MED-MEP01|</t>
  </si>
  <si>
    <t>A. Depósito hidráulico roto por impacto mecánico</t>
  </si>
  <si>
    <t>Equipo que mide el perfil transversal del riel.</t>
  </si>
  <si>
    <t>Medir el perfil del riel [ESTÁNDAR POR CONFIRMAR]</t>
  </si>
  <si>
    <t>Caja de engranajes (×3) · RGH10</t>
  </si>
  <si>
    <t>1. Local: El control de tracción pierde los parámetros configurados y asume valores de torque mayores a los de diseño.
2. En el equipo: El convertidor entrega torque por encima del nominal. Los pasajeros de pie sienten tirones al arrancar.
3. General: El tren recibe un par mayor al máximo y aumenta el esfuerzo sobre acoples y confort.</t>
  </si>
  <si>
    <t>F-MET-418</t>
  </si>
  <si>
    <t>No hay una condición detectable que avise con anticipación: el control de tracción deja de funcionar de forma súbita. Se detecta con: prueba funcional programada; registro de eventos y alarmas del equipo.</t>
  </si>
  <si>
    <t>B. Tapón de drenaje flojo por vibración</t>
  </si>
  <si>
    <t>MET-MAU-RGH10-TRC-CBO01</t>
  </si>
  <si>
    <t>Caja de bombas</t>
  </si>
  <si>
    <t>|MET-MAU-RGH10-TRC-CBO01|MET-MAU-RGH10-TRC-TRP01|MET-MAU-RGH10-TRC-TRP02|</t>
  </si>
  <si>
    <t>B. Junta del depósito resecada por envejecimiento</t>
  </si>
  <si>
    <t>F-MET-374, F-MET-379, F-MET-380</t>
  </si>
  <si>
    <t>Combustible · RGH10</t>
  </si>
  <si>
    <t>F-MET-422</t>
  </si>
  <si>
    <t>B. Visor de nivel agrietado por impacto mecánico</t>
  </si>
  <si>
    <t>MET-MAU-RGH10-TRC-CMB01</t>
  </si>
  <si>
    <t>Combustible</t>
  </si>
  <si>
    <t>|MET-MAU-RGH10-TRC-CMB01|</t>
  </si>
  <si>
    <t>Sin mantenimiento proactivo programado (operar hasta la falla)</t>
  </si>
  <si>
    <t>Filtracion de Motor · RGH10</t>
  </si>
  <si>
    <t>F-MET-423</t>
  </si>
  <si>
    <t>Filtrar</t>
  </si>
  <si>
    <t>el aire de admisión</t>
  </si>
  <si>
    <t>con restricción máxima de _____</t>
  </si>
  <si>
    <t>mbar</t>
  </si>
  <si>
    <t>MET-MAU-RGH10-TRC-FIM01</t>
  </si>
  <si>
    <t>Falta: restricción máxima de admisión (manual del motor).</t>
  </si>
  <si>
    <t>Filtracion de Motor</t>
  </si>
  <si>
    <t>|MET-MAU-RGH10-TRC-FIM01|</t>
  </si>
  <si>
    <t>Indicador de mantenimiento del filtro</t>
  </si>
  <si>
    <t>F-MET-376</t>
  </si>
  <si>
    <t>Conjunto que filtra el aire que entra al motor; se controla por la restricción de admisión.</t>
  </si>
  <si>
    <t>Filtrar el aire de admisión [ESTÁNDAR POR CONFIRMAR]</t>
  </si>
  <si>
    <t>Entrega un par de tracción que oscila fuera del rango de _____ a _____ N·m. Estándar: en arranque entre _____ y _____ N·m (valor por confirmar; fabricante). Se verifica con: protocolo C.E8.92.301; lectura del par en el registro del convertidor.</t>
  </si>
  <si>
    <t>Motor Diesel · RGH10</t>
  </si>
  <si>
    <t>F-MET-424</t>
  </si>
  <si>
    <t>1. Local: Los contactos del contactor de línea se pican por desgaste y la conexión de potencia se interrumpe de forma intermitente.
2. En el equipo: La tensión que llega al convertidor varía durante el arranque. El tren arranca con tirones intermitentes que el conductor reporta.
3. General: El par de tracción oscila fuera del rango previsto y el arranque es irregular.</t>
  </si>
  <si>
    <t>Pérdida progresiva de material del contactor de línea hasta acercarse al límite de desgaste. Se detecta con: medición con calibre, galga o micrómetro; inspección visual.</t>
  </si>
  <si>
    <t>MET-MAU-RGH10-TRC-MOR01</t>
  </si>
  <si>
    <t>|MET-MAU-RGH10-TRC-MOR01|</t>
  </si>
  <si>
    <t>Refrigeracion · RGH10</t>
  </si>
  <si>
    <t>F-MET-428</t>
  </si>
  <si>
    <t>Disipar</t>
  </si>
  <si>
    <t>A. Bobinado del generador quemado por sobrecalentamiento</t>
  </si>
  <si>
    <t>el calor del motor</t>
  </si>
  <si>
    <t>con temperatura máxima del refrigerante de _____</t>
  </si>
  <si>
    <t>MET-MAU-RGH10-TRC-REF01</t>
  </si>
  <si>
    <t>Falta: temperatura de trabajo del refrigerante.</t>
  </si>
  <si>
    <t>Refrigeracion</t>
  </si>
  <si>
    <t>|MET-MAU-RGH10-TRC-REF01|</t>
  </si>
  <si>
    <t>A. Correa del generador rota por fatiga</t>
  </si>
  <si>
    <t>Termómetro / termografía</t>
  </si>
  <si>
    <t>F-MET-378</t>
  </si>
  <si>
    <t>Sistema que retira el calor del motor mediante refrigerante y radiador; se controla por la temperatura del refrigerante.</t>
  </si>
  <si>
    <t>Disipar el calor del motor [ESTÁNDAR POR CONFIRMAR]</t>
  </si>
  <si>
    <t>Compresor de tornillo MATTEI · SRT20</t>
  </si>
  <si>
    <t>F-MET-918</t>
  </si>
  <si>
    <t>B. Escobillas del generador desgastadas por fin de vida útil</t>
  </si>
  <si>
    <t>MET-MAU-SRT20-ESM-CMR01</t>
  </si>
  <si>
    <t>Compresor de tornillo MATTEI</t>
  </si>
  <si>
    <t>B. Correa del generador aflojada por desgaste</t>
  </si>
  <si>
    <t>|MET-MAU-SRT20-ESM-CMR01|</t>
  </si>
  <si>
    <t>B. Conexión del generador floja por vibración</t>
  </si>
  <si>
    <t>F-MET-431</t>
  </si>
  <si>
    <t>1. Local: Las soldaduras de la tarjeta de control se fatigan y pierden contacto de forma intermitente.
2. En el equipo: La consigna de torque cambia durante el arranque. El tren arranca con tirones intermitentes que el conductor reporta.
3. General: El par de tracción oscila fuera del rango previsto y el arranque es irregular.</t>
  </si>
  <si>
    <t>Lecturas o comportamiento inestables de la tarjeta de control al vibrar o calentarse. Se detecta con: inspección visual de las soldaduras; prueba funcional bajo vibración; termografía.</t>
  </si>
  <si>
    <t>C. Regulador de tensión descalibrado por deriva</t>
  </si>
  <si>
    <t>Grupo motor amolado (×13) · SRT20</t>
  </si>
  <si>
    <t>F-MET-433</t>
  </si>
  <si>
    <t>a _____</t>
  </si>
  <si>
    <t>MET-MAU-SRT20-ESM-MOA01</t>
  </si>
  <si>
    <t>Falta: la potencia y la velocidad de la muela.</t>
  </si>
  <si>
    <t>Grupo motor amolado # 12</t>
  </si>
  <si>
    <t>|MET-MAU-SRT20-ESM-MOA01|MET-MAU-SRT20-ESM-MOA02|MET-MAU-SRT20-ESM-MOA03|MET-MAU-SRT20-ESM-MOA04|MET-MAU-SRT20-ESM-MOA05|MET-MAU-SRT20-ESM-MOA06|MET-MAU-SRT20-ESM-MOA07|MET-MAU-SRT20-ESM-MOA08|MET-MAU-SRT20-ESM-MOA09|MET-MAU-SRT20-ESM-MOA10|MET-MAU-SRT20-ESM-MOA11|MET-MAU-SRT20-ESM-MOA12|MET-MAU-SRT20-ESM-MOA13|</t>
  </si>
  <si>
    <t>F-MET-383, F-MET-384, F-MET-385, F-MET-386, F-MET-387, F-MET-388, F-MET-389, F-MET-390, F-MET-391, F-MET-392, F-MET-393, F-MET-394, F-MET-395</t>
  </si>
  <si>
    <t>Girar la muela [ESTÁNDAR POR CONFIRMAR]</t>
  </si>
  <si>
    <t>F-MET-434</t>
  </si>
  <si>
    <t>Locomotora TG80</t>
  </si>
  <si>
    <t>F-MET-435</t>
  </si>
  <si>
    <t>MET-MAU-TG80</t>
  </si>
  <si>
    <t>|MET-MAU-TG80|</t>
  </si>
  <si>
    <t>No mantiene la presión del depósito principal. La función se pierde por completo: no se cumple ningún punto del estándar. Estándar: del depósito principal entre 8,5 y 10 bar (fabricante). Se verifica con: manómetro doble B15.</t>
  </si>
  <si>
    <t>A. Tirante de timonería roto por fatiga del material</t>
  </si>
  <si>
    <t>1. Local: La tubería de alimentación del depósito principal se rompe por la vibración y la corrosión y el aire se escapa.
2. En el equipo: El depósito pierde presión de forma continua. El manómetro de depósito principal marca cero o cae continuamente y el conductor recibe la alarma de baja presión.
3. General: Los equipos neumáticos se quedan sin reserva y el tren sale de circulación.</t>
  </si>
  <si>
    <t>Fisura, deformación o marca de rotura incipiente de la tubería de alimentación del depósito principal. Se detecta con: inspección visual y ensayos no destructivos (líquidos penetrantes o partículas magnéticas).</t>
  </si>
  <si>
    <t>Compresor Aire · TG80</t>
  </si>
  <si>
    <t>F-MET-919</t>
  </si>
  <si>
    <t>B. Ajustador de timonería bloqueado por corrosión</t>
  </si>
  <si>
    <t>MET-MAU-TG80-AIR-COP01</t>
  </si>
  <si>
    <t>C. Pasadores de timonería desgastados por pérdida de la película lubricante</t>
  </si>
  <si>
    <t>|MET-MAU-TG80-AIR-COP01|</t>
  </si>
  <si>
    <t>C. Zapatas de freno desgastadas por fin de vida útil</t>
  </si>
  <si>
    <t>F-MET-437</t>
  </si>
  <si>
    <t>C. Ajustador de timonería desajustado por vibración</t>
  </si>
  <si>
    <t>F-MET-397</t>
  </si>
  <si>
    <t>Secador de Aire · TG80</t>
  </si>
  <si>
    <t>F-MET-439</t>
  </si>
  <si>
    <t>A. Cuerda de medición rota por fatiga del material</t>
  </si>
  <si>
    <t>MET-MAU-TG80-AIR-SAI01</t>
  </si>
  <si>
    <t>|MET-MAU-TG80-AIR-SAI01|</t>
  </si>
  <si>
    <t>B. Resorte tensor debilitado por fatiga</t>
  </si>
  <si>
    <t>1. Local: El motor eléctrico del compresor se quema y el compresor se detiene.
2. En el equipo: No se produce aire comprimido para reponer el consumo del tren. El manómetro de depósito principal cae de forma continua y el conductor recibe la alarma de baja presión.
3. General: Al agotarse la reserva de aire el tren no puede operar sus equipos neumáticos y sale de circulación.</t>
  </si>
  <si>
    <t>Aumento de temperatura y de consumo de corriente del motor. Se detecta con: termografía; medición de corriente; prueba de aislamiento (megóhmetro).</t>
  </si>
  <si>
    <t>F-MET-398</t>
  </si>
  <si>
    <t>B. Polea de la cuerda trabada por suciedad</t>
  </si>
  <si>
    <t>Mangueras y Racores · TG80</t>
  </si>
  <si>
    <t>F-MET-440</t>
  </si>
  <si>
    <t>MET-MAU-TG80-AVA-MRA01</t>
  </si>
  <si>
    <t>A. Piñón de la caja distribuidora fracturado por fatiga del diente</t>
  </si>
  <si>
    <t>|MET-MAU-TG80-AVA-MRA01|</t>
  </si>
  <si>
    <t>F-MET-399</t>
  </si>
  <si>
    <t>Equipo DE Traccion (×2) · TG80</t>
  </si>
  <si>
    <t>F-MET-441</t>
  </si>
  <si>
    <t>B. Diferencial de la caja desgastado por fin de vida útil</t>
  </si>
  <si>
    <t>MET-MAU-TG80-AVA-TRI01</t>
  </si>
  <si>
    <t>|MET-MAU-TG80-AVA-TRI01|MET-MAU-TG80-AVA-TRI02|</t>
  </si>
  <si>
    <t>F-MET-400, F-MET-401</t>
  </si>
  <si>
    <t>B. Rodamiento de la caja distribuidora cascado por fatiga</t>
  </si>
  <si>
    <t>Bogie (×2) · TG80</t>
  </si>
  <si>
    <t>F-MET-442</t>
  </si>
  <si>
    <t>MET-MAU-TG80-BOI-BGE01</t>
  </si>
  <si>
    <t>|MET-MAU-TG80-BOI-BGE01|MET-MAU-TG80-BOI-BGE02|</t>
  </si>
  <si>
    <t>F-MET-402, F-MET-404</t>
  </si>
  <si>
    <t>F-MET-443</t>
  </si>
  <si>
    <t>A. Filtro de combustible obstruido por suciedad</t>
  </si>
  <si>
    <t>Mantiene la presión del depósito principal por debajo de 8,5 bar. Estándar: del depósito principal entre 8,5 y 10 bar (fabricante). Se verifica con: manómetro doble B15.</t>
  </si>
  <si>
    <t>F-MET-403, F-MET-405</t>
  </si>
  <si>
    <t>1. Local: Las válvulas del compresor se desgastan hasta el final de su vida útil y pierden estanqueidad: parte del aire comprimido se devuelve en cada ciclo.
2. En el equipo: El compresor entrega menos caudal y tarda más en subir la presión. El manómetro marca menos de 8,5 bar y el compresor trabaja sin descanso.
3. General: El tren opera con presión de depósito por debajo del mínimo y con el compresor trabajando continuamente.</t>
  </si>
  <si>
    <t>Engranaje DE Ejes Bogie (×2) · TG80</t>
  </si>
  <si>
    <t>F-MET-445</t>
  </si>
  <si>
    <t>Pérdida progresiva de material de las válvulas del compresor hasta acercarse al límite de desgaste. Se detecta con: medición con calibre, galga o micrómetro; inspección visual.</t>
  </si>
  <si>
    <t>MET-MAU-TG80-BOI-ENE01</t>
  </si>
  <si>
    <t>B. Turbocompresor desgastado por fin de vida útil</t>
  </si>
  <si>
    <t>|MET-MAU-TG80-BOI-ENE01|MET-MAU-TG80-BOI-ENE02|</t>
  </si>
  <si>
    <t>F-MET-406, F-MET-407</t>
  </si>
  <si>
    <t>Banco de Baterias · TG80</t>
  </si>
  <si>
    <t>F-MET-450</t>
  </si>
  <si>
    <t>B. Regulador de velocidad inestable por desgaste</t>
  </si>
  <si>
    <t>Continuidad operacional; Costo de reparación</t>
  </si>
  <si>
    <t>MET-MAU-TG80-ELE-BAN01</t>
  </si>
  <si>
    <t>|MET-MAU-TG80-ELE-BAN01|</t>
  </si>
  <si>
    <t>A. Bomba de combustible atascada por desgaste</t>
  </si>
  <si>
    <t>F-MET-409</t>
  </si>
  <si>
    <t>F-MET-908</t>
  </si>
  <si>
    <t>Cilindros de Freno · TG80</t>
  </si>
  <si>
    <t>F-MET-455</t>
  </si>
  <si>
    <t>1. Local: El racor de la tubería principal se afloja por vibración y deja escapar aire.
2. En el equipo: La presión del depósito baja más rápido de lo que el compresor la repone. El manómetro marca menos de 8,5 bar y el compresor trabaja sin descanso.
3. General: El tren opera con presión de depósito por debajo del mínimo y con el compresor trabajando continuamente.</t>
  </si>
  <si>
    <t>Pérdida de apriete, holgura o marcas de testigo desalineadas del racor de la tubería principal. Se detecta con: control de torque con llave; inspección visual de marcas de testigo.</t>
  </si>
  <si>
    <t>MET-MAU-TG80-FRN-CIR01</t>
  </si>
  <si>
    <t>|MET-MAU-TG80-FRN-CIR01|</t>
  </si>
  <si>
    <t>F-MET-411</t>
  </si>
  <si>
    <t>A. Barra de tracción rota por fatiga del material</t>
  </si>
  <si>
    <t>Freno Estacionamiento · TG80</t>
  </si>
  <si>
    <t>F-MET-457</t>
  </si>
  <si>
    <t>MET-MAU-TG80-FRN-FES01</t>
  </si>
  <si>
    <t>|MET-MAU-TG80-FRN-FES01|</t>
  </si>
  <si>
    <t>A. Embrague patinado por disco gastado</t>
  </si>
  <si>
    <t>F-MET-412</t>
  </si>
  <si>
    <t>Freno Directo · TG80</t>
  </si>
  <si>
    <t>F-MET-458</t>
  </si>
  <si>
    <t>B. Arenero obstruido por humedad en la arena</t>
  </si>
  <si>
    <t>MET-MAU-TG80-FRN-FRD01</t>
  </si>
  <si>
    <t>|MET-MAU-TG80-FRN-FRD01|</t>
  </si>
  <si>
    <t>1. Local: El resorte de la válvula de seguridad se debilita y la válvula abre a una presión menor a la de tarado.
2. En el equipo: El depósito descarga aire a la atmósfera antes de alcanzar la presión de trabajo. El manómetro marca menos de 8,5 bar y el compresor trabaja sin descanso.
3. General: El tren opera con presión de depósito por debajo del mínimo y con el compresor trabajando continuamente.</t>
  </si>
  <si>
    <t>Presión de apertura por debajo (o por encima) del tarado, descargas frecuentes o fuga en el asiento de la válvula de seguridad. Se detecta con: prueba de tarado en banco; inspección del asiento; lectura de presión.</t>
  </si>
  <si>
    <t>F-MET-413</t>
  </si>
  <si>
    <t>Freno Indirecto · TG80</t>
  </si>
  <si>
    <t>F-MET-459</t>
  </si>
  <si>
    <t>MET-MAU-TG80-FRN-FRI01</t>
  </si>
  <si>
    <t>|MET-MAU-TG80-FRN-FRI01|</t>
  </si>
  <si>
    <t>F-MET-414</t>
  </si>
  <si>
    <t>Timoneria de Frenos · TG80</t>
  </si>
  <si>
    <t>F-MET-460</t>
  </si>
  <si>
    <t>MET-MAU-TG80-FRN-TIM01</t>
  </si>
  <si>
    <t>|MET-MAU-TG80-FRN-TIM01|</t>
  </si>
  <si>
    <t>Motor Diesel (×2) · TG80</t>
  </si>
  <si>
    <t>F-MET-463</t>
  </si>
  <si>
    <t>MET-MAU-TG80-MOT-MOR01</t>
  </si>
  <si>
    <t>Mantiene la presión del depósito principal por encima de 10 bar. Estándar: del depósito principal entre 8,5 y 10 bar (fabricante). Se verifica con: manómetro doble B15.</t>
  </si>
  <si>
    <t>|MET-MAU-TG80-MOT-MOR01|MET-MAU-TG80-TRC-MOR01|</t>
  </si>
  <si>
    <t>1. Local: El presostato del compresor se descalibra por deriva con el tiempo y no corta el compresor a la presión prevista.
2. En el equipo: El compresor sigue comprimiendo y la presión del depósito sube por encima de 10 bar. El manómetro supera 10 bar y la válvula de seguridad descarga.
3. General: El tren opera con presión por encima del rango y la válvula de seguridad descarga aire.</t>
  </si>
  <si>
    <t>Deriva del presostato del compresor frente al valor patrón, con lecturas o ajustes que se van corriendo. Se detecta con: verificación contra patrón calibrado; lectura de parámetros; medición de alineación o vibración.</t>
  </si>
  <si>
    <t>F-MET-418, F-MET-419</t>
  </si>
  <si>
    <t>Tolva (×3) · TT921–TT923</t>
  </si>
  <si>
    <t>F-MET-468</t>
  </si>
  <si>
    <t>MET-MAU-TT921</t>
  </si>
  <si>
    <t>Tolva 921</t>
  </si>
  <si>
    <t>|MET-MAU-TT921|MET-MAU-TT922|MET-MAU-TT923|</t>
  </si>
  <si>
    <t>Vagón con depósito inferior descargable que transporta material a granel (por ejemplo, balasto).</t>
  </si>
  <si>
    <t>Eje montado (×4) · TT921–TT923</t>
  </si>
  <si>
    <t>F-MET-469</t>
  </si>
  <si>
    <t>MET-MAU-TT921-BOI-EJA01</t>
  </si>
  <si>
    <t>EJE 1 TT-921</t>
  </si>
  <si>
    <t>|MET-MAU-TT921-BOI-EJA01|MET-MAU-TT921-BOI-EJD01|MET-MAU-TT922-BOI-ETT01|MET-MAU-TT923-BOI-EJET01|</t>
  </si>
  <si>
    <t>F-MET-420, F-MET-421, F-MET-423, F-MET-427</t>
  </si>
  <si>
    <t>F-MET-470</t>
  </si>
  <si>
    <t>F-MET-426</t>
  </si>
  <si>
    <t>F-MET-471</t>
  </si>
  <si>
    <t>1. Local: El asiento de la válvula de seguridad se corroe y la válvula se atasca cerrada.
2. En el equipo: El depósito no descarga el exceso de presión. El manómetro supera 10 bar y la válvula de seguridad descarga cuando logra abrir.
3. General: El tren opera con presión por encima del rango de 8,5 a 10 bar.</t>
  </si>
  <si>
    <t>Respuesta más lenta o movimiento duro de la válvula de seguridad antes de quedar trabado. Se detecta con: prueba funcional; medición de tiempos de ciclo.</t>
  </si>
  <si>
    <t>F-MET-472</t>
  </si>
  <si>
    <t>Enganche Automatico Alliance TT-923</t>
  </si>
  <si>
    <t>F-MET-479</t>
  </si>
  <si>
    <t>MET-MAU-TT923-ENA-EAL01</t>
  </si>
  <si>
    <t>|MET-MAU-TT923-ENA-EAL01|</t>
  </si>
  <si>
    <t>F-MET-481</t>
  </si>
  <si>
    <t>Mantiene la presión del depósito principal con oscilaciones fuera del rango de 8,5 a 10 bar. Estándar: del depósito principal entre 8,5 y 10 bar (fabricante). Se verifica con: manómetro doble B15.</t>
  </si>
  <si>
    <t>1. Local: Los contactos del presostato se sulfatan y cambian de estado de forma inestable.
2. En el equipo: El compresor arranca y para sin seguir los umbrales de presión. La presión sube y baja sin patrón y el compresor arranca y para con frecuencia.
3. General: El depósito opera con oscilaciones fuera del rango de 8,5 a 10 bar y el compresor sufre arranques frecuentes.</t>
  </si>
  <si>
    <t>Deriva del presostato frente al valor patrón, con lecturas o ajustes que se van corriendo. Se detecta con: verificación contra patrón calibrado; lectura de parámetros; medición de alineación o vibración.</t>
  </si>
  <si>
    <t>Unimog 310</t>
  </si>
  <si>
    <t>F-MET-482</t>
  </si>
  <si>
    <t>hasta 50</t>
  </si>
  <si>
    <t>MET-MAU-U310</t>
  </si>
  <si>
    <t>Mercedes-Benz</t>
  </si>
  <si>
    <t>|MET-MAU-U310|</t>
  </si>
  <si>
    <t>Ficha / prueba</t>
  </si>
  <si>
    <t>Vehículo bivial: camión que circula por carretera y, con un dispositivo de guía, también por el riel.</t>
  </si>
  <si>
    <t>Circular por la vía hasta 50 km/h</t>
  </si>
  <si>
    <t>Bomba de Presion de Aperos UN-310 · U310</t>
  </si>
  <si>
    <t>F-MET-483</t>
  </si>
  <si>
    <t>MET-MAU-U310-AVA-BBA01</t>
  </si>
  <si>
    <t>Bomba DE Presion DE Aperos UN-310</t>
  </si>
  <si>
    <t>|MET-MAU-U310-AVA-BBA01|</t>
  </si>
  <si>
    <t>Suministrar caudal de aceite [ESTÁNDAR POR CONFIRMAR]</t>
  </si>
  <si>
    <t>F-MET-484</t>
  </si>
  <si>
    <t>1. Local: El asiento de la electroválvula de descarga se llena de suciedad y la válvula se pega, descargando o reteniendo aire fuera de ciclo.
2. En el equipo: La presión del depósito varía sin relación con el consumo. La presión sube y baja sin patrón y el compresor arranca y para con frecuencia.
3. General: El depósito opera con oscilaciones fuera del rango de 8,5 a 10 bar y el compresor sufre arranques frecuentes.</t>
  </si>
  <si>
    <t>Respuesta más lenta o movimiento duro de la electroválvula de descarga antes de quedar trabado. Se detecta con: prueba funcional; medición de tiempos de ciclo.</t>
  </si>
  <si>
    <t>Generar presión hidráulica [ESTÁNDAR POR CONFIRMAR]</t>
  </si>
  <si>
    <t>Dispositivo de Guia (zweiweg) UN-310 · U310</t>
  </si>
  <si>
    <t>F-MET-485</t>
  </si>
  <si>
    <t>la carga sobre carril</t>
  </si>
  <si>
    <t>MET-MAU-U310-GUI-DIG01</t>
  </si>
  <si>
    <t>Falta: la carga de diseño de la estructura.</t>
  </si>
  <si>
    <t>Dispositivo DE Guia (zweiweg) UN-310</t>
  </si>
  <si>
    <t>|MET-MAU-U310-GUI-DIG01|</t>
  </si>
  <si>
    <t>A. Fusible principal abierto por sobrecorriente</t>
  </si>
  <si>
    <t>Inspección de ruedas guía y cilindros</t>
  </si>
  <si>
    <t>F-MET-432</t>
  </si>
  <si>
    <t>Dispositivo que apoya y guía el vehículo bivial sobre el riel.</t>
  </si>
  <si>
    <t>Soportar la carga sobre carril [ESTÁNDAR POR CONFIRMAR]</t>
  </si>
  <si>
    <t>F-MET-486</t>
  </si>
  <si>
    <t>el vehículo bivial</t>
  </si>
  <si>
    <t>en trocha de 1.435</t>
  </si>
  <si>
    <t>A. Batería de tracción agotada por fin de vida útil</t>
  </si>
  <si>
    <t>Medición entre ruedas guía</t>
  </si>
  <si>
    <t>Guiar el vehículo bivial en trocha de 1.435 mm</t>
  </si>
  <si>
    <t>Motor Diesel U-310</t>
  </si>
  <si>
    <t>F-MET-488</t>
  </si>
  <si>
    <t>No contiene el aire del circuito principal. La función se pierde por completo: no se cumple ningún punto del estándar. Estándar: del circuito principal con caída máxima de 0,2 bar en 5 min (fabricante). Se verifica con: prueba de estanqueidad con compresores parados.</t>
  </si>
  <si>
    <t>B. Celdas del banco de baterías degradadas por ciclos de carga</t>
  </si>
  <si>
    <t>MET-MAU-U310-TRC-MOR01</t>
  </si>
  <si>
    <t>1. Local: La manguera del circuito principal se rompe por el envejecimiento del caucho y el aire sale por la rotura.
2. En el equipo: La presión del circuito cae rápidamente. Se oye una fuga fuerte y el manómetro cae en segundos.
3. General: El circuito no contiene el aire y los equipos neumáticos se quedan sin presión.</t>
  </si>
  <si>
    <t>Grietas, resequedad, abultamientos o rozaduras visibles de la manguera del circuito principal. Se detecta con: inspección visual.</t>
  </si>
  <si>
    <t>|MET-MAU-U310-TRC-MOR01|</t>
  </si>
  <si>
    <t>Unimog 400</t>
  </si>
  <si>
    <t>F-MET-492</t>
  </si>
  <si>
    <t>B. Conexión entre baterías sulfatada por corrosión</t>
  </si>
  <si>
    <t>MET-MAU-U400</t>
  </si>
  <si>
    <t>|MET-MAU-U400|</t>
  </si>
  <si>
    <t>Compresor 2 UN-400 · U400</t>
  </si>
  <si>
    <t>F-MET-920</t>
  </si>
  <si>
    <t>MET-MAU-U400-AIR-COM01</t>
  </si>
  <si>
    <t>Compresor 2 UN-400</t>
  </si>
  <si>
    <t>|MET-MAU-U400-AIR-COM01|</t>
  </si>
  <si>
    <t>F-MET-493</t>
  </si>
  <si>
    <t>1. Local: El depósito de aire se fisura por corrosión y el aire sale por la grieta.
2. En el equipo: El depósito pierde la presión almacenada. Se oye una fuga fuerte y el manómetro cae en segundos.
3. General: El circuito no contiene el aire y los equipos neumáticos se quedan sin presión.</t>
  </si>
  <si>
    <t>A. Banco de baterías agotado por fin de vida útil</t>
  </si>
  <si>
    <t>Fisura, deformación o marca de rotura incipiente del depósito de aire. Se detecta con: inspección visual y ensayos no destructivos (líquidos penetrantes o partículas magnéticas).</t>
  </si>
  <si>
    <t>Bomba Hidraulica de la Grua · U400</t>
  </si>
  <si>
    <t>F-MET-495</t>
  </si>
  <si>
    <t>A. Celda del banco de baterías cortocircuitada por separador dañado</t>
  </si>
  <si>
    <t>MET-MAU-U400-AVA-BOH01</t>
  </si>
  <si>
    <t>Bomba Hidraulica DE LA Grua</t>
  </si>
  <si>
    <t>|MET-MAU-U400-AVA-BOH01|</t>
  </si>
  <si>
    <t>F-MET-496</t>
  </si>
  <si>
    <t>Cilindro Derecho EJE Delantero UN-400 · U400</t>
  </si>
  <si>
    <t>F-MET-497</t>
  </si>
  <si>
    <t>Posicionar</t>
  </si>
  <si>
    <t>el eje guía</t>
  </si>
  <si>
    <t>con presión de trabajo de _____</t>
  </si>
  <si>
    <t>Contiene el aire del circuito principal con caída mayor a 0,2 bar en 5 min. Estándar: del circuito principal con caída máxima de 0,2 bar en 5 min (fabricante). Se verifica con: prueba de estanqueidad con compresores parados.</t>
  </si>
  <si>
    <t>MET-MAU-U400-AVA-CLN01</t>
  </si>
  <si>
    <t>Falta: presión de trabajo.</t>
  </si>
  <si>
    <t>1. Local: El racor del circuito principal se afloja por vibración y deja una fuga pequeña.
2. En el equipo: El manómetro cae más de lo permitido durante el reposo. En la prueba de estanqueidad el manómetro cae más de 0,2 bar en 5 min.
3. General: El compresor debe reponer aire con mayor frecuencia y trabaja de más.</t>
  </si>
  <si>
    <t>Cilindro Derecho EJE Delantero UN-400</t>
  </si>
  <si>
    <t>|MET-MAU-U400-AVA-CLN01|</t>
  </si>
  <si>
    <t>Pérdida de apriete, holgura o marcas de testigo desalineadas del racor del circuito principal. Se detecta con: control de torque con llave; inspección visual de marcas de testigo.</t>
  </si>
  <si>
    <t>Cilindro hidráulico que posiciona el eje guía sobre el riel.</t>
  </si>
  <si>
    <t>Posicionar el eje guía [ESTÁNDAR POR CONFIRMAR]</t>
  </si>
  <si>
    <t>Cabina UN-400 · U400</t>
  </si>
  <si>
    <t>F-MET-498</t>
  </si>
  <si>
    <t>MET-MAU-U400-CAJ-CAI01</t>
  </si>
  <si>
    <t>Cabina UN-400</t>
  </si>
  <si>
    <t>|MET-MAU-U400-CAJ-CAI01|</t>
  </si>
  <si>
    <t>Baterias UN-400 · U400</t>
  </si>
  <si>
    <t>F-MET-501</t>
  </si>
  <si>
    <t>MET-MAU-U400-ELE-BTE01</t>
  </si>
  <si>
    <t>Baterias UN-400</t>
  </si>
  <si>
    <t>|MET-MAU-U400-ELE-BTE01|</t>
  </si>
  <si>
    <t>F-MET-909</t>
  </si>
  <si>
    <t>1. Local: El empaque de la válvula se reseca por el envejecimiento y pierde su elasticidad; deja de sellar contra el asiento.
2. En el equipo: Se escapa aire de forma lenta y continua por la válvula. En la prueba de estanqueidad el manómetro cae más de 0,2 bar en 5 min.
3. General: El circuito principal pierde presión en reposo y el compresor debe reponerla con mayor frecuencia.</t>
  </si>
  <si>
    <t>Pérdida de elasticidad, grietas finas o resequedad del empaque de la válvula. Se detecta con: inspección visual; medición de prestaciones (presión, caudal).</t>
  </si>
  <si>
    <t>B. Pasadores de timonería desgastados por pérdida de la película lubricante</t>
  </si>
  <si>
    <t>Canasta (×2) · U400</t>
  </si>
  <si>
    <t>F-MET-506</t>
  </si>
  <si>
    <t>MET-MAU-U400-ELV-CNS01</t>
  </si>
  <si>
    <t>Falta: carga máxima de la cesta.</t>
  </si>
  <si>
    <t>Canasta</t>
  </si>
  <si>
    <t>|MET-MAU-U400-ELV-CNS01|MET-MAU-U400-ELV-SOP01|</t>
  </si>
  <si>
    <t>F-MET-442, F-MET-444</t>
  </si>
  <si>
    <t>Cesta para elevar personal hasta la altura de trabajo; se define por su carga máxima (kg).</t>
  </si>
  <si>
    <t>1. Local: El asiento de la válvula de purga se daña y la válvula queda abierta o sin cerrar del todo.
2. En el equipo: Parte del aire del circuito sale continuamente por la purga. En la prueba de estanqueidad el manómetro cae más de 0,2 bar en 5 min.
3. General: El circuito principal pierde presión en reposo y el compresor debe reponerla con mayor frecuencia.</t>
  </si>
  <si>
    <t>Elevar al personal [ESTÁNDAR POR CONFIRMAR]</t>
  </si>
  <si>
    <t>Presión de apertura por debajo (o por encima) del tarado, descargas frecuentes o fuga en el asiento de la válvula de purga. Se detecta con: prueba de tarado en banco; inspección del asiento; lectura de presión.</t>
  </si>
  <si>
    <t>Cuerpo de la Grua · U400</t>
  </si>
  <si>
    <t>F-MET-507</t>
  </si>
  <si>
    <t>MET-MAU-U400-ELV-CUG01</t>
  </si>
  <si>
    <t>A. Bobinado del motor eléctrico quemado por sobrecalentamiento</t>
  </si>
  <si>
    <t>Cuerpo DE LA Grua</t>
  </si>
  <si>
    <t>|MET-MAU-U400-ELV-CUG01|</t>
  </si>
  <si>
    <t>Cilindro de Freno UN-400 · U400</t>
  </si>
  <si>
    <t>F-MET-510</t>
  </si>
  <si>
    <t>B. Escobillas del motor desgastadas por fin de vida útil</t>
  </si>
  <si>
    <t>MET-MAU-U400-FRN-CID01</t>
  </si>
  <si>
    <t>Cilindro DE Freno UN-400</t>
  </si>
  <si>
    <t>|MET-MAU-U400-FRN-CID01|</t>
  </si>
  <si>
    <t>B. Rodamiento del motor cascado por fatiga</t>
  </si>
  <si>
    <t>Sistema Guia · U400</t>
  </si>
  <si>
    <t>F-MET-512</t>
  </si>
  <si>
    <t>MET-MAU-U400-GUI</t>
  </si>
  <si>
    <t>Sistema Guia</t>
  </si>
  <si>
    <t>|MET-MAU-U400-GUI|</t>
  </si>
  <si>
    <t>B. Colector del motor rayado por desgaste de escobillas</t>
  </si>
  <si>
    <t>1. Local: La junta del racor se reseca por los ciclos térmicos y sella solo en algunas condiciones de temperatura.
2. En el equipo: Hay una fuga de aire que aparece y desaparece con la temperatura o la vibración. La fuga aparece y desaparece con la temperatura o la vibración y el compresor arranca sin razón.
3. General: El circuito pierde presión de forma intermitente y el compresor trabaja más de lo normal.</t>
  </si>
  <si>
    <t>Pérdida de elasticidad, grietas finas o resequedad de la junta de racor. Se detecta con: inspección visual; medición de prestaciones (presión, caudal).</t>
  </si>
  <si>
    <t>EJE Guia Trasera UN-400 · U400</t>
  </si>
  <si>
    <t>F-MET-513</t>
  </si>
  <si>
    <t>MET-MAU-U400-GUI-GUT01</t>
  </si>
  <si>
    <t>EJE Guia Trasera UN-400</t>
  </si>
  <si>
    <t>|MET-MAU-U400-GUI-GUT01|</t>
  </si>
  <si>
    <t>F-MET-446</t>
  </si>
  <si>
    <t>Conjunto formado por un par de ruedas y el eje que las une. Los discos de freno y los rodamientos montados sobre el eje o las ruedas se consideran parte del eje montado. En este caso es un eje guía: orienta el vehículo bivial sobre el riel.</t>
  </si>
  <si>
    <t>F-MET-514</t>
  </si>
  <si>
    <t>F-MET-515</t>
  </si>
  <si>
    <t>1. Local: Las partículas rayan el asiento de la válvula de retención y la válvula no cierra del todo.
2. En el equipo: El aire retrocede hacia el compresor o sale por el asiento de manera intermitente. La fuga aparece y desaparece con la temperatura o la vibración y el compresor arranca sin razón.
3. General: El circuito pierde presión de forma intermitente y el compresor trabaja más de lo normal.</t>
  </si>
  <si>
    <t>Pérdida progresiva de material de la válvula de retención hasta acercarse al límite de desgaste. Se detecta con: medición con calibre, galga o micrómetro; inspección visual.</t>
  </si>
  <si>
    <t>F-MET-516</t>
  </si>
  <si>
    <t>A. Motor de tracción quemado por aislamiento dañado</t>
  </si>
  <si>
    <t>Motor Diesel UN-400 · U400</t>
  </si>
  <si>
    <t>B. Embrague patinado por disco gastado</t>
  </si>
  <si>
    <t>F-MET-521</t>
  </si>
  <si>
    <t>MET-MAU-U400-TRC-MOR01</t>
  </si>
  <si>
    <t>Motor Diesel UN-400</t>
  </si>
  <si>
    <t>|MET-MAU-U400-TRC-MOR01|</t>
  </si>
  <si>
    <t>No seca el aire comprimido. La función se pierde por completo: no se cumple ningún punto del estándar. Estándar: con punto de rocío máximo de +3 °C (norma: ISO 8573-1). Se verifica con: purga diaria de calderines sin agua.</t>
  </si>
  <si>
    <t>1. Local: El desecante del cartucho se agota y deja de absorber la humedad del aire.
2. En el equipo: El aire sale del secador con el mismo contenido de agua con que entró. No se nota en servicio; se descubre por agua abundante en la purga de calderines.
3. General: El aire húmedo llega a los depósitos y a los equipos neumáticos.</t>
  </si>
  <si>
    <t>F-MET-449</t>
  </si>
  <si>
    <t>Aumento de la presión diferencial o caída del caudal por acumulación de suciedad del cartucho desecante. Se detecta con: lectura de manómetros y diferencial de presión; medición de caudal; inspección visual. Al ser una función oculta no se nota en operación: depende de la inspección o prueba programada.</t>
  </si>
  <si>
    <t>Caja de Cambios UN-400 · U400</t>
  </si>
  <si>
    <t>F-MET-525</t>
  </si>
  <si>
    <t>Seleccionar</t>
  </si>
  <si>
    <t>la marcha</t>
  </si>
  <si>
    <t>con relación de transmisión de _____</t>
  </si>
  <si>
    <t>a 1</t>
  </si>
  <si>
    <t>MET-MAU-U400-TRN-CAJC01</t>
  </si>
  <si>
    <t>Falta: relaciones de transmisión.</t>
  </si>
  <si>
    <t>Caja DE Cambios UN-400</t>
  </si>
  <si>
    <t>|MET-MAU-U400-TRN-CAJC01|</t>
  </si>
  <si>
    <t>Caja de engranajes que permite seleccionar la relación de transmisión (marcha).</t>
  </si>
  <si>
    <t>Seleccionar la marcha [ESTÁNDAR POR CONFIRMAR]</t>
  </si>
  <si>
    <t>Unidad Compresor (A) CMA</t>
  </si>
  <si>
    <t>F-MET-921</t>
  </si>
  <si>
    <t>MET-MRO-VPA001-AIR-CMS01</t>
  </si>
  <si>
    <t>|MET-MRO-VPA001-AIR-CMS01|</t>
  </si>
  <si>
    <t>F-MET-528</t>
  </si>
  <si>
    <t>Falta: caudal nominal del compresor (ficha Knorr SL20-5 / tornillo MAN). Mientras tanto: medir línea base del tiempo de llenado. Referencia de la misma marca: VV120-T entrega 815–980 l/min. | Revisión 27/10: la función principal pasó a ser comprimir el aire (nueva función de presión); esta queda como secundaria.</t>
  </si>
  <si>
    <t>Tiempo de llenado del depósito principal / caudalímetro</t>
  </si>
  <si>
    <t>Compresor de aire (×4)</t>
  </si>
  <si>
    <t>F-MET-922</t>
  </si>
  <si>
    <t>MET-MRO-VPA001-AIR-COM01</t>
  </si>
  <si>
    <t>Compresor SL20-5 CAF</t>
  </si>
  <si>
    <t>|MET-MRO-VPA001-AIR-COM01|MET-MRO-VPA001-AIR-COM02|MET-MRO-VPA001-AIR-COV01|MET-MRO-VPA001-AIR-CTO01|</t>
  </si>
  <si>
    <t>1. Local: La válvula de regeneración del secador se atasca por contaminación y no cambia de ciclo.
2. En el equipo: El cartucho no se regenera y se satura con la humedad que retiene. No se nota en servicio; se descubre por agua abundante en la purga de calderines.
3. General: El aire húmedo llega a los depósitos y a los equipos neumáticos.</t>
  </si>
  <si>
    <t>Respuesta más lenta o movimiento duro de la válvula de regeneración del secador antes de quedar trabado. Se detecta con: prueba funcional; medición de tiempos de ciclo. Al ser una función oculta no se nota en operación: depende de la inspección o prueba programada.</t>
  </si>
  <si>
    <t>F-MET-532</t>
  </si>
  <si>
    <t>F-MET-452, F-MET-453, F-MET-454, F-MET-456</t>
  </si>
  <si>
    <t>Compresor Vhpas VV120</t>
  </si>
  <si>
    <t>F-MET-923</t>
  </si>
  <si>
    <t>MET-MRO-VPA001-AIR-COV02</t>
  </si>
  <si>
    <t>|MET-MRO-VPA001-AIR-COV02|</t>
  </si>
  <si>
    <t>F-MET-537</t>
  </si>
  <si>
    <t>mínimo de 815</t>
  </si>
  <si>
    <t>Knorr-Bremse</t>
  </si>
  <si>
    <t>815 l/min a 50 Hz y 980 l/min a 60 Hz (mismo modelo VV120-T). Confirmar la frecuencia de alimentación del convertidor auxiliar. | Revisión 27/10: la función principal pasó a ser comprimir el aire (nueva función de presión); esta queda como secundaria.</t>
  </si>
  <si>
    <t>1. Local: La resistencia de calefacción del secador se quema y el secador queda sin calentamiento.
2. En el equipo: El desecante no se regenera y la humedad del aire no se retira. No se nota en servicio; se descubre por agua abundante en la purga de calderines.
3. General: El aire húmedo llega a los depósitos y a los equipos neumáticos.</t>
  </si>
  <si>
    <t>Aumento de temperatura y de consumo de corriente de la resistencia de calefacción. Se detecta con: termografía; medición de corriente; prueba de aislamiento (megóhmetro). Al ser una función oculta no se nota en operación: depende de la inspección o prueba programada.</t>
  </si>
  <si>
    <t>Suministrar caudal de aire de 815 l/min mínimo</t>
  </si>
  <si>
    <t>Enfriador de Aire Aceite</t>
  </si>
  <si>
    <t>F-MET-541</t>
  </si>
  <si>
    <t>la temperatura del aceite del compresor</t>
  </si>
  <si>
    <t>por debajo de _____</t>
  </si>
  <si>
    <t>MET-MRO-VPA001-AIR-ENF01</t>
  </si>
  <si>
    <t>Falta: temperatura máxima del aceite del compresor (ficha Knorr / MAN).</t>
  </si>
  <si>
    <t>Enfriador DE Aire Aceite</t>
  </si>
  <si>
    <t>|MET-MRO-VPA001-AIR-ENF01|</t>
  </si>
  <si>
    <t>Intercambiador de calor que enfría el aceite del compresor con aire; su desempeño se controla por la temperatura del aceite (°C).</t>
  </si>
  <si>
    <t>Definición técnica de trabajo; parámetros y unidades según ISO 14224, clase Intercambiadores de calor (kW, bar, °C)</t>
  </si>
  <si>
    <t>Mantener la temperatura del aceite del compresor [ESTÁNDAR POR CONFIRMAR]</t>
  </si>
  <si>
    <t>Motor del compresor (×4)</t>
  </si>
  <si>
    <t>F-MET-542</t>
  </si>
  <si>
    <t>el compresor</t>
  </si>
  <si>
    <t>con potencia de _____</t>
  </si>
  <si>
    <t>MET-MRO-VPA001-AIR-MOC01</t>
  </si>
  <si>
    <t>Falta: potencia y corriente nominal (placa del motor).</t>
  </si>
  <si>
    <t>Motor compresor CAF</t>
  </si>
  <si>
    <t>|MET-MRO-VPA001-AIR-MOC01|MET-MRO-VPA001-AIR-MOC02|MET-MRO-VPA001-AIR-MOC03|MET-MRO-VPA001-AIR-MOE01|</t>
  </si>
  <si>
    <t>Placa / medición de corriente</t>
  </si>
  <si>
    <t>F-MET-458, F-MET-459, F-MET-460, F-MET-461</t>
  </si>
  <si>
    <t>Motor que acciona el compresor; su desempeño se expresa en potencia (kW) y corriente (A).</t>
  </si>
  <si>
    <t>Definición técnica de trabajo; parámetros y unidades según ISO 14224, clase Motores eléctricos (kW, V, rpm)</t>
  </si>
  <si>
    <t>Accionar el compresor [ESTÁNDAR POR CONFIRMAR]</t>
  </si>
  <si>
    <t>Modulo Suministro DE Aire MAN (×2)</t>
  </si>
  <si>
    <t>F-MET-545</t>
  </si>
  <si>
    <t>MET-MRO-VPA001-AIR-MOS01</t>
  </si>
  <si>
    <t>Falta: caudal nominal del compresor (ficha Knorr SL20-5 / tornillo MAN). Mientras tanto: medir línea base del tiempo de llenado. Referencia de la misma marca: VV120-T entrega 815–980 l/min.</t>
  </si>
  <si>
    <t>Modulo Suministro DE Aire MAN CMA</t>
  </si>
  <si>
    <t>|MET-MRO-VPA001-AIR-MOS01|MET-MRO-VPA001-AIR-MOS02|</t>
  </si>
  <si>
    <t>F-MET-027, F-MET-462, F-MET-463</t>
  </si>
  <si>
    <t>Seca el aire comprimido con punto de rocío mayor a +3 °C. Estándar: con punto de rocío máximo de +3 °C (norma: ISO 8573-1). Se verifica con: purga diaria de calderines sin agua.</t>
  </si>
  <si>
    <t>1. Local: El desecante llega al final de su vida útil y retiene menos humedad de la necesaria.
2. En el equipo: El aire sale del secador con humedad residual. La purga diaria muestra agua y la medición de rocío supera +3 °C.
3. General: El aire llega a los depósitos y a los equipos con un punto de rocío mayor al permitido.</t>
  </si>
  <si>
    <t>Panel auxiliar Neumatico cabina CAF</t>
  </si>
  <si>
    <t>Caída gradual del rendimiento del cartucho desecante, con ruido, calentamiento o vibración mayor a la normal. Se detecta con: medición de prestaciones; análisis de vibraciones o termografía. Al ser una función oculta no se nota en operación: depende de la inspección o prueba programada.</t>
  </si>
  <si>
    <t>F-MET-547</t>
  </si>
  <si>
    <t>aire auxiliar</t>
  </si>
  <si>
    <t>a presión regulada de _____</t>
  </si>
  <si>
    <t>MET-MRO-VPA001-AIR-PAA01</t>
  </si>
  <si>
    <t>Falta: presión regulada del panel auxiliar P01 (esquema neumático).</t>
  </si>
  <si>
    <t>|MET-MRO-VPA001-AIR-PAA01|</t>
  </si>
  <si>
    <t>Manómetro de prueba en racor</t>
  </si>
  <si>
    <t>F-MET-464</t>
  </si>
  <si>
    <t>Panel neumático que regula y distribuye el aire de los servicios auxiliares de la cabina.</t>
  </si>
  <si>
    <t>Suministrar aire auxiliar [ESTÁNDAR POR CONFIRMAR]</t>
  </si>
  <si>
    <t>Filtro de aire (×2)</t>
  </si>
  <si>
    <t>F-MET-549</t>
  </si>
  <si>
    <t>Continuidad operacional</t>
  </si>
  <si>
    <t>las partículas del aire</t>
  </si>
  <si>
    <t>de tamaño mayor a _____</t>
  </si>
  <si>
    <t>µm</t>
  </si>
  <si>
    <t>MET-MRO-VPA001-AIR-POF01</t>
  </si>
  <si>
    <t>Falta: grado de filtración del elemento (ficha del filtro A19/A20).</t>
  </si>
  <si>
    <t>Postfiltro (A20)</t>
  </si>
  <si>
    <t>|MET-MRO-VPA001-AIR-POF01|MET-MRO-VPA001-AIR-PRF01|</t>
  </si>
  <si>
    <t>Cambio de elemento filtrante</t>
  </si>
  <si>
    <t>F-MET-465, F-MET-466</t>
  </si>
  <si>
    <t>Elemento que retiene las partículas del aire comprimido según su grado de filtración (µm).</t>
  </si>
  <si>
    <t>Retener las partículas del aire [ESTÁNDAR POR CONFIRMAR]</t>
  </si>
  <si>
    <t>Eje montado (×5)</t>
  </si>
  <si>
    <t>F-MET-551</t>
  </si>
  <si>
    <t>MET-MRO-VPA001-AIR-REM01</t>
  </si>
  <si>
    <t>Falta: carga máxima por eje (ficha CAF/MAN).</t>
  </si>
  <si>
    <t>EJE Remolque MAN</t>
  </si>
  <si>
    <t>|MET-MRO-VPA001-AIR-REM01|MET-MRO-VPA001-BOG-EJE01|MET-MRO-VPA001-BOG-EJR01|MET-MRO-VPA001-BOG-POD01|MET-MRO-VPA001-BOG-REM01|</t>
  </si>
  <si>
    <t>Pesaje por eje</t>
  </si>
  <si>
    <t>F-MET-001, F-MET-467, F-MET-504, F-MET-506, F-MET-510, F-MET-511, F-MET-516, F-MET-517</t>
  </si>
  <si>
    <t>1. Local: El filtro coalescente se satura con el aceite que arrastra el compresor y pierde capacidad de separación.
2. En el equipo: El aceite y el agua pasan hacia el desecante y lo contaminan. La purga diaria muestra agua y la medición de rocío supera +3 °C.
3. General: El aire llega a los depósitos y a los equipos con un punto de rocío mayor al permitido.</t>
  </si>
  <si>
    <t>Aumento de la presión diferencial o caída del caudal por acumulación de suciedad del filtro coalescente. Se detecta con: lectura de manómetros y diferencial de presión; medición de caudal; inspección visual. Al ser una función oculta no se nota en operación: depende de la inspección o prueba programada.</t>
  </si>
  <si>
    <t>F-MET-552</t>
  </si>
  <si>
    <t>Conservar</t>
  </si>
  <si>
    <t>el diámetro de rueda</t>
  </si>
  <si>
    <t>mínimo de 800</t>
  </si>
  <si>
    <t>Metro de Medellín</t>
  </si>
  <si>
    <t>Rueda nueva 850 mm; límite de condena 800 mm (Metro de Medellín).</t>
  </si>
  <si>
    <t>Medición en cada inspección de 30.000 km / torno de foso</t>
  </si>
  <si>
    <t>Conservar el diámetro de rueda de 800 mm mínimo</t>
  </si>
  <si>
    <t>F-MET-553</t>
  </si>
  <si>
    <t>con pestaña de 25 a 33</t>
  </si>
  <si>
    <t>Espesor de pestaña Sd (galga de perfil). Límite TSI para rueda de 760–840 mm; con rueda &gt; 840 mm el mínimo es 22 mm.</t>
  </si>
  <si>
    <t>Galga de perfil (inspección cada 30.000 km)</t>
  </si>
  <si>
    <t>Guiar el eje con pestaña de 25 a 33 mm</t>
  </si>
  <si>
    <t>F-MET-554</t>
  </si>
  <si>
    <t>F-MET-555</t>
  </si>
  <si>
    <t>la altura de pestaña</t>
  </si>
  <si>
    <t>de 27,5 a 36</t>
  </si>
  <si>
    <t>1. Local: La válvula de purga automática se obstruye con suciedad y no expulsa el condensado.
2. En el equipo: El agua se acumula en el secador y en los depósitos. La purga diaria muestra agua y la medición de rocío supera +3 °C.
3. General: El aire llega a los equipos con un punto de rocío mayor al permitido.</t>
  </si>
  <si>
    <t>Aumento de la presión diferencial o caída del caudal por acumulación de suciedad de la válvula de purga automática. Se detecta con: lectura de manómetros y diferencial de presión; medición de caudal; inspección visual. Al ser una función oculta no se nota en operación: depende de la inspección o prueba programada.</t>
  </si>
  <si>
    <t>Limitar la altura de pestaña de 27,5 a 36 mm</t>
  </si>
  <si>
    <t>F-MET-556</t>
  </si>
  <si>
    <t>A. Tanque de combustible roto por impacto de piedra</t>
  </si>
  <si>
    <t>de 1.358 a 1.363</t>
  </si>
  <si>
    <t>Distancia entre caras internas; asegura el juego rueda-carril en vía de 1.435 mm. Límite TSI para rueda de 760–840 mm.</t>
  </si>
  <si>
    <t>Calibre de distancia entre caras internas</t>
  </si>
  <si>
    <t>F-MET-002, F-MET-505, F-MET-507</t>
  </si>
  <si>
    <t>A. Manguera de combustible rota por envejecimiento del caucho</t>
  </si>
  <si>
    <t>Mantener la distancia entre ruedas de 1.358 a 1.363 mm</t>
  </si>
  <si>
    <t>F-MET-557</t>
  </si>
  <si>
    <t>el ancho de llanta</t>
  </si>
  <si>
    <t>de 133 a 145</t>
  </si>
  <si>
    <t>C. Tapa del tanque desajustada por junta resecada</t>
  </si>
  <si>
    <t>Mantener el ancho de llanta de 133 a 145 mm</t>
  </si>
  <si>
    <t>F-MET-558</t>
  </si>
  <si>
    <t>el diámetro de ruedas</t>
  </si>
  <si>
    <t>con diferencia máxima de 0,1</t>
  </si>
  <si>
    <t>No suministra caudal de aceite. La función se pierde por completo: no se cumple ningún punto del estándar. Estándar: por confirmar. Se verifica con: caudalímetro / tiempos de ciclo.</t>
  </si>
  <si>
    <t>1. Local: La bomba hidráulica se traba (se gripa) por falta de aceite o por contaminación del lubricante; sus piezas internas quedan rozando sin película de aceite.
2. En el equipo: La bomba deja de mover aceite y el manómetro de la línea queda en cero. El actuador no responde. Además, el aceite contaminado y las partículas desprendidas circulan por el circuito y dañan otros componentes.
3. General: La máquina no ejecuta los movimientos hidráulicos y queda fuera de servicio.</t>
  </si>
  <si>
    <t>Movimiento duro, ruido o calentamiento anormal de la bomba hidráulica antes de trabarse. Se detecta con: análisis de vibraciones; termografía; análisis de partículas en el aceite.</t>
  </si>
  <si>
    <t>Capacidad del torno del taller (mismo modelo); diferencia admisible en servicio por confirmar con el fabricante del tren.</t>
  </si>
  <si>
    <t>Medición del torno de foso U2000-150</t>
  </si>
  <si>
    <t>Igualar el diámetro de ruedas con diferencia de 0,1 mm máximo</t>
  </si>
  <si>
    <t>Separador de Agua</t>
  </si>
  <si>
    <t>F-MET-559</t>
  </si>
  <si>
    <t>Separar</t>
  </si>
  <si>
    <t>el agua condensada</t>
  </si>
  <si>
    <t>con eficiencia de _____</t>
  </si>
  <si>
    <t>MET-MRO-VPA001-AIR-SAG01</t>
  </si>
  <si>
    <t>Falta: eficiencia de separación (ficha).</t>
  </si>
  <si>
    <t>Separador DE Agua</t>
  </si>
  <si>
    <t>|MET-MRO-VPA001-AIR-SAG01|</t>
  </si>
  <si>
    <t>Comprobar funcionamiento (PM-2012 pág. 25)</t>
  </si>
  <si>
    <t>C. Racor de combustible flojo por vibración</t>
  </si>
  <si>
    <t>Equipo que separa y evacúa el agua condensada del aire comprimido antes de que llegue a los depósitos.</t>
  </si>
  <si>
    <t>Separar el agua condensada [ESTÁNDAR POR CONFIRMAR]</t>
  </si>
  <si>
    <t>Secador de aire (×3)</t>
  </si>
  <si>
    <t>F-MET-560</t>
  </si>
  <si>
    <t>MET-MRO-VPA001-AIR-SEA01</t>
  </si>
  <si>
    <t>C. Válvula de venteo atascada por suciedad</t>
  </si>
  <si>
    <t>Clase 4 de ISO 8573-1 como mínimo; confirmar la clase especificada por CAF/Knorr.</t>
  </si>
  <si>
    <t>Unidad de secado CAF</t>
  </si>
  <si>
    <t>|MET-MRO-VPA001-AIR-SEA01|MET-MRO-VPA001-AIR-SED01|MET-MRO-VPA001-AIR-TOS01|</t>
  </si>
  <si>
    <t>Medir el punto de condensación (PM-2012 pág. 26)</t>
  </si>
  <si>
    <t>F-MET-029, F-MET-469, F-MET-470, F-MET-472</t>
  </si>
  <si>
    <t>Suspension secundaria</t>
  </si>
  <si>
    <t>F-MET-563</t>
  </si>
  <si>
    <t>1. Local: El acople de la bomba se rompe por la desalineación y el motor deja de transmitir giro a la bomba.
2. En el equipo: La bomba no gira y no mueve aceite. El actuador no responde y el manómetro de la línea queda en cero.
3. General: La máquina no ejecuta los movimientos hidráulicos y queda fuera de servicio.</t>
  </si>
  <si>
    <t>Fisura, deformación o marca de rotura incipiente del acople de la bomba. Se detecta con: inspección visual y ensayos no destructivos (líquidos penetrantes o partículas magnéticas).</t>
  </si>
  <si>
    <t>MET-MRO-VPA001-AIR-SSE01</t>
  </si>
  <si>
    <t>Falta: carga máxima por resorte neumático (ficha del bogie).</t>
  </si>
  <si>
    <t>|MET-MRO-VPA001-AIR-SSE01|</t>
  </si>
  <si>
    <t>Altura bajo carga / presión del resorte</t>
  </si>
  <si>
    <t>Suspensión neumática entre el bogie y la caja, formada por resortes de aire y sus soportes, que soporta la carga vertical de la caja.</t>
  </si>
  <si>
    <t>Válvulas de suspensión (×3)</t>
  </si>
  <si>
    <t>F-MET-566</t>
  </si>
  <si>
    <t>Regular</t>
  </si>
  <si>
    <t>la altura de caja</t>
  </si>
  <si>
    <t>con tolerancia de ±_____</t>
  </si>
  <si>
    <t>MET-MRO-VPA001-AIR-VAA01</t>
  </si>
  <si>
    <t>Falta: tolerancia de nivelación. Referencia de ajuste equivalente: −5 mm respecto al bastidor (IRIMEE).</t>
  </si>
  <si>
    <t>Valvulas-actuador. Suspension (L) CR</t>
  </si>
  <si>
    <t>|MET-MRO-VPA001-AIR-VAA01|MET-MRO-VPA001-AIR-VAL01|MET-MRO-VPA001-AIR-VAL02|</t>
  </si>
  <si>
    <t>Comprobar funcionamiento de válvulas L (PM-2012 pág. 29)</t>
  </si>
  <si>
    <t>F-MET-030, F-MET-473, F-MET-474, F-MET-475</t>
  </si>
  <si>
    <t>Válvulas de nivelación que alimentan o descargan los resortes neumáticos para mantener la altura de la caja.</t>
  </si>
  <si>
    <t>Regular la altura de caja [ESTÁNDAR POR CONFIRMAR]</t>
  </si>
  <si>
    <t>F-MET-567</t>
  </si>
  <si>
    <t>la presión de resortes</t>
  </si>
  <si>
    <t>con diferencia máxima de 1,5</t>
  </si>
  <si>
    <t>Indian Railways (IRIMEE)</t>
  </si>
  <si>
    <t>Ajuste de la válvula diferencial de un operador equivalente. Validar con esquema CAF/MAN.</t>
  </si>
  <si>
    <t>Manómetros en racores L08</t>
  </si>
  <si>
    <t>Igualar la presión de resortes con diferencia de 1,5 bar máximo</t>
  </si>
  <si>
    <t>Valvula Antirretorno</t>
  </si>
  <si>
    <t>1. Local: El filtro de succión se obstruye con suciedad y no deja pasar el aceite hacia la bomba.
2. En el equipo: La bomba se queda sin aceite en su entrada. El actuador no responde y el manómetro de la línea queda en cero.
3. General: La máquina no ejecuta los movimientos hidráulicos y queda fuera de servicio.</t>
  </si>
  <si>
    <t>F-MET-568</t>
  </si>
  <si>
    <t>el retorno de aire</t>
  </si>
  <si>
    <t>Aumento de la presión diferencial o caída del caudal por acumulación de suciedad del filtro de succión. Se detecta con: lectura de manómetros y diferencial de presión; medición de caudal; inspección visual.</t>
  </si>
  <si>
    <t>con presión de apertura de _____</t>
  </si>
  <si>
    <t>MET-MRO-VPA001-AIR-VAN01</t>
  </si>
  <si>
    <t>Plan de Mantenimiento de trenes Metro de Medellín, Ed. 1 (jun-2012) – p.27 (MM.09.15)</t>
  </si>
  <si>
    <t>Falta: presión de apertura y estanqueidad en sentido inverso (ficha de la válvula).</t>
  </si>
  <si>
    <t>|MET-MRO-VPA001-AIR-VAN01|</t>
  </si>
  <si>
    <t>Comprobar funcionamiento con compresor parado</t>
  </si>
  <si>
    <t>F-MET-476</t>
  </si>
  <si>
    <t>Válvula que permite el paso del aire en un solo sentido e impide su retorno.</t>
  </si>
  <si>
    <t>Impedir el retorno de aire [ESTÁNDAR POR CONFIRMAR]</t>
  </si>
  <si>
    <t>Válvulas, presostatos y depósitos de aire (×4)</t>
  </si>
  <si>
    <t>F-MET-570</t>
  </si>
  <si>
    <t>Conmutar</t>
  </si>
  <si>
    <t>el compresor por presión</t>
  </si>
  <si>
    <t>MET-MRO-VPA001-AIR-VAP01</t>
  </si>
  <si>
    <t>Falta: presiones de conexión y desconexión del presostato (esquema neumático).</t>
  </si>
  <si>
    <t>Válvulas-presostatos-deposit (A) CMA</t>
  </si>
  <si>
    <t>|MET-MRO-VPA001-AIR-VAP01|MET-MRO-VPA001-AIR-VAP02|MET-MRO-VPA001-AIR-VAV01|MET-MRO-VPA001-AIR-VLU01|</t>
  </si>
  <si>
    <t>A. Brazo estabilizador fracturado por fatiga del material</t>
  </si>
  <si>
    <t>Prueba de presostatos A15–A17 (PM-2012 pág. 27)</t>
  </si>
  <si>
    <t>F-MET-478, F-MET-481, F-MET-484, F-MET-487</t>
  </si>
  <si>
    <t>Conjunto de válvulas, presostatos y depósitos del circuito principal de aire: el presostato conmuta el compresor, el depósito almacena el aire y la válvula de seguridad alivia la sobrepresión.</t>
  </si>
  <si>
    <t>Conmutar el compresor por presión [ESTÁNDAR POR CONFIRMAR]</t>
  </si>
  <si>
    <t>F-MET-571</t>
  </si>
  <si>
    <t>A. Válvula de bloqueo del cilindro abierta por asiento marcado</t>
  </si>
  <si>
    <t>Falta: volumen del depósito principal (placa).</t>
  </si>
  <si>
    <t>Suministra caudal de aceite por debajo del caudal nominal. Estándar: por confirmar. Se verifica con: caudalímetro / tiempos de ciclo.</t>
  </si>
  <si>
    <t>Placa del depósito</t>
  </si>
  <si>
    <t>F-MET-479, F-MET-482, F-MET-485, F-MET-488</t>
  </si>
  <si>
    <t>1. Local: Las holguras internas de la bomba aumentan por el desgaste y parte del aceite se devuelve por ellas.
2. En el equipo: La bomba entrega menos caudal del nominal y el aceite se calienta. La máquina trabaja lenta y el aceite se calienta más de lo normal.
3. General: Los movimientos hidráulicos se hacen con menor velocidad y los ciclos de trabajo se alargan.</t>
  </si>
  <si>
    <t>Pérdida progresiva de material de la bomba hidráulica hasta acercarse al límite de desgaste. Se detecta con: medición con calibre, galga o micrómetro; inspección visual.</t>
  </si>
  <si>
    <t>Almacenar el aire comprimido [ESTÁNDAR POR CONFIRMAR]</t>
  </si>
  <si>
    <t>F-MET-572</t>
  </si>
  <si>
    <t>B. Sello del cilindro estabilizador desgastado por fin de vida útil</t>
  </si>
  <si>
    <t>Aliviar</t>
  </si>
  <si>
    <t>la sobrepresión</t>
  </si>
  <si>
    <t>a presión de tarado de _____</t>
  </si>
  <si>
    <t>Falta: presión de tarado de la válvula SV10.</t>
  </si>
  <si>
    <t>Ensayar válvula de seguridad SV10 (PM-2012 pág. 25)</t>
  </si>
  <si>
    <t>Aliviar la sobrepresión [ESTÁNDAR POR CONFIRMAR]</t>
  </si>
  <si>
    <t>Valvulas - Depositos (A)</t>
  </si>
  <si>
    <t>F-MET-575</t>
  </si>
  <si>
    <t>MET-MRO-VPA001-AIR-VLV01</t>
  </si>
  <si>
    <t>|MET-MRO-VPA001-AIR-VLV01|</t>
  </si>
  <si>
    <t>F-MET-576</t>
  </si>
  <si>
    <t>1. Local: El racor de succión se afloja por vibración y la bomba aspira aire junto con el aceite.
2. En el equipo: El caudal de aceite baja y la bomba trabaja con ruido. La máquina trabaja lenta y el aceite se calienta más de lo normal.
3. General: Los movimientos hidráulicos se hacen con menor velocidad y los ciclos de trabajo se alargan.</t>
  </si>
  <si>
    <t>Pérdida de apriete, holgura o marcas de testigo desalineadas del racor de succión. Se detecta con: control de torque con llave; inspección visual de marcas de testigo.</t>
  </si>
  <si>
    <t>F-MET-577</t>
  </si>
  <si>
    <t>Caja de fusibles (×3)</t>
  </si>
  <si>
    <t>F-MET-579</t>
  </si>
  <si>
    <t>Interrumpir</t>
  </si>
  <si>
    <t>la sobrecorriente</t>
  </si>
  <si>
    <t>con calibre de _____</t>
  </si>
  <si>
    <t>cambio del racor</t>
  </si>
  <si>
    <t>MET-MRO-VPA001-AUX-CFU01</t>
  </si>
  <si>
    <t>Falta: calibre de los fusibles (placa).</t>
  </si>
  <si>
    <t>Cofre de fusibles</t>
  </si>
  <si>
    <t>|MET-MRO-VPA001-AUX-CFU01|MET-MRO-VPA001-TRA-CAF01|MET-MRO-VPA001-TRA-CAF02|</t>
  </si>
  <si>
    <t>Control general del dispositivo (PM-2012 pág. 18)</t>
  </si>
  <si>
    <t>F-MET-045, F-MET-490, F-MET-906, F-MET-907</t>
  </si>
  <si>
    <t>Caja que aloja los fusibles de protección de los circuitos eléctricos.</t>
  </si>
  <si>
    <t>Interrumpir la sobrecorriente [ESTÁNDAR POR CONFIRMAR]</t>
  </si>
  <si>
    <t>Descargador de Sobretension</t>
  </si>
  <si>
    <t>F-MET-581</t>
  </si>
  <si>
    <t>Derivar</t>
  </si>
  <si>
    <t>las sobretensiones</t>
  </si>
  <si>
    <t>con tensión de operación continua de _____</t>
  </si>
  <si>
    <t>MET-MRO-VPA001-AUX-DES01</t>
  </si>
  <si>
    <t>Falta: tensión de operación continua Uc del descargador (placa).</t>
  </si>
  <si>
    <t>Descargador DE Sobretension</t>
  </si>
  <si>
    <t>|MET-MRO-VPA001-AUX-DES01|</t>
  </si>
  <si>
    <t>1. Local: El filtro de succión se colmata con suciedad acumulada y restringe el paso de aceite.
2. En el equipo: La bomba aspira con dificultad y entrega menos caudal. La máquina trabaja lenta y el aceite se calienta más de lo normal.
3. General: Los movimientos hidráulicos se hacen con menor velocidad y los ciclos de trabajo se alargan.</t>
  </si>
  <si>
    <t>Inspección visual (PM-2012 pág. 34) / corriente de fuga</t>
  </si>
  <si>
    <t>F-MET-046, F-MET-491</t>
  </si>
  <si>
    <t>Dispositivo que deriva a tierra las sobretensiones de la red.</t>
  </si>
  <si>
    <t>Derivar las sobretensiones [ESTÁNDAR POR CONFIRMAR]</t>
  </si>
  <si>
    <t>Pantógrafo (×2)</t>
  </si>
  <si>
    <t>F-MET-583</t>
  </si>
  <si>
    <t>MET-MRO-VPA001-AUX-PAN01</t>
  </si>
  <si>
    <t>Rango de diseño de pantógrafos de metro equivalentes. El valor de ajuste se toma de EN 50367 y del fabricante.</t>
  </si>
  <si>
    <t>Pantografo Vhpas MAN</t>
  </si>
  <si>
    <t>|MET-MRO-VPA001-AUX-PAN01|MET-MRO-VPA001-AUX-PAT01|</t>
  </si>
  <si>
    <t>Dinamómetro en altura de trabajo (PM-2012 pág. 33)</t>
  </si>
  <si>
    <t>F-MET-044, F-MET-493, F-MET-495</t>
  </si>
  <si>
    <t>F-MET-584</t>
  </si>
  <si>
    <t>Transferir</t>
  </si>
  <si>
    <t>la corriente de tracción</t>
  </si>
  <si>
    <t>A. Bomba de inyección gripada por combustible contaminado</t>
  </si>
  <si>
    <t>A en reposo</t>
  </si>
  <si>
    <t>TSI Energía (Reg. UE 1301/2014)</t>
  </si>
  <si>
    <t>Límite de la TSI Energía para 1,5 kV CC; la corriente en marcha depende de la tracción (falta ficha).</t>
  </si>
  <si>
    <t>Registro de corriente de línea</t>
  </si>
  <si>
    <t>B. Elementos de la bomba de inyección desgastados por fin de vida útil</t>
  </si>
  <si>
    <t>Transferir la corriente de tracción hasta 300 A en reposo</t>
  </si>
  <si>
    <t>F-MET-586</t>
  </si>
  <si>
    <t>Bajar</t>
  </si>
  <si>
    <t>el pantógrafo</t>
  </si>
  <si>
    <t>1. Local: Entra aire a la succión de la bomba y se forman burbujas que colapsan dentro de la bomba (cavitación).
2. En el equipo: La bomba entrega caudal irregular y hace ruido. La bomba funciona a ratos y se escucha ruido de cavitación.
3. General: Los movimientos hidráulicos son lentos e irregulares.</t>
  </si>
  <si>
    <t>Ruido anormal, vibración o espuma en el aceite de la bomba hidráulica. Se detecta con: inspección auditiva y visual del nivel y del aceite; medición de vibración.</t>
  </si>
  <si>
    <t>Falta: tiempo de bajada del fabricante.</t>
  </si>
  <si>
    <t>B. Inyectores desgastados por fin de vida útil</t>
  </si>
  <si>
    <t>Prueba funcional / gatillo de seguridad</t>
  </si>
  <si>
    <t>Bajar el pantógrafo [ESTÁNDAR POR CONFIRMAR]</t>
  </si>
  <si>
    <t>Valvula Sistema Auxiliar (U) (×2)</t>
  </si>
  <si>
    <t>F-MET-589</t>
  </si>
  <si>
    <t>el aire auxiliar</t>
  </si>
  <si>
    <t>a presión de _____</t>
  </si>
  <si>
    <t>MET-MRO-VPA001-AUX-VAU01</t>
  </si>
  <si>
    <t>B. Pistón de la bomba de inyección pegajoso por barniz del combustible</t>
  </si>
  <si>
    <t>Falta: presión de los sistemas auxiliares (esquema neumático).</t>
  </si>
  <si>
    <t>Valvula Sistema Auxiliar (U) CMA</t>
  </si>
  <si>
    <t>|MET-MRO-VPA001-AUX-VAU01|MET-MRO-VPA001-AUX-VAU02|</t>
  </si>
  <si>
    <t>Manómetro de prueba</t>
  </si>
  <si>
    <t>F-MET-497, F-MET-498</t>
  </si>
  <si>
    <t>Válvula que distribuye el aire a los sistemas auxiliares.</t>
  </si>
  <si>
    <t>Distribuir el aire auxiliar [ESTÁNDAR POR CONFIRMAR]</t>
  </si>
  <si>
    <t>Resistencia de frenado (×6)</t>
  </si>
  <si>
    <t>F-MET-591</t>
  </si>
  <si>
    <t>la energía de frenado</t>
  </si>
  <si>
    <t>MET-MRO-VPA001-BAJ-RES01</t>
  </si>
  <si>
    <t>Falta: potencia de disipación (placa).</t>
  </si>
  <si>
    <t>Resistencia frenado CAF</t>
  </si>
  <si>
    <t>|MET-MRO-VPA001-BAJ-RES01|MET-MRO-VPA001-TRA-CJA01|MET-MRO-VPA001-TRA-CJA02|MET-MRO-VPA001-TRA-CRF01|MET-MRO-VPA001-TRA-RES01|MET-MRO-VPA001-TRA-RFR01|</t>
  </si>
  <si>
    <t>Inspección (PM-2012 pág. 17)</t>
  </si>
  <si>
    <t>F-MET-499, F-MET-914, F-MET-915, F-MET-920, F-MET-946, F-MET-947</t>
  </si>
  <si>
    <t>Banco de resistencias que convierte en calor la energía eléctrica generada en el frenado eléctrico.</t>
  </si>
  <si>
    <t>1. Local: El nivel de aceite del tanque baja por una fuga en la manguera y la bomba aspira aceite mezclado con aire.
2. En el equipo: El caudal de la bomba baja y se forman burbujas. La bomba funciona a ratos y se escucha ruido de cavitación. Además, el aceite fugado queda sobre la máquina y el suelo.
3. General: Los movimientos hidráulicos son lentos e irregulares.</t>
  </si>
  <si>
    <t>Disipar la energía de frenado [ESTÁNDAR POR CONFIRMAR]</t>
  </si>
  <si>
    <t>Humedad, goteo o pérdida de nivel o de presión alrededor del aceite del tanque. Se detecta con: inspección visual; prueba de estanqueidad; lectura de nivel y presión.</t>
  </si>
  <si>
    <t>Caja Reductora CAF (×2)</t>
  </si>
  <si>
    <t>F-MET-594</t>
  </si>
  <si>
    <t>el par al eje</t>
  </si>
  <si>
    <t>de 5.104</t>
  </si>
  <si>
    <t>MET-MRO-VPA001-BGI-CAR01</t>
  </si>
  <si>
    <t>Derivado técnicamente de datos validados (se indica el cálculo en la observación)</t>
  </si>
  <si>
    <t>Derivado: 845 N·m del motor × relación 6,04 = 5.104 N·m.</t>
  </si>
  <si>
    <t>Caja Reductora CAF</t>
  </si>
  <si>
    <t>|MET-MRO-VPA001-BGI-CAR01|MET-MRO-VPA001-BOG-CAR01|</t>
  </si>
  <si>
    <t>Prueba de prestaciones de tracción</t>
  </si>
  <si>
    <t>F-MET-509</t>
  </si>
  <si>
    <t>Caja de engranajes que reduce la velocidad del motor y multiplica el par que llega al eje.</t>
  </si>
  <si>
    <t>Transmitir el par al eje de 5.104 N·m</t>
  </si>
  <si>
    <t>Balancin</t>
  </si>
  <si>
    <t>F-MET-598</t>
  </si>
  <si>
    <t>la carga entre ejes</t>
  </si>
  <si>
    <t>MET-MRO-VPA001-BOG-BAL01</t>
  </si>
  <si>
    <t>Falta: la carga admisible del balancín.</t>
  </si>
  <si>
    <t>|MET-MRO-VPA001-BOG-BAL01|</t>
  </si>
  <si>
    <t>Inspección visual y END</t>
  </si>
  <si>
    <t>Pieza articulada del bogie que reparte la carga entre los ejes.</t>
  </si>
  <si>
    <t>Distribuir la carga entre ejes [ESTÁNDAR POR CONFIRMAR]</t>
  </si>
  <si>
    <t>B. Sensor de velocidad inestable por conector flojo</t>
  </si>
  <si>
    <t>Bastidor de bogie (×2)</t>
  </si>
  <si>
    <t>F-MET-601</t>
  </si>
  <si>
    <t>la carga de caja</t>
  </si>
  <si>
    <t>MET-MRO-VPA001-BOG-BAR01</t>
  </si>
  <si>
    <t>Falta: carga de diseño del bastidor.</t>
  </si>
  <si>
    <t>Bastidor Remolque</t>
  </si>
  <si>
    <t>|MET-MRO-VPA001-BOG-BAR01|MET-MRO-VPA001-BOG-BAS01|</t>
  </si>
  <si>
    <t>No genera presión hidráulica. La función se pierde por completo: no se cumple ningún punto del estándar. Estándar: por confirmar. Se verifica con: manómetro.</t>
  </si>
  <si>
    <t>Ficha del bogie</t>
  </si>
  <si>
    <t>1. Local: El resorte de la válvula de alivio se rompe y la válvula queda abierta, enviando el aceite directo al tanque.
2. En el equipo: El circuito no acumula presión aunque la bomba funcione. El manómetro hidráulico marca cero y el actuador no se mueve.
3. General: La máquina no ejecuta los movimientos hidráulicos y queda fuera de servicio.</t>
  </si>
  <si>
    <t>F-MET-502, F-MET-503</t>
  </si>
  <si>
    <t>Estructura principal del bogie: recibe la carga de la caja y aloja los ejes montados y la suspensión.</t>
  </si>
  <si>
    <t>Presión de apertura por debajo (o por encima) del tarado, descargas frecuentes o fuga en el asiento de la válvula de alivio. Se detecta con: prueba de tarado en banco; inspección del asiento; lectura de presión.</t>
  </si>
  <si>
    <t>Soportar la carga de caja [ESTÁNDAR POR CONFIRMAR]</t>
  </si>
  <si>
    <t>Bogie Motor</t>
  </si>
  <si>
    <t>F-MET-605</t>
  </si>
  <si>
    <t>el esfuerzo de tracción</t>
  </si>
  <si>
    <t>MET-MRO-VPA001-BOG-BOM01</t>
  </si>
  <si>
    <t>Falta: esfuerzo tractor de arranque por bogie.</t>
  </si>
  <si>
    <t>|MET-MRO-VPA001-BOG-BOM01|</t>
  </si>
  <si>
    <t>Prueba de prestaciones de tracción C.E8.92.301</t>
  </si>
  <si>
    <t>Bogie que lleva montado el equipo de tracción (motor y transmisión) y transmite el esfuerzo tractor al riel.</t>
  </si>
  <si>
    <t>Transmitir el esfuerzo de tracción [ESTÁNDAR POR CONFIRMAR]</t>
  </si>
  <si>
    <t>Eje montado (×2)</t>
  </si>
  <si>
    <t>F-MET-609</t>
  </si>
  <si>
    <t>MET-MRO-VPA001-BOG-MOB01</t>
  </si>
  <si>
    <t>Falta: carga máxima por eje (ficha CAF/MAN). Equipo dado de baja en SAP: confirmar si sigue en servicio.</t>
  </si>
  <si>
    <t>EJE MOTOR dado de baja</t>
  </si>
  <si>
    <t>|MET-MRO-VPA001-BOG-MOB01|MET-MRO-VPA001-BOG-MOO01|</t>
  </si>
  <si>
    <t>F-MET-513, F-MET-515</t>
  </si>
  <si>
    <t>F-MET-610</t>
  </si>
  <si>
    <t>1. Local: La bomba se traba por falta de aceite o contaminación del lubricante y deja de generar flujo.
2. En el equipo: No se genera presión en el circuito. El manómetro hidráulico marca cero y el actuador no se mueve.
3. General: La máquina no ejecuta los movimientos hidráulicos y queda fuera de servicio.</t>
  </si>
  <si>
    <t>Rueda nueva 850 mm; límite de condena 800 mm (Metro de Medellín). Equipo dado de baja en SAP: confirmar si sigue en servicio.</t>
  </si>
  <si>
    <t>A. Pivote del bogie trabado por pérdida de la película lubricante</t>
  </si>
  <si>
    <t>F-MET-611</t>
  </si>
  <si>
    <t>Espesor de pestaña Sd (galga de perfil). Límite TSI para rueda de 760–840 mm; con rueda &gt; 840 mm el mínimo es 22 mm. Equipo dado de baja en SAP: confirmar si sigue en servicio.</t>
  </si>
  <si>
    <t>B. Casquillos del pivote desgastados por fin de vida útil</t>
  </si>
  <si>
    <t>F-MET-612</t>
  </si>
  <si>
    <t>B. Ejes del bogie desalineados por impacto mecánico</t>
  </si>
  <si>
    <t>qR: cota de la cara activa de la pestaña (galga de perfil). Equipo dado de baja en SAP: confirmar si sigue en servicio.</t>
  </si>
  <si>
    <t>F-MET-613</t>
  </si>
  <si>
    <t>1. Local: La manguera hidráulica se revienta por la fatiga de su malla de refuerzo y el aceite sale a presión por la rotura.
2. En el equipo: El circuito pierde la presión y el aceite se derrama. El manómetro hidráulico marca cero y el actuador no se mueve. Además, hay derrame de aceite en la vía.
3. General: La máquina no ejecuta los movimientos hidráulicos y queda fuera de servicio.</t>
  </si>
  <si>
    <t>Grietas, resequedad, abultamientos o rozaduras visibles de la manguera hidráulica. Se detecta con: inspección visual.</t>
  </si>
  <si>
    <t>Equipo dado de baja en SAP: confirmar si sigue en servicio.</t>
  </si>
  <si>
    <t>F-MET-614</t>
  </si>
  <si>
    <t>Distancia entre caras internas; asegura el juego rueda-carril en vía de 1.435 mm. Límite TSI para rueda de 760–840 mm. Equipo dado de baja en SAP: confirmar si sigue en servicio.</t>
  </si>
  <si>
    <t>F-MET-615</t>
  </si>
  <si>
    <t>Genera presión hidráulica por debajo de la presión de trabajo. Estándar: por confirmar. Se verifica con: manómetro.</t>
  </si>
  <si>
    <t>F-MET-616</t>
  </si>
  <si>
    <t>1. Local: Las holguras internas de la bomba aumentan por el desgaste y el caudal efectivo baja.
2. En el equipo: El circuito no alcanza la presión de trabajo. El manómetro no alcanza la presión de trabajo y el actuador pierde fuerza.
3. General: Los movimientos hidráulicos se hacen con menor fuerza y los ciclos se alargan.</t>
  </si>
  <si>
    <t>Capacidad del torno del taller (mismo modelo); diferencia admisible en servicio por confirmar con el fabricante del tren. Equipo dado de baja en SAP: confirmar si sigue en servicio.</t>
  </si>
  <si>
    <t>Caja del coche (×8)</t>
  </si>
  <si>
    <t>F-MET-620</t>
  </si>
  <si>
    <t>la caja del coche</t>
  </si>
  <si>
    <t>MET-MRO-VPA001-CAB-CAA01</t>
  </si>
  <si>
    <t>Plan de Mantenimiento de trenes Metro de Medellín, Ed. 1 (jun-2012) – p.4 (C.E8.92.225)</t>
  </si>
  <si>
    <t>Caja M1 CAF</t>
  </si>
  <si>
    <t>|MET-MRO-VPA001-CAB-CAA01|MET-MRO-VPA001-CAJ-CAA01|MET-MRO-VPA001-CAJ-CAA02|MET-MRO-VPA001-CAJ-CAA03|MET-MRO-VPA001-CAJ-CAA04|MET-MRO-VPA001-CAJ-CAA05|MET-MRO-VPA001-CAJ-CRE01|MET-MRO-VPA001-SAL-CRE01|</t>
  </si>
  <si>
    <t>Protocolo C.E8.92.225 Estanqueidad al agua</t>
  </si>
  <si>
    <t>Estructura del coche que aloja a los pasajeros y a los equipos.</t>
  </si>
  <si>
    <t>Sellar la caja del coche con 0 filtraciones en prueba de agua</t>
  </si>
  <si>
    <t>Limpiaparabrisas (×5)</t>
  </si>
  <si>
    <t>F-MET-625</t>
  </si>
  <si>
    <t>Barrer</t>
  </si>
  <si>
    <t>el agua del parabrisas</t>
  </si>
  <si>
    <t>ciclos/min</t>
  </si>
  <si>
    <t>MET-MRO-VPA001-CAB-LIM01</t>
  </si>
  <si>
    <t>Falta: frecuencia de barrido del fabricante.</t>
  </si>
  <si>
    <t>Limpiaparabrisas CAF</t>
  </si>
  <si>
    <t>|MET-MRO-VPA001-CAB-LIM01|MET-MRO-VPA001-CAJ-LIM01|MET-MRO-VPA001-SEC-LIM01|MET-MRO-VPA001-SEC-LIM02|MET-MRO-VPA001-SEC-LIM03|</t>
  </si>
  <si>
    <t>1. Local: El resorte de la válvula de alivio se asienta y la válvula abre a una presión menor a la de trabajo.
2. En el equipo: Parte del aceite se desvía al tanque antes de alcanzar la presión de trabajo. El manómetro no alcanza la presión de trabajo y el actuador pierde fuerza.
3. General: Los movimientos hidráulicos se hacen con menor fuerza y los ciclos se alargan.</t>
  </si>
  <si>
    <t>Deriva de la válvula de alivio frente al valor patrón, con lecturas o ajustes que se van corriendo. Se detecta con: verificación contra patrón calibrado; lectura de parámetros; medición de alineación o vibración.</t>
  </si>
  <si>
    <t>Comprobación de funcionamiento (PM-2012 pág. 7)</t>
  </si>
  <si>
    <t>F-MET-040, F-MET-523, F-MET-538, F-MET-890, F-MET-891, F-MET-892</t>
  </si>
  <si>
    <t>Mecanismo con escobilla que barre el agua del parabrisas.</t>
  </si>
  <si>
    <t>Barrer el agua del parabrisas [ESTÁNDAR POR CONFIRMAR]</t>
  </si>
  <si>
    <t>Batería Ni-Cd (×3)</t>
  </si>
  <si>
    <t>F-MET-632</t>
  </si>
  <si>
    <t>Respaldar</t>
  </si>
  <si>
    <t>los circuitos de mando</t>
  </si>
  <si>
    <t>durante un mínimo de _____</t>
  </si>
  <si>
    <t>min</t>
  </si>
  <si>
    <t>MET-MRO-VPA001-CON-BAC01</t>
  </si>
  <si>
    <t>Falta: autonomía exigida (min). Referencia Saft Ni-Cd: tensión final de descarga 1,00 V por elemento.</t>
  </si>
  <si>
    <t>BATERIA Ni-Cd TREN MAN</t>
  </si>
  <si>
    <t>|MET-MRO-VPA001-CON-BAC01|MET-MRO-VPA001-CON-BAI01|MET-MRO-VPA001-CON-BAI02|</t>
  </si>
  <si>
    <t>Ensayo eléctrico de la batería (PM-2012 pág. 32)</t>
  </si>
  <si>
    <t>F-MET-053, F-MET-541, F-MET-542, F-MET-543</t>
  </si>
  <si>
    <t>Acumulador níquel–cadmio que alimenta los circuitos de mando del tren cuando no hay alimentación principal.</t>
  </si>
  <si>
    <t>Respaldar los circuitos de mando [ESTÁNDAR POR CONFIRMAR]</t>
  </si>
  <si>
    <t>F-MET-910</t>
  </si>
  <si>
    <t>Función agregada en la revisión 27/10. Falta: capacidad en Ah (placa de la batería).</t>
  </si>
  <si>
    <t>Convertidor auxiliar (×4)</t>
  </si>
  <si>
    <t>F-MET-638</t>
  </si>
  <si>
    <t>1. Local: El resorte de la válvula reguladora se fatiga y la válvula no mantiene su posición.
2. En el equipo: La presión del circuito sube y baja. La presión oscila y los movimientos son bruscos.
3. General: Los movimientos hidráulicos se hacen con tirones y el trabajo pierde precisión.</t>
  </si>
  <si>
    <t>la energía auxiliar</t>
  </si>
  <si>
    <t>Deriva de la válvula reguladora frente al valor patrón, con lecturas o ajustes que se van corriendo. Se detecta con: verificación contra patrón calibrado; lectura de parámetros; medición de alineación o vibración.</t>
  </si>
  <si>
    <t>MET-MRO-VPA001-CON-CAU01</t>
  </si>
  <si>
    <t>Falta: potencia nominal del convertidor.</t>
  </si>
  <si>
    <t>Convertidor Auxiliar Tren MAN</t>
  </si>
  <si>
    <t>|MET-MRO-VPA001-CON-CAU01|MET-MRO-VPA001-CON-COA01|MET-MRO-VPA001-CON-COA02|MET-MRO-VPA001-CON-COE01|</t>
  </si>
  <si>
    <t>F-MET-052, F-MET-545, F-MET-547, F-MET-549, F-MET-551</t>
  </si>
  <si>
    <t>Convertidor estático que transforma la tensión de la línea en la de los servicios auxiliares y carga las baterías.</t>
  </si>
  <si>
    <t>Suministrar la energía auxiliar [ESTÁNDAR POR CONFIRMAR]</t>
  </si>
  <si>
    <t>F-MET-640</t>
  </si>
  <si>
    <t>Cargar</t>
  </si>
  <si>
    <t>la batería</t>
  </si>
  <si>
    <t>con tensión de carga de _____</t>
  </si>
  <si>
    <t>Falta: tensión de carga. Referencia Ni-Cd: entre 1,39 y 1,42 V por elemento en flotación (Saft).</t>
  </si>
  <si>
    <t>Comprobación de la tensión del cargador (PM-2012 pág. 32)</t>
  </si>
  <si>
    <t>Cargar la batería [ESTÁNDAR POR CONFIRMAR]</t>
  </si>
  <si>
    <t>Enganche automático (×3)</t>
  </si>
  <si>
    <t>F-MET-642</t>
  </si>
  <si>
    <t>las unidades</t>
  </si>
  <si>
    <t>con tracción de 850</t>
  </si>
  <si>
    <t>Genera presión hidráulica por encima de la presión de trabajo. Estándar: por confirmar. Se verifica con: manómetro.</t>
  </si>
  <si>
    <t>MET-MRO-VPA001-ENG-EAU01</t>
  </si>
  <si>
    <t>Dellner</t>
  </si>
  <si>
    <t>1. Local: La válvula de alivio se atasca por contaminación del asiento y no abre cuando la presión llega al valor de tarado.
2. En el equipo: La presión del circuito sube por encima de la presión de trabajo. El manómetro supera la presión de trabajo y se escuchan golpes en la línea. Además, las mangueras y los sellos soportan una presión mayor a la de diseño.
3. General: El sistema hidráulico trabaja con sobrepresión y se acelera el desgaste de mangueras y sellos.</t>
  </si>
  <si>
    <t>Referencia de enganche de metro equivalente (Dellner 330). Validar con la ficha del enganche instalado.</t>
  </si>
  <si>
    <t>Enganche automatico CAF</t>
  </si>
  <si>
    <t>Respuesta más lenta o movimiento duro de la válvula de alivio antes de quedar trabado. Se detecta con: prueba funcional; medición de tiempos de ciclo.</t>
  </si>
  <si>
    <t>|MET-MRO-VPA001-ENG-EAU01|MET-MRO-VPA001-ENG-ENC01|MET-MRO-VPA001-ENG-ENC02|</t>
  </si>
  <si>
    <t>Comprobación funcional (PM-2012 pág. 9)</t>
  </si>
  <si>
    <t>F-MET-031, F-MET-552, F-MET-554, F-MET-556</t>
  </si>
  <si>
    <t>Acoplar las unidades con tracción de 850 kN</t>
  </si>
  <si>
    <t>F-MET-646</t>
  </si>
  <si>
    <t>Amortiguar</t>
  </si>
  <si>
    <t>los choques</t>
  </si>
  <si>
    <t>con energía de _____</t>
  </si>
  <si>
    <t>kJ</t>
  </si>
  <si>
    <t>Falta: energía absorbida por el amortiguador del enganche.</t>
  </si>
  <si>
    <t>Inspección del dispositivo de tracción</t>
  </si>
  <si>
    <t>Amortiguar los choques [ESTÁNDAR POR CONFIRMAR]</t>
  </si>
  <si>
    <t>Enganche Semipermanente Lado Amortig CAF</t>
  </si>
  <si>
    <t>F-MET-647</t>
  </si>
  <si>
    <t>MET-MRO-VPA001-ENG-ENL01</t>
  </si>
  <si>
    <t>Falta: la energía que debe absorber el amortiguador.</t>
  </si>
  <si>
    <t>|MET-MRO-VPA001-ENG-ENL01|</t>
  </si>
  <si>
    <t>Inspección del amortiguador</t>
  </si>
  <si>
    <t>No suministra caudal de emergencia. La función se pierde por completo: no se cumple ningún punto del estándar. Estándar: por confirmar. Se verifica con: prueba funcional de la bomba manual.</t>
  </si>
  <si>
    <t>F-MET-033, F-MET-558</t>
  </si>
  <si>
    <t>Equipo montado en el vehículo para conectar vehículos ferroviarios, transferir los esfuerzos de tracción y frenado y disipar la energía de compresión. Es un dispositivo mecánico que, opcionalmente, también transfiere potencia, datos o aire entre vehículos. El tipo semipermanente une coches de una composición que normalmente solo se separa en taller.</t>
  </si>
  <si>
    <t>1. Local: El émbolo de la bomba manual se corroe y queda trabado dentro del cilindro.
2. En el equipo: La bomba manual no desplaza aceite. No se nota en servicio; se descubre al probar la bomba de emergencia.
3. General: El circuito no recibe caudal de emergencia cuando se requiere.</t>
  </si>
  <si>
    <t>Movimiento duro, ruido o calentamiento anormal de la bomba manual antes de trabarse. Se detecta con: análisis de vibraciones; termografía; análisis de partículas en el aceite. Al ser una función oculta no se nota en operación: depende de la inspección o prueba programada.</t>
  </si>
  <si>
    <t>F-MET-648</t>
  </si>
  <si>
    <t>Unir</t>
  </si>
  <si>
    <t>los coches</t>
  </si>
  <si>
    <t>con esfuerzo longitudinal de _____</t>
  </si>
  <si>
    <t>Falta: esfuerzo longitudinal de diseño.</t>
  </si>
  <si>
    <t>Revisión general del enganche semipermanente (PM-2012 pág. 10)</t>
  </si>
  <si>
    <t>Unir los coches [ESTÁNDAR POR CONFIRMAR]</t>
  </si>
  <si>
    <t>Enganche semipermanente (×4)</t>
  </si>
  <si>
    <t>F-MET-650</t>
  </si>
  <si>
    <t>MET-MRO-VPA001-ENG-ENS01</t>
  </si>
  <si>
    <t>Enganche Semipermanente 8X2</t>
  </si>
  <si>
    <t>|MET-MRO-VPA001-ENG-ENS01|MET-MRO-VPA001-ENG-ENS02|MET-MRO-VPA001-ENG-ENS03|MET-MRO-VPA001-ENG-ENT01|</t>
  </si>
  <si>
    <t>F-MET-032, F-MET-559, F-MET-560, F-MET-561, F-MET-562</t>
  </si>
  <si>
    <t>Válvulas del actuador de enganche (×5)</t>
  </si>
  <si>
    <t>F-MET-652</t>
  </si>
  <si>
    <t>Desacoplar</t>
  </si>
  <si>
    <t>el enganche</t>
  </si>
  <si>
    <t>MET-MRO-VPA001-ENG-VAC01</t>
  </si>
  <si>
    <t>Falta: tiempo de desacople y presión de actuación.</t>
  </si>
  <si>
    <t>Valvulas-actuador (X) CMA</t>
  </si>
  <si>
    <t>|MET-MRO-VPA001-ENG-VAC01|MET-MRO-VPA001-ENG-VAC02|MET-MRO-VPA001-ENG-VAS01|MET-MRO-VPA001-SEC-VAC01|MET-MRO-VPA001-SEC-VAC02|</t>
  </si>
  <si>
    <t>1. Local: La humedad entra al bobinado del motor de la bomba de emergencia y lo quema.
2. En el equipo: El motor no gira y la bomba no mueve aceite. No se nota en servicio; se descubre al probar la bomba de emergencia.
3. General: El circuito no recibe caudal de emergencia cuando se requiere.</t>
  </si>
  <si>
    <t>Aumento de temperatura, de consumo de corriente o caída de la resistencia de aislamiento del motor de la bomba de emergencia. Se detecta con: termografía; medición de corriente; prueba de aislamiento (megóhmetro). Al ser una función oculta no se nota en operación: depende de la inspección o prueba programada.</t>
  </si>
  <si>
    <t>F-MET-563, F-MET-564, F-MET-565, F-MET-895, F-MET-896</t>
  </si>
  <si>
    <t>Válvulas neumáticas que alimentan el actuador del enganche para desacoplar los vehículos.</t>
  </si>
  <si>
    <t>Desacoplar el enganche [ESTÁNDAR POR CONFIRMAR]</t>
  </si>
  <si>
    <t>Equipo antibloqueo (×5)</t>
  </si>
  <si>
    <t>F-MET-654</t>
  </si>
  <si>
    <t>Corregir</t>
  </si>
  <si>
    <t>el deslizamiento de ruedas</t>
  </si>
  <si>
    <t>por debajo de 10</t>
  </si>
  <si>
    <t>MET-MRO-VPA001-FRE-ANT01</t>
  </si>
  <si>
    <t>Límite de macrodeslizamiento de Knorr-Bremse; en baja adherencia &lt; 5 %.</t>
  </si>
  <si>
    <t>Equipo Antibloqueo WSP</t>
  </si>
  <si>
    <t>|MET-MRO-VPA001-FRE-ANT01|MET-MRO-VPA001-FRE-ANT02|MET-MRO-VPA001-FRE-ANT03|MET-MRO-VPA001-FRE-ANT04|MET-MRO-VPA001-FRE-ANT05|</t>
  </si>
  <si>
    <t>Test de antideslizamiento (PM-2012 pág. 28)</t>
  </si>
  <si>
    <t>F-MET-014, F-MET-567, F-MET-568, F-MET-569, F-MET-570, F-MET-571</t>
  </si>
  <si>
    <t>Dispositivo que detecta el deslizamiento de las ruedas durante el frenado y modula la presión de freno para recuperar la adherencia.</t>
  </si>
  <si>
    <t>Corregir el deslizamiento de ruedas por debajo de 10 %</t>
  </si>
  <si>
    <t>Cilindro de freno de servicio (×25)</t>
  </si>
  <si>
    <t>F-MET-659</t>
  </si>
  <si>
    <t>Ejercer</t>
  </si>
  <si>
    <t>la fuerza de frenado</t>
  </si>
  <si>
    <t>MET-MRO-VPA001-FRE-CFR01</t>
  </si>
  <si>
    <t>Falta: fuerza de frenado por cilindro (ficha del freno).</t>
  </si>
  <si>
    <t>Cilindros Freno DE Servicio CMA</t>
  </si>
  <si>
    <t>|MET-MRO-VPA001-FRE-CFR01|MET-MRO-VPA001-FRE-CFR02|MET-MRO-VPA001-FRE-CFR03|MET-MRO-VPA001-FRE-CIL01|MET-MRO-VPA001-FRE-CIL02|MET-MRO-VPA001-FRE-CIL03|MET-MRO-VPA001-FRE-CIL04|MET-MRO-VPA001-FRE-CIL05|MET-MRO-VPA001-FRE-CIL06|MET-MRO-VPA001-FRE-CIL07|MET-MRO-VPA001-FRE-CIL08|MET-MRO-VPA001-FRE-CIL09|MET-MRO-VPA001-FRE-CIL10|MET-MRO-VPA001-FRE-CIL11|MET-MRO-VPA001-FRE-CIL12|MET-MRO-VPA001-FRE-CIL13|MET-MRO-VPA001-FRE-CIL14|MET-MRO-VPA001-FRE-CIL15|MET-MRO-VPA001-FRE-CIL16|MET-MRO-VPA001-FRE-CIL17|MET-MRO-VPA001-FRE-CIL18|MET-MRO-VPA001-FRE-CIS01|MET-MRO-VPA001-FRE-CIS02|MET-MRO-VPA001-FRE-EIL01|MET-MRO-VPA001-FRE-EIL02|</t>
  </si>
  <si>
    <t>Protocolo C.E8.92.302 Prestaciones de freno</t>
  </si>
  <si>
    <t>F-MET-575, F-MET-576, F-MET-577, F-MET-595, F-MET-596, F-MET-597, F-MET-598, F-MET-599, F-MET-600, F-MET-601, F-MET-602, F-MET-603, F-MET-604, F-MET-605, F-MET-606, F-MET-607, F-MET-608, F-MET-609, F-MET-610, F-MET-611, F-MET-612, F-MET-614, F-MET-615, F-MET-617, F-MET-618</t>
  </si>
  <si>
    <t>Ejercer la fuerza de frenado [ESTÁNDAR POR CONFIRMAR]</t>
  </si>
  <si>
    <t>Freno electromagnético de riel (×4)</t>
  </si>
  <si>
    <t>F-MET-666</t>
  </si>
  <si>
    <t>Adherir</t>
  </si>
  <si>
    <t>el patín al riel</t>
  </si>
  <si>
    <t>1. Local: La batería de emergencia llega al final de su vida útil y no mantiene carga.
2. En el equipo: El motor de la bomba de emergencia no recibe tensión. No se nota en servicio; se descubre al probar la bomba de emergencia.
3. General: El circuito no recibe caudal de emergencia cuando se requiere.</t>
  </si>
  <si>
    <t>con 76</t>
  </si>
  <si>
    <t>kN por metro</t>
  </si>
  <si>
    <t>Caída gradual de la tensión y de la capacidad de la batería de emergencia. Se detecta con: prueba de carga; medición de tensión en reposo y bajo carga. Al ser una función oculta no se nota en operación: depende de la inspección o prueba programada.</t>
  </si>
  <si>
    <t>MET-MRO-VPA001-FRE-ERE01</t>
  </si>
  <si>
    <t>Schwarzer</t>
  </si>
  <si>
    <t>Referencia de freno magnético rígido equivalente; validar con el fabricante instalado.</t>
  </si>
  <si>
    <t>Ereno Electromagnetico BG 6 DER CMB</t>
  </si>
  <si>
    <t>|MET-MRO-VPA001-FRE-ERE01|MET-MRO-VPA001-FRE-FEL01|MET-MRO-VPA001-FRE-FEL02|MET-MRO-VPA001-FRE-FRS01|</t>
  </si>
  <si>
    <t>Prueba de freno de emergencia</t>
  </si>
  <si>
    <t>F-MET-015, F-MET-619, F-MET-620, F-MET-621, F-MET-626</t>
  </si>
  <si>
    <t>Freno que apoya un patín electromagnético sobre el riel para generar fuerza de frenado adicional, independiente de la adherencia rueda–riel.</t>
  </si>
  <si>
    <t>Adherir el patín al riel con 76 kN por metro</t>
  </si>
  <si>
    <t>Iluminación interior (×4)</t>
  </si>
  <si>
    <t>F-MET-676</t>
  </si>
  <si>
    <t>Iluminar</t>
  </si>
  <si>
    <t>el salón</t>
  </si>
  <si>
    <t>con un mínimo de 150</t>
  </si>
  <si>
    <t>lux</t>
  </si>
  <si>
    <t>MET-MRO-VPA001-ILU-ILI01</t>
  </si>
  <si>
    <t>UIC 555</t>
  </si>
  <si>
    <t>Para pasajeros de pie: ≥ 100 lux a 1,0 m; vestíbulo ≥ 80 lux.</t>
  </si>
  <si>
    <t>Iluminación Interior</t>
  </si>
  <si>
    <t>|MET-MRO-VPA001-ILU-ILI01|MET-MRO-VPA001-ILU-ILI02|MET-MRO-VPA001-ILU-ILI03|MET-MRO-VPA001-ILU-ILI04|</t>
  </si>
  <si>
    <t>Luxómetro a 0,72 m</t>
  </si>
  <si>
    <t>F-MET-034, F-MET-651, F-MET-652, F-MET-653, F-MET-654</t>
  </si>
  <si>
    <t>Luminarias que iluminan el salón, con un modo de emergencia alimentado por batería.</t>
  </si>
  <si>
    <t>Iluminar el salón con 150 lux mínimo</t>
  </si>
  <si>
    <t>F-MET-677</t>
  </si>
  <si>
    <t>el salón en emergencia</t>
  </si>
  <si>
    <t>durante un mínimo de 90</t>
  </si>
  <si>
    <t>Suministra caudal de emergencia por debajo del requerido en emergencia. Estándar: por confirmar. Se verifica con: prueba funcional de la bomba manual.</t>
  </si>
  <si>
    <t>1. Local: Los sellos de la bomba manual se desgastan y dejan pasar aceite internamente.
2. En el equipo: La bomba entrega menos caudal por cada carrera. La bomba entrega menos caudal del necesario en la prueba.
3. General: El caudal de emergencia queda por debajo del requerido y los movimientos de emergencia se hacen más lentos.</t>
  </si>
  <si>
    <t>Sudoración, humedad, resequedad o rozaduras visibles de los sellos de la bomba manual. Se detecta con: inspección visual; prueba de estanqueidad. Al ser una función oculta no se nota en operación: depende de la inspección o prueba programada.</t>
  </si>
  <si>
    <t>Con la catenaria caída la iluminación de emergencia queda alimentada por la batería; nivel mínimo de referencia: 30 % del alumbrado normal.</t>
  </si>
  <si>
    <t>Prueba con alimentación de batería</t>
  </si>
  <si>
    <t>Iluminar el salón en emergencia durante 90 min mínimo</t>
  </si>
  <si>
    <t>Altavoces (×6)</t>
  </si>
  <si>
    <t>F-MET-705</t>
  </si>
  <si>
    <t>Difundir</t>
  </si>
  <si>
    <t>los avisos sonoros</t>
  </si>
  <si>
    <t>con inteligibilidad ≥ 0,50</t>
  </si>
  <si>
    <t>STI</t>
  </si>
  <si>
    <t>MET-MRO-VPA001-MEG-ALT01</t>
  </si>
  <si>
    <t>IEC 60268-16 / EN 50849</t>
  </si>
  <si>
    <t>Altavoces CMA</t>
  </si>
  <si>
    <t>|MET-MRO-VPA001-MEG-ALT01|MET-MRO-VPA001-MEG-ALT02|MET-MRO-VPA001-MEG-ALT03|MET-MRO-VPA001-MEG-PAR01|MET-MRO-VPA001-MEG-PAR02|MET-MRO-VPA001-MEG-PAR03|</t>
  </si>
  <si>
    <t>Medición STIPA</t>
  </si>
  <si>
    <t>F-MET-054, F-MET-697, F-MET-698, F-MET-699, F-MET-701, F-MET-702, F-MET-703</t>
  </si>
  <si>
    <t>Altavoces que difunden los avisos sonoros a los pasajeros.</t>
  </si>
  <si>
    <t>Difundir los avisos sonoros con inteligibilidad STI ≥ 0,50</t>
  </si>
  <si>
    <t>Puerta de pasajeros (×30)</t>
  </si>
  <si>
    <t>F-MET-713</t>
  </si>
  <si>
    <t>Cerrar</t>
  </si>
  <si>
    <t>la puerta</t>
  </si>
  <si>
    <t>entre 2 y 3</t>
  </si>
  <si>
    <t>MET-MRO-VPA001-PUE-PUP01</t>
  </si>
  <si>
    <t>IFE (Knorr-Bremse)</t>
  </si>
  <si>
    <t>Referencia de accionamiento equivalente (2,5 ± 0,5 s); validar con el fabricante instalado.</t>
  </si>
  <si>
    <t>Puertas pasajeros M1-1</t>
  </si>
  <si>
    <t>|MET-MRO-VPA001-PUE-PUP01|MET-MRO-VPA001-PUE-PUP02|MET-MRO-VPA001-PUE-PUP03|MET-MRO-VPA001-PUE-PUP04|MET-MRO-VPA001-PUE-PUP05|MET-MRO-VPA001-PUE-PUP06|MET-MRO-VPA001-PUE-PUP07|MET-MRO-VPA001-PUE-PUP08|MET-MRO-VPA001-PUE-PUP09|MET-MRO-VPA001-PUE-PUP10|MET-MRO-VPA001-PUE-PUP11|MET-MRO-VPA001-PUE-PUP12|MET-MRO-VPA001-PUE-PUP13|MET-MRO-VPA001-PUE-PUP14|MET-MRO-VPA001-PUE-PUP15|MET-MRO-VPA001-PUE-PUP16|MET-MRO-VPA001-PUE-PUP17|MET-MRO-VPA001-PUE-PUP18|MET-MRO-VPA001-PUE-PUP19|MET-MRO-VPA001-PUE-PUP20|MET-MRO-VPA001-PUE-PUP21|MET-MRO-VPA001-PUE-PUP22|MET-MRO-VPA001-PUE-PUP23|MET-MRO-VPA001-PUE-PUP24|MET-MRO-VPA001-PUE-PUS01|MET-MRO-VPA001-PUE-PUV01|MET-MRO-VPA001-SAL-PUA01|MET-MRO-VPA001-SAL-PUP01|MET-MRO-VPA001-SAL-PUP02|MET-MRO-VPA001-SAL-PUP03|</t>
  </si>
  <si>
    <t>F-MET-006, F-MET-807, F-MET-809, F-MET-811, F-MET-813, F-MET-815, F-MET-817, F-MET-819, F-MET-821, F-MET-823, F-MET-825, F-MET-827, F-MET-829, F-MET-831, F-MET-833, F-MET-835, F-MET-837, F-MET-839, F-MET-841, F-MET-843, F-MET-845, F-MET-847, F-MET-849, F-MET-851, F-MET-853, F-MET-855, F-MET-857, F-MET-875, F-MET-877, F-MET-879, F-MET-881</t>
  </si>
  <si>
    <t>Puerta de acceso de pasajeros con accionamiento propio, detección de obstáculo y enclavamiento.</t>
  </si>
  <si>
    <t>Cerrar la puerta entre 2 y 3 s</t>
  </si>
  <si>
    <t>F-MET-715</t>
  </si>
  <si>
    <t>Abrir</t>
  </si>
  <si>
    <t>1. Local: El filtro de la bomba de emergencia se obstruye con suciedad y restringe la entrada de aceite.
2. En el equipo: La bomba aspira con dificultad y entrega menos caudal. La bomba entrega menos caudal del necesario en la prueba.
3. General: El caudal de emergencia queda por debajo del requerido y los movimientos de emergencia se hacen más lentos.</t>
  </si>
  <si>
    <t>Aumento de la presión diferencial o caída del caudal por acumulación de suciedad del filtro de la bomba de emergencia. Se detecta con: lectura de manómetros y diferencial de presión; medición de caudal; inspección visual. Al ser una función oculta no se nota en operación: depende de la inspección o prueba programada.</t>
  </si>
  <si>
    <t>Referencia de accionamiento equivalente (IFE LIFEDrive, vano de 1.400 mm; 2,5 ± 0,5 s). Validar con el fabricante instalado.</t>
  </si>
  <si>
    <t>Protocolo C.E8.92.203 Puertas de acceso</t>
  </si>
  <si>
    <t>Abrir la puerta entre 2 y 3 s</t>
  </si>
  <si>
    <t>F-MET-716</t>
  </si>
  <si>
    <t>la fuerza de cierre</t>
  </si>
  <si>
    <t>a un máximo de 400</t>
  </si>
  <si>
    <t>EN 14752</t>
  </si>
  <si>
    <t>Durante máximo 1 s (EN 14752).</t>
  </si>
  <si>
    <t>Medidor de fuerza de cierre</t>
  </si>
  <si>
    <t>Limitar la fuerza de cierre a 400 N máximo</t>
  </si>
  <si>
    <t>F-MET-717</t>
  </si>
  <si>
    <t>Reabrir</t>
  </si>
  <si>
    <t>No suministra caudal de aire. La función se pierde por completo: no se cumple ningún punto del estándar. Estándar: por confirmar. Se verifica con: tiempo de llenado de calderines.</t>
  </si>
  <si>
    <t>1. Local: El motor del compresor se quema por sobrecarga eléctrica y deja de girar.
2. En el equipo: El compresor no comprime aire. El manómetro no sube al arrancar y el compresor no carga.
3. General: El vehículo queda sin aire comprimido para sus sistemas neumáticos.</t>
  </si>
  <si>
    <t>Aumento de temperatura, de consumo de corriente o caída de la resistencia de aislamiento del motor del compresor. Se detecta con: termografía; medición de corriente; prueba de aislamiento (megóhmetro).</t>
  </si>
  <si>
    <t>la puerta ante obstáculo</t>
  </si>
  <si>
    <t>en un mínimo de 100</t>
  </si>
  <si>
    <t>Prueba de detección de obstáculos</t>
  </si>
  <si>
    <t>Reabrir la puerta ante obstáculo en 100 mm mínimo</t>
  </si>
  <si>
    <t>F-MET-718</t>
  </si>
  <si>
    <t>Enclavar</t>
  </si>
  <si>
    <t>la puerta en marcha</t>
  </si>
  <si>
    <t>a partir de _____</t>
  </si>
  <si>
    <t>Plan de Mantenimiento de trenes Metro de Medellín, Ed. 1 (jun-2012) – p.20 (MM.07.01)</t>
  </si>
  <si>
    <t>Falta: velocidad a partir de la cual la puerta queda enclavada (especificación CAF/MAN).</t>
  </si>
  <si>
    <t>Comprobación de seguridad</t>
  </si>
  <si>
    <t>Enclavar la puerta en marcha [ESTÁNDAR POR CONFIRMAR]</t>
  </si>
  <si>
    <t>Valvulas-deposito Puertas (T) (×3)</t>
  </si>
  <si>
    <t>F-MET-720</t>
  </si>
  <si>
    <t>el aire de reserva</t>
  </si>
  <si>
    <t>MET-MRO-VPA001-PUE-VDE01</t>
  </si>
  <si>
    <t>Falta: volumen y presión de reserva de puertas.</t>
  </si>
  <si>
    <t>Valvulas-deposito Puertas (T) CR</t>
  </si>
  <si>
    <t>1. Local: La correa del compresor se rompe por fatiga y el motor deja de arrastrar al compresor.
2. En el equipo: El compresor no gira. El manómetro no sube al arrancar y el compresor no carga.
3. General: El vehículo queda sin aire comprimido para sus sistemas neumáticos.</t>
  </si>
  <si>
    <t>|MET-MRO-VPA001-PUE-VDE01|MET-MRO-VPA001-PUE-VDE02|MET-MRO-VPA001-PUE-VDE03|</t>
  </si>
  <si>
    <t>Grietas, resequedad, abultamientos o rozaduras visibles de la correa del compresor. Se detecta con: inspección visual.</t>
  </si>
  <si>
    <t>F-MET-860, F-MET-862, F-MET-864</t>
  </si>
  <si>
    <t>Válvulas y depósito de aire de reserva del sistema neumático de las puertas.</t>
  </si>
  <si>
    <t>Almacenar el aire de reserva [ESTÁNDAR POR CONFIRMAR]</t>
  </si>
  <si>
    <t>Radio Tetra MTM (×3)</t>
  </si>
  <si>
    <t>F-MET-722</t>
  </si>
  <si>
    <t>la voz por radio</t>
  </si>
  <si>
    <t>con potencia de 10</t>
  </si>
  <si>
    <t>W</t>
  </si>
  <si>
    <t>MET-MRO-VPA001-RAD-RAT01</t>
  </si>
  <si>
    <t>Motorola Solutions</t>
  </si>
  <si>
    <t>Clase 2 (10 W); configurable a 5,6 W o 3 W.</t>
  </si>
  <si>
    <t>Radio Tetra MTM 5400</t>
  </si>
  <si>
    <t>|MET-MRO-VPA001-RAD-RAT01|MET-MRO-VPA001-RAD-RAT02|MET-MRO-VPA001-RAD-RAT03|</t>
  </si>
  <si>
    <t>Vatímetro RF / protocolo C.E8.92.304</t>
  </si>
  <si>
    <t>Costo de reparación; Seguridad</t>
  </si>
  <si>
    <t>F-MET-050, F-MET-865, F-MET-866, F-MET-867</t>
  </si>
  <si>
    <t>Radio TETRA: equipo de comunicación de voz digital entre el tren y el centro de control.</t>
  </si>
  <si>
    <t>Transmitir la voz por radio con 10 W de potencia</t>
  </si>
  <si>
    <t>F-MET-723</t>
  </si>
  <si>
    <t>Recibir</t>
  </si>
  <si>
    <t>la señal de radio</t>
  </si>
  <si>
    <t>con sensibilidad de −105</t>
  </si>
  <si>
    <t>dBm</t>
  </si>
  <si>
    <t>Analizador de radio TETRA</t>
  </si>
  <si>
    <t>Recibir la señal de radio con −105 dBm de sensibilidad</t>
  </si>
  <si>
    <t>Intercomunicador (×3)</t>
  </si>
  <si>
    <t>F-MET-725</t>
  </si>
  <si>
    <t>Comunicar</t>
  </si>
  <si>
    <t>al pasajero con el conductor</t>
  </si>
  <si>
    <t>1. Local: El compresor se traba (se gripa) porque pierde la película de lubricante entre sus piezas móviles.
2. En el equipo: El compresor deja de girar y no comprime aire. El manómetro no sube al arrancar y el compresor no carga.
3. General: El vehículo queda sin aire comprimido para sus sistemas neumáticos.</t>
  </si>
  <si>
    <t>Movimiento duro, ruido o calentamiento anormal del compresor antes de trabarse. Se detecta con: análisis de vibraciones; termografía; análisis de partículas en el aceite.</t>
  </si>
  <si>
    <t>MET-MRO-VPA001-SAL-INS01</t>
  </si>
  <si>
    <t>Intercomunicador sala</t>
  </si>
  <si>
    <t>|MET-MRO-VPA001-SAL-INS01|MET-MRO-VPA001-SIS-INC01|MET-MRO-VPA001-SIS-INT01|</t>
  </si>
  <si>
    <t>Prueba del intercomunicador / STIPA</t>
  </si>
  <si>
    <t>F-MET-048, F-MET-873, F-MET-900, F-MET-902</t>
  </si>
  <si>
    <t>Equipo de comunicación de voz entre el pasajero y el conductor.</t>
  </si>
  <si>
    <t>Comunicar al pasajero con el conductor con inteligibilidad STI ≥ 0,50</t>
  </si>
  <si>
    <t>Central de detección de incendio (×3)</t>
  </si>
  <si>
    <t>F-MET-726</t>
  </si>
  <si>
    <t>Detectar</t>
  </si>
  <si>
    <t>el humo</t>
  </si>
  <si>
    <t>con umbral de _____</t>
  </si>
  <si>
    <t>dB/m</t>
  </si>
  <si>
    <t>MET-MRO-VPA001-SEC-CED01</t>
  </si>
  <si>
    <t>Falta: umbral del detector óptico (EN 54-7 / ficha).</t>
  </si>
  <si>
    <t>Central deteccion incendios</t>
  </si>
  <si>
    <t>|MET-MRO-VPA001-SEC-CED01|MET-MRO-VPA001-SEC-CEE01|MET-MRO-VPA001-SEC-CEE02|</t>
  </si>
  <si>
    <t>Comprobación de la alarma del detector óptico (PM-2012 pág. 38)</t>
  </si>
  <si>
    <t>F-MET-041, F-MET-883, F-MET-884, F-MET-885</t>
  </si>
  <si>
    <t>Central que recibe las señales de los detectores de humo y temperatura y activa las alarmas (referencia EN 54-5 y EN 54-7).</t>
  </si>
  <si>
    <t>Detectar el humo [ESTÁNDAR POR CONFIRMAR]</t>
  </si>
  <si>
    <t>F-MET-727</t>
  </si>
  <si>
    <t>el incendio por temperatura</t>
  </si>
  <si>
    <t>entre 54 y 65</t>
  </si>
  <si>
    <t>EN 54-5</t>
  </si>
  <si>
    <t>Clase A1 de EN 54-5; confirmar clase instalada (bajo bastidor puede ser clase B).</t>
  </si>
  <si>
    <t>Prueba de alarma de la sonda (PM-2012 pág. 38)</t>
  </si>
  <si>
    <t>A. Sello del cilindro de elevación desgastado por fin de vida útil</t>
  </si>
  <si>
    <t>Detectar el incendio por temperatura entre 54 y 65 °C</t>
  </si>
  <si>
    <t>Suministra caudal de aire por debajo del caudal nominal. Estándar: por confirmar. Se verifica con: tiempo de llenado de calderines.</t>
  </si>
  <si>
    <t>Engrase de pestaña (×3)</t>
  </si>
  <si>
    <t>F-MET-729</t>
  </si>
  <si>
    <t>la pestaña de rueda</t>
  </si>
  <si>
    <t>1. Local: Las válvulas del compresor se desgastan hasta el final de su vida útil y no sellan bien.
2. En el equipo: Parte del aire se devuelve en cada ciclo y baja el caudal. El tiempo de carga de calderines es mayor al normal.
3. General: Los depósitos tardan más en llegar a presión y el aire disponible es menor.</t>
  </si>
  <si>
    <t>con dosis de _____</t>
  </si>
  <si>
    <t>mL por disparo</t>
  </si>
  <si>
    <t>MET-MRO-VPA001-SEC-ENP01</t>
  </si>
  <si>
    <t>Falta: dosis por disparo e intervalo (ficha Railjet/Rebs).</t>
  </si>
  <si>
    <t>Engrase Pestaña CMA</t>
  </si>
  <si>
    <t>B. Bomba hidráulica de la grúa desgastada por holguras internas</t>
  </si>
  <si>
    <t>|MET-MRO-VPA001-SEC-ENP01|MET-MRO-VPA001-SEC-ENP02|MET-MRO-VPA001-SEC-ENR01|</t>
  </si>
  <si>
    <t>Comprobación de la bomba dosificadora DP-P (PM-2012 pág. 15)</t>
  </si>
  <si>
    <t>F-MET-039, F-MET-886, F-MET-887, F-MET-888</t>
  </si>
  <si>
    <t>Equipo que aplica lubricante a la pestaña de la rueda en cada disparo.</t>
  </si>
  <si>
    <t>Lubricar la pestaña de rueda [ESTÁNDAR POR CONFIRMAR]</t>
  </si>
  <si>
    <t>Central CCTV CAF</t>
  </si>
  <si>
    <t>F-MET-732</t>
  </si>
  <si>
    <t>Grabar</t>
  </si>
  <si>
    <t>las imágenes</t>
  </si>
  <si>
    <t>días</t>
  </si>
  <si>
    <t>MET-MRO-VPA001-SEG-CEN01</t>
  </si>
  <si>
    <t>Falta: días de retención exigidos por Metro.</t>
  </si>
  <si>
    <t>|MET-MRO-VPA001-SEG-CEN01|</t>
  </si>
  <si>
    <t>B. Palanca de mando inestable por defecto del sensor Hall</t>
  </si>
  <si>
    <t>Revisión del grabador</t>
  </si>
  <si>
    <t>F-MET-897</t>
  </si>
  <si>
    <t>Central que graba las imágenes de las cámaras de video del tren.</t>
  </si>
  <si>
    <t>Grabar las imágenes [ESTÁNDAR POR CONFIRMAR]</t>
  </si>
  <si>
    <t>Aire acondicionado cabina conductor CAF (×2)</t>
  </si>
  <si>
    <t>F-MET-740</t>
  </si>
  <si>
    <t>C. Limitador de momento descalibrado por deriva</t>
  </si>
  <si>
    <t>MET-MRO-VPA001-TEC-AIA01</t>
  </si>
  <si>
    <t>Aire acondicionado cabina conductor CAF</t>
  </si>
  <si>
    <t>|MET-MRO-VPA001-TEC-AIA01|MET-MRO-VPA001-VEN-AIA01|</t>
  </si>
  <si>
    <t>F-MET-038, F-MET-904, F-MET-952</t>
  </si>
  <si>
    <t>1. Local: El filtro de admisión se obstruye con polvo acumulado y restringe el aire que entra al compresor.
2. En el equipo: El compresor aspira menos aire y entrega menos caudal. El tiempo de carga de calderines es mayor al normal.
3. General: Los depósitos tardan más en llegar a presión y el aire disponible es menor.</t>
  </si>
  <si>
    <t>Aumento de la presión diferencial o caída del caudal por acumulación de suciedad del filtro de admisión. Se detecta con: lectura de manómetros y diferencial de presión; medición de caudal; inspección visual.</t>
  </si>
  <si>
    <t>Caja Convertidor Traccion Tren MAN</t>
  </si>
  <si>
    <t>F-MET-743</t>
  </si>
  <si>
    <t>A. Estructura de la plataforma fracturada por fatiga</t>
  </si>
  <si>
    <t>la caja del convertidor</t>
  </si>
  <si>
    <t>MET-MRO-VPA001-TRA-CAC01</t>
  </si>
  <si>
    <t>Plan de Mantenimiento de trenes Metro de Medellín, Ed. 1 (jun-2012) – p.17 (MM.05.03)</t>
  </si>
  <si>
    <t>Falta: el grado de protección IP de la caja.</t>
  </si>
  <si>
    <t>|MET-MRO-VPA001-TRA-CAC01|</t>
  </si>
  <si>
    <t>Prueba de agua / inspección de juntas</t>
  </si>
  <si>
    <t>B. Cilindro de la plataforma cedido por sello desgastado</t>
  </si>
  <si>
    <t>Caja que aloja y protege el convertidor de tracción.</t>
  </si>
  <si>
    <t>Sellar la caja del convertidor con 0 filtraciones en prueba de agua</t>
  </si>
  <si>
    <t>Inductancias de filtro (×4)</t>
  </si>
  <si>
    <t>F-MET-744</t>
  </si>
  <si>
    <t>C. Sensor de carga descalibrado por deriva</t>
  </si>
  <si>
    <t>los armónicos</t>
  </si>
  <si>
    <t>con inductancia de _____</t>
  </si>
  <si>
    <t>mH</t>
  </si>
  <si>
    <t>MET-MRO-VPA001-TRA-CAJI01</t>
  </si>
  <si>
    <t>Falta: inductancia nominal (placa).</t>
  </si>
  <si>
    <t>Caja DE Inductancias CMA</t>
  </si>
  <si>
    <t>|MET-MRO-VPA001-TRA-CAJI01|MET-MRO-VPA001-TRA-CAJI02|MET-MRO-VPA001-TRA-IFI01|MET-MRO-VPA001-TRA-ITR01|</t>
  </si>
  <si>
    <t>Revisión general (PM-2012 pág. 17)</t>
  </si>
  <si>
    <t>F-MET-908, F-MET-909, F-MET-927, F-MET-929</t>
  </si>
  <si>
    <t>Bobinas del filtro de entrada que atenúan los armónicos de corriente.</t>
  </si>
  <si>
    <t>Filtrar los armónicos [ESTÁNDAR POR CONFIRMAR]</t>
  </si>
  <si>
    <t>Convertidor DC/DC</t>
  </si>
  <si>
    <t>F-MET-745</t>
  </si>
  <si>
    <t>la tensión de salida</t>
  </si>
  <si>
    <t>a _____ ±_____</t>
  </si>
  <si>
    <t>1. Local: Los anillos del pistón se desgastan hasta el final de su vida útil y dejan pasar aire hacia el cárter.
2. En el equipo: La compresión del cilindro baja y el caudal disminuye. El tiempo de carga de calderines es mayor al normal.
3. General: Los depósitos tardan más en llegar a presión y el aire disponible es menor.</t>
  </si>
  <si>
    <t>MET-MRO-VPA001-TRA-CDC01</t>
  </si>
  <si>
    <t>Pérdida progresiva de material de los anillos del pistón hasta acercarse al límite de desgaste. Se detecta con: medición con calibre, galga o micrómetro; inspección visual.</t>
  </si>
  <si>
    <t>Falta: tensión de salida y tolerancia (placa).</t>
  </si>
  <si>
    <t>|MET-MRO-VPA001-TRA-CDC01|</t>
  </si>
  <si>
    <t>Medición en salida</t>
  </si>
  <si>
    <t>Convertidor que transforma una tensión continua en otra tensión continua regulada.</t>
  </si>
  <si>
    <t>Regular la tensión de salida [ESTÁNDAR POR CONFIRMAR]</t>
  </si>
  <si>
    <t>Chopper 1500V Vhpas (×2)</t>
  </si>
  <si>
    <t>F-MET-747</t>
  </si>
  <si>
    <t>MET-MRO-VPA001-TRA-CHO01</t>
  </si>
  <si>
    <t>Chopper 1500V Vhpas</t>
  </si>
  <si>
    <t>|MET-MRO-VPA001-TRA-CHO01|MET-MRO-VPA001-TRA-CHV01|</t>
  </si>
  <si>
    <t>F-MET-912, F-MET-913</t>
  </si>
  <si>
    <t>Convertidor de corriente continua que regula la tensión mediante conmutación rápida.</t>
  </si>
  <si>
    <t>Condensador DE RED (×2)</t>
  </si>
  <si>
    <t>F-MET-748</t>
  </si>
  <si>
    <t>Estabilizar</t>
  </si>
  <si>
    <t>la tensión de entrada</t>
  </si>
  <si>
    <t>µF</t>
  </si>
  <si>
    <t>MET-MRO-VPA001-TRA-COD01</t>
  </si>
  <si>
    <t>Falta: capacidad nominal (placa).</t>
  </si>
  <si>
    <t>Condensador DE RED CMA</t>
  </si>
  <si>
    <t>|MET-MRO-VPA001-TRA-COD01|MET-MRO-VPA001-TRA-COD02|</t>
  </si>
  <si>
    <t>Medidor de capacidad</t>
  </si>
  <si>
    <t>F-MET-916, F-MET-917</t>
  </si>
  <si>
    <t>Condensador de entrada que filtra y estabiliza la tensión que llega al convertidor.</t>
  </si>
  <si>
    <t>Estabilizar la tensión de entrada [ESTÁNDAR POR CONFIRMAR]</t>
  </si>
  <si>
    <t>Seccionador de puesta a tierra (×2)</t>
  </si>
  <si>
    <t>F-MET-749</t>
  </si>
  <si>
    <t>1. Local: El resorte del regulador de presión se fatiga y el regulador no mantiene su punto de ajuste.
2. En el equipo: El compresor carga y descarga fuera de los umbrales previstos. El compresor carga y descarga sin patrón fijo.
3. General: El caudal entregado varía y el aire disponible es menor al requerido.</t>
  </si>
  <si>
    <t>Aterrizar</t>
  </si>
  <si>
    <t>el circuito de alta tensión</t>
  </si>
  <si>
    <t>Deriva del regulador de presión frente al valor patrón, con lecturas o ajustes que se van corriendo. Se detecta con: verificación contra patrón calibrado; lectura de parámetros; medición de alineación o vibración.</t>
  </si>
  <si>
    <t>con tensión residual de 0</t>
  </si>
  <si>
    <t>A. Sensor láser dañado por defecto electrónico</t>
  </si>
  <si>
    <t>MET-MRO-VPA001-TRA-CPU01</t>
  </si>
  <si>
    <t>Plan de Mantenimiento de trenes Metro de Medellín, Ed. 1 (jun-2012) – p.4 (C.E8.92.214)</t>
  </si>
  <si>
    <t>Verificar con detector de tensión tras la maniobra de puesta a tierra.</t>
  </si>
  <si>
    <t>Caja DE Seccionador Puesta Tierra MAN</t>
  </si>
  <si>
    <t>|MET-MRO-VPA001-TRA-CPU01|MET-MRO-VPA001-TRA-SEP01|</t>
  </si>
  <si>
    <t>Protocolo C.E8.92.214 Maniobra de puesta a tierra</t>
  </si>
  <si>
    <t>F-MET-919, F-MET-949</t>
  </si>
  <si>
    <t>Seccionador que conecta a tierra el circuito de alta tensión para poder trabajar en él.</t>
  </si>
  <si>
    <t>A. Lente del sensor obstruida por polvo y grasa</t>
  </si>
  <si>
    <t>Aterrizar el circuito de alta tensión con tensión residual de 0 V</t>
  </si>
  <si>
    <t>Convertidor de tracción (×2)</t>
  </si>
  <si>
    <t>F-MET-750</t>
  </si>
  <si>
    <t>Alimentar</t>
  </si>
  <si>
    <t>el motor de tracción</t>
  </si>
  <si>
    <t>de 0 a 1.500</t>
  </si>
  <si>
    <t>V CA</t>
  </si>
  <si>
    <t>MET-MRO-VPA001-TRA-CTR01</t>
  </si>
  <si>
    <t>B. Sensor láser descalibrado por deriva</t>
  </si>
  <si>
    <t>Tensión de salida del convertidor CAF (0 a 1.500 V CA).</t>
  </si>
  <si>
    <t>Convertidor de traccion CAF</t>
  </si>
  <si>
    <t>|MET-MRO-VPA001-TRA-CTR01|MET-MRO-VPA001-TRA-NUC01|</t>
  </si>
  <si>
    <t>Protocolo C.E8.92.201</t>
  </si>
  <si>
    <t>F-MET-921, F-MET-943</t>
  </si>
  <si>
    <t>Convertidor que, desde la tensión continua de la línea, alimenta el motor de tracción con tensión y frecuencia variables.</t>
  </si>
  <si>
    <t>Alimentar el motor de tracción de 0 a 1.500 V CA</t>
  </si>
  <si>
    <t>F-MET-751</t>
  </si>
  <si>
    <t>Variar</t>
  </si>
  <si>
    <t>la frecuencia del motor</t>
  </si>
  <si>
    <t>de 0 a 120</t>
  </si>
  <si>
    <t>Hz</t>
  </si>
  <si>
    <t>C. Soporte del sensor desalineado por vibración</t>
  </si>
  <si>
    <t>1. Local: La suciedad pega el émbolo de la electroválvula de descarga y la válvula no actúa a tiempo.
2. En el equipo: El compresor alterna entre carga y descarga sin seguir la presión. El compresor carga y descarga sin patrón fijo.
3. General: El caudal entregado varía y el aire disponible es menor al requerido.</t>
  </si>
  <si>
    <t>Registro TCU</t>
  </si>
  <si>
    <t>F-MET-922, F-MET-944</t>
  </si>
  <si>
    <t>Variar la frecuencia del motor de 0 a 120 Hz</t>
  </si>
  <si>
    <t>Breaker principal (×4)</t>
  </si>
  <si>
    <t>F-MET-755</t>
  </si>
  <si>
    <t>el cortocircuito</t>
  </si>
  <si>
    <t>de 0,45 a 3,6</t>
  </si>
  <si>
    <t>kA</t>
  </si>
  <si>
    <t>MET-MRO-VPA001-TRA-DIS01</t>
  </si>
  <si>
    <t>Sécheron</t>
  </si>
  <si>
    <t>Rango de breaker equivalente; el ajuste real se toma de la placa CAF/MAN.</t>
  </si>
  <si>
    <t>Breaker TREN CAF</t>
  </si>
  <si>
    <t>|MET-MRO-VPA001-TRA-DIS01|MET-MRO-VPA001-TRA-DIS02|MET-MRO-VPA001-TRA-DIS03|MET-MRO-VPA001-TRA-IPR01|</t>
  </si>
  <si>
    <t>Prueba de disparo</t>
  </si>
  <si>
    <t>F-MET-025, F-MET-923, F-MET-924, F-MET-925, F-MET-928</t>
  </si>
  <si>
    <t>Aparato de maniobra que abre y cierra el circuito principal y corta las corrientes de cortocircuito.</t>
  </si>
  <si>
    <t>Interrumpir el cortocircuito de 0,45 a 3,6 kA</t>
  </si>
  <si>
    <t>F-MET-756</t>
  </si>
  <si>
    <t>el circuito principal</t>
  </si>
  <si>
    <t>en 5 a 10</t>
  </si>
  <si>
    <t>ms</t>
  </si>
  <si>
    <t>Referencia de equipo equivalente.</t>
  </si>
  <si>
    <t>Cronometraje de maniobra</t>
  </si>
  <si>
    <t>A. Cilindro neumático del pantógrafo despresurizado por fuga</t>
  </si>
  <si>
    <t>Abrir el circuito principal en 5 a 10 ms</t>
  </si>
  <si>
    <t>F-MET-757</t>
  </si>
  <si>
    <t>en un máximo de 70</t>
  </si>
  <si>
    <t>No comprime el refrigerante. La función se pierde por completo: no se cumple ningún punto del estándar. Estándar: por confirmar. Se verifica con: manómetros de servicio.</t>
  </si>
  <si>
    <t>1. Local: El compresor del aire acondicionado se traba (se gripa) por falta de aceite refrigerante en su interior.
2. En el equipo: El compresor deja de girar y el refrigerante no circula. El aire de la cabina no enfría y el compresor no gira.
3. General: La cabina queda sin refrigeración.</t>
  </si>
  <si>
    <t>Referencia de breaker equivalente (Sécheron); validar con la placa CAF/MAN.</t>
  </si>
  <si>
    <t>Movimiento duro, ruido o calentamiento anormal del compresor de aire acondicionado antes de trabarse. Se detecta con: análisis de vibraciones; termografía; análisis de partículas en el aceite.</t>
  </si>
  <si>
    <t>A. Brazo del pantógrafo roto por fatiga</t>
  </si>
  <si>
    <t>Verificación del dispositivo de cierre (PM-2012 pág. 34)</t>
  </si>
  <si>
    <t>Cerrar el circuito principal en 70 ms máximo</t>
  </si>
  <si>
    <t>Motor de tracción (×2)</t>
  </si>
  <si>
    <t>F-MET-763</t>
  </si>
  <si>
    <t>de 190</t>
  </si>
  <si>
    <t>B. Resorte del pantógrafo debilitado por fatiga</t>
  </si>
  <si>
    <t>MET-MRO-VPA001-TRA-MOTO01</t>
  </si>
  <si>
    <t>Ficha técnica motor de tracción asíncrono CAF (archivo del equipo, hoja 04_Ficha_tecnica_MTR)</t>
  </si>
  <si>
    <t>Motor de tracción CAF: 190 kW, par nominal 845 N·m, 2.150 rpm (par y velocidad quedan como características).</t>
  </si>
  <si>
    <t>Motor de Tracción</t>
  </si>
  <si>
    <t>|MET-MRO-VPA001-TRA-MOTO01|MET-MRO-VPA001-TRA-MTO01|</t>
  </si>
  <si>
    <t>F-MET-937</t>
  </si>
  <si>
    <t>Motor eléctrico que convierte la energía eléctrica en el par mecánico que mueve el eje; su desempeño se expresa en potencia (kW), par (N·m) y velocidad (rpm).</t>
  </si>
  <si>
    <t>Entregar potencia mecánica de 190 kW</t>
  </si>
  <si>
    <t>B. Banda de contacto desgastada por fin de vida útil</t>
  </si>
  <si>
    <t>Motor de Traccion AC Tren MAN</t>
  </si>
  <si>
    <t>F-MET-771</t>
  </si>
  <si>
    <t>MET-MRO-VPA001-TRA-MTR01</t>
  </si>
  <si>
    <t>Falta: potencia del motor AC MAN modernizado (CAF). Par nominal: queda como característica.</t>
  </si>
  <si>
    <t>Motor DE Traccion AC Tren MAN</t>
  </si>
  <si>
    <t>|MET-MRO-VPA001-TRA-MTR01|</t>
  </si>
  <si>
    <t>C. Regulador de presión del pantógrafo descalibrado por deriva</t>
  </si>
  <si>
    <t>Placa / C.E8.92.301</t>
  </si>
  <si>
    <t>Núcleo inversor de tracción MAN</t>
  </si>
  <si>
    <t>F-MET-774</t>
  </si>
  <si>
    <t>de _____ a _____</t>
  </si>
  <si>
    <t>1. Local: El embrague del compresor se desgasta hasta el final de su vida útil y patina sin transmitir el giro.
2. En el equipo: El compresor no gira aunque se energice el embrague. El aire de la cabina no enfría y el compresor no gira.
3. General: La cabina queda sin refrigeración.</t>
  </si>
  <si>
    <t>Pérdida progresiva de material del embrague del compresor hasta acercarse al límite de desgaste. Se detecta con: medición con calibre, galga o micrómetro; inspección visual.</t>
  </si>
  <si>
    <t>D. Amortiguador del pantógrafo desgastado por fin de vida útil</t>
  </si>
  <si>
    <t>MET-MRO-VPA001-TRA-NUC02</t>
  </si>
  <si>
    <t>Falta: dato del convertidor MAN modernizado. El valor de referencia CAF (0–1.500 V CA / 0–120 Hz) no está validado para MAN.</t>
  </si>
  <si>
    <t>|MET-MRO-VPA001-TRA-NUC02|</t>
  </si>
  <si>
    <t>F-MET-945</t>
  </si>
  <si>
    <t>Módulo inversor que convierte la tensión continua en alterna, de tensión y frecuencia variables, para el motor de tracción.</t>
  </si>
  <si>
    <t>Alimentar el motor de tracción [ESTÁNDAR POR CONFIRMAR]</t>
  </si>
  <si>
    <t>F-MET-775</t>
  </si>
  <si>
    <t>A. Convertidor de tracción bloqueado por defecto electrónico</t>
  </si>
  <si>
    <t>Variar la frecuencia del motor [ESTÁNDAR POR CONFIRMAR]</t>
  </si>
  <si>
    <t>Ventilador Equipo DE Traccion (×2)</t>
  </si>
  <si>
    <t>F-MET-780</t>
  </si>
  <si>
    <t>Refrigerar</t>
  </si>
  <si>
    <t>el equipo de tracción</t>
  </si>
  <si>
    <t>con caudal de _____</t>
  </si>
  <si>
    <t>m³/h</t>
  </si>
  <si>
    <t>MET-MRO-VPA001-TRA-VET01</t>
  </si>
  <si>
    <t>A. Captación de corriente interrumpida por pérdida de contacto</t>
  </si>
  <si>
    <t>Falta: caudal nominal (placa).</t>
  </si>
  <si>
    <t>Ventilador Equipo DE Traccion</t>
  </si>
  <si>
    <t>|MET-MRO-VPA001-TRA-VET01|MET-MRO-VPA001-TRA-VTR01|</t>
  </si>
  <si>
    <t>Comprime el refrigerante por debajo de la presión de trabajo. Estándar: por confirmar. Se verifica con: manómetros de servicio.</t>
  </si>
  <si>
    <t>Anemómetro</t>
  </si>
  <si>
    <t>F-MET-026, F-MET-950, F-MET-951</t>
  </si>
  <si>
    <t>1. Local: El racor del circuito de refrigerante se afloja por vibración y deja escapar refrigerante.
2. En el equipo: La carga de refrigerante disminuye y el compresor no alcanza la presión de trabajo. La cabina enfría poco y la presión de baja sale alta.
3. General: La cabina se refrigera por debajo de lo requerido.</t>
  </si>
  <si>
    <t>Ventilador que mueve el aire de refrigeración del equipo de tracción; se expresa por su caudal (m³/h).</t>
  </si>
  <si>
    <t>Pérdida de apriete, holgura o marcas de testigo desalineadas del racor del circuito de refrigerante. Se detecta con: control de torque con llave; inspección visual de marcas de testigo.</t>
  </si>
  <si>
    <t>Refrigerar el equipo de tracción [ESTÁNDAR POR CONFIRMAR]</t>
  </si>
  <si>
    <t>Ventilacion sala</t>
  </si>
  <si>
    <t>F-MET-783</t>
  </si>
  <si>
    <t>Renovar</t>
  </si>
  <si>
    <t>el aire del salón</t>
  </si>
  <si>
    <t>m³/h por pasajero</t>
  </si>
  <si>
    <t>MET-MRO-VPA001-VEN-VES01</t>
  </si>
  <si>
    <t>Falta: caudal de aire exterior por pasajero (EN 14750 / ficha).</t>
  </si>
  <si>
    <t>|MET-MRO-VPA001-VEN-VES01|</t>
  </si>
  <si>
    <t>Medición de caudal</t>
  </si>
  <si>
    <t>F-MET-037, F-MET-956</t>
  </si>
  <si>
    <t>Sistema que renueva el aire del salón con aire exterior.</t>
  </si>
  <si>
    <t>Renovar el aire del salón [ESTÁNDAR POR CONFIRMAR]</t>
  </si>
  <si>
    <t>Caballete y estructura de elevación (×22) · EELEV</t>
  </si>
  <si>
    <t>F-MET-784</t>
  </si>
  <si>
    <t>el coche elevado</t>
  </si>
  <si>
    <t>MET-TAL-EELEV-VIA-CBA01</t>
  </si>
  <si>
    <t>Falta: carga admisible.</t>
  </si>
  <si>
    <t>Caballete DE Apoyo 1 PLA N° 1 VE</t>
  </si>
  <si>
    <t>|MET-TAL-EELEV-VIA-CBA01|MET-TAL-EELEV-VIA-CBA02|MET-TAL-EELEV-VIA-CBA03|MET-TAL-EELEV-VIA-CBA04|MET-TAL-EELEV-VIA-CBA05|MET-TAL-EELEV-VIA-CBA06|MET-TAL-EELEV-VIA-CBA07|MET-TAL-EELEV-VIA-CBA08|MET-TAL-EELEV-VIA-CBA09|MET-TAL-EELEV-VIA-CBA10|MET-TAL-EELEV-VIA-CBA11|MET-TAL-EELEV-VIA-COB01|MET-TAL-EELEV-VIA-COB02|MET-TAL-EELEV-VIA-COB03|MET-TAL-EELEV-VIA-COB04|MET-TAL-EELEV-VIA-COB05|MET-TAL-EELEV-VIA-ESP01|MET-TAL-EELEV-VIA-ESP02|MET-TAL-EELEV-VIA-ESP03|MET-TAL-EELEV-VIA-ESP04|MET-TAL-EELEV-VIA-ESP05|MET-TAL-EELEV-VIA-ESP06|</t>
  </si>
  <si>
    <t>F-MET-957, F-MET-958, F-MET-959, F-MET-960, F-MET-961, F-MET-962, F-MET-963, F-MET-964, F-MET-965, F-MET-966, F-MET-967, F-MET-968, F-MET-969, F-MET-970, F-MET-971, F-MET-972, F-MET-973, F-MET-974, F-MET-975, F-MET-976, F-MET-977, F-MET-978</t>
  </si>
  <si>
    <t>Estructura de apoyo que sostiene el coche elevado.</t>
  </si>
  <si>
    <t>Soportar el coche elevado [ESTÁNDAR POR CONFIRMAR]</t>
  </si>
  <si>
    <t>Plataforma Elevacion VE (×6) · EELEV</t>
  </si>
  <si>
    <t>F-MET-787</t>
  </si>
  <si>
    <t>los coches del tren</t>
  </si>
  <si>
    <t>t por punto de elevación</t>
  </si>
  <si>
    <t>1. Local: Las válvulas internas del compresor se desgastan y devuelven parte del refrigerante comprimido.
2. En el equipo: El compresor no logra la presión de trabajo. La cabina enfría poco y la presión de baja sale alta.
3. General: La cabina se refrigera por debajo de lo requerido.</t>
  </si>
  <si>
    <t>MET-TAL-EELEV-VIA-PEL01</t>
  </si>
  <si>
    <t>Pérdida progresiva de material de las válvulas internas del compresor hasta acercarse al límite de desgaste. Se detecta con: medición con calibre, galga o micrómetro; inspección visual.</t>
  </si>
  <si>
    <t>Falta: capacidad por punto de elevación.</t>
  </si>
  <si>
    <t>Plataforma Elevacion PLA N° 1 VE</t>
  </si>
  <si>
    <t>|MET-TAL-EELEV-VIA-PEL01|MET-TAL-EELEV-VIA-PEL02|MET-TAL-EELEV-VIA-PEL03|MET-TAL-EELEV-VIA-PEL04|MET-TAL-EELEV-VIA-PEL05|MET-TAL-EELEV-VIA-PEL06|</t>
  </si>
  <si>
    <t>Placa / prueba de carga</t>
  </si>
  <si>
    <t>F-MET-980, F-MET-981, F-MET-982, F-MET-983, F-MET-984, F-MET-985</t>
  </si>
  <si>
    <t>Plataformas de elevación sincronizadas que levantan el coche para trabajar en su parte inferior.</t>
  </si>
  <si>
    <t>Elevar los coches del tren [ESTÁNDAR POR CONFIRMAR]</t>
  </si>
  <si>
    <t>F-MET-788</t>
  </si>
  <si>
    <t>Sincronizar</t>
  </si>
  <si>
    <t>la elevación</t>
  </si>
  <si>
    <t>con desnivel máximo de _____</t>
  </si>
  <si>
    <t>Falta: desnivel máximo admitido (EN 1493 / fabricante).</t>
  </si>
  <si>
    <t>Medición durante la elevación</t>
  </si>
  <si>
    <t>Sincronizar la elevación [ESTÁNDAR POR CONFIRMAR]</t>
  </si>
  <si>
    <t>F-MET-789</t>
  </si>
  <si>
    <t>Sostener</t>
  </si>
  <si>
    <t>t por plataforma</t>
  </si>
  <si>
    <t>Falta: capacidad por plataforma (t) y descenso máximo admisible (mm/h).</t>
  </si>
  <si>
    <t>Prueba de retención (EN 1493)</t>
  </si>
  <si>
    <t>Sostener el coche elevado [ESTÁNDAR POR CONFIRMAR]</t>
  </si>
  <si>
    <t>Transmision Elevacion VE (×2) · EELEV</t>
  </si>
  <si>
    <t>F-MET-792</t>
  </si>
  <si>
    <t>el movimiento de elevación</t>
  </si>
  <si>
    <t>a velocidad de _____</t>
  </si>
  <si>
    <t>mm/s</t>
  </si>
  <si>
    <t>No mantiene la temperatura del aceite hidráulico por debajo de 80 °C. La función se pierde por completo: no se cumple ningún punto del estándar. Estándar: por debajo de 80 °C (fabricante). Se verifica con: termómetro.</t>
  </si>
  <si>
    <t>1. Local: El motor del ventilador se quema por la humedad en el bobinado y el ventilador se detiene.
2. En el equipo: El enfriador deja de recibir flujo de aire y el aceite no cede su calor. La alarma de alta temperatura de aceite se activa y el enfriador no mueve aire.
3. General: La temperatura del aceite hidráulico sube por encima de 80 °C y la máquina debe detener el trabajo.</t>
  </si>
  <si>
    <t>MET-TAL-EELEV-VIA-TRS01</t>
  </si>
  <si>
    <t>Aumento de temperatura, de consumo de corriente o caída de la resistencia de aislamiento del motor del ventilador. Se detecta con: termografía; medición de corriente; prueba de aislamiento (megóhmetro).</t>
  </si>
  <si>
    <t>Falta: velocidad de elevación.</t>
  </si>
  <si>
    <t>Transmision Elevacion 1 PLA N° 1 VE</t>
  </si>
  <si>
    <t>|MET-TAL-EELEV-VIA-TRS01|MET-TAL-EELEV-VIA-TRS02|</t>
  </si>
  <si>
    <t>Cronometraje</t>
  </si>
  <si>
    <t>F-MET-987, F-MET-988</t>
  </si>
  <si>
    <t>Mecanismo que transmite el movimiento a las plataformas de elevación.</t>
  </si>
  <si>
    <t>Transmitir el movimiento de elevación [ESTÁNDAR POR CONFIRMAR]</t>
  </si>
  <si>
    <t>Cabrestante de 890934139AIOBRAS PFR · PERFI</t>
  </si>
  <si>
    <t>F-MET-796</t>
  </si>
  <si>
    <t>Desplazar</t>
  </si>
  <si>
    <t>el tren en el torno</t>
  </si>
  <si>
    <t>con fuerza de tiro de _____</t>
  </si>
  <si>
    <t>MET-TAL-PERFI-PER-CBR01</t>
  </si>
  <si>
    <t>Falta: fuerza de tiro del cabrestante.</t>
  </si>
  <si>
    <t>Cabrestante DE 890934139AIOBRAS PFR</t>
  </si>
  <si>
    <t>|MET-TAL-PERFI-PER-CBR01|</t>
  </si>
  <si>
    <t>F-MET-990</t>
  </si>
  <si>
    <t>Equipo de tiro con tambor y cable que desplaza el tren dentro del torno; se define por su fuerza de tiro (kN).</t>
  </si>
  <si>
    <t>Desplazar el tren en el torno [ESTÁNDAR POR CONFIRMAR]</t>
  </si>
  <si>
    <t>Carro DE Copiar PFR (×2) · PERFI</t>
  </si>
  <si>
    <t>F-MET-797</t>
  </si>
  <si>
    <t>Copiar</t>
  </si>
  <si>
    <t>el perfil patrón</t>
  </si>
  <si>
    <t>MET-TAL-PERFI-PER-CCD01</t>
  </si>
  <si>
    <t>Falta: exactitud del palpador.</t>
  </si>
  <si>
    <t>Carro DE Copiar Der. PFR</t>
  </si>
  <si>
    <t>|MET-TAL-PERFI-PER-CCD01|MET-TAL-PERFI-PER-CIZ01|</t>
  </si>
  <si>
    <t>F-MET-991, F-MET-992</t>
  </si>
  <si>
    <t>Carro que lleva el palpador y copia el perfil patrón durante el perfilado de ruedas.</t>
  </si>
  <si>
    <t>Copiar el perfil patrón [ESTÁNDAR POR CONFIRMAR]</t>
  </si>
  <si>
    <t>Carro Montante PFR · PERFI</t>
  </si>
  <si>
    <t>F-MET-798</t>
  </si>
  <si>
    <t>1. Local: El radiador de aceite se rompe por el impacto de una piedra y el aceite sale por la rotura.
2. En el equipo: El enfriador pierde aceite y no disipa calor. La alarma de alta temperatura de aceite se activa y el enfriador no mueve aire. Además, hay fuga de aceite hidráulico.
3. General: La temperatura del aceite hidráulico sube por encima de 80 °C y la máquina debe detener el trabajo.</t>
  </si>
  <si>
    <t>No hay una condición detectable que avise con anticipación: el radiador de aceite queda afectado por un evento súbito de impacto. Se detecta con: inspección visual después de cada evento; registro de eventos y alarmas del equipo.</t>
  </si>
  <si>
    <t>la herramienta de corte</t>
  </si>
  <si>
    <t>con precisión de ±_____</t>
  </si>
  <si>
    <t>MET-TAL-PERFI-PER-CMO01</t>
  </si>
  <si>
    <t>Falta: la precisión de posicionamiento.</t>
  </si>
  <si>
    <t>Carro Montante PFR</t>
  </si>
  <si>
    <t>|MET-TAL-PERFI-PER-CMO01|</t>
  </si>
  <si>
    <t>Verificación de posición con comparador</t>
  </si>
  <si>
    <t>F-MET-993</t>
  </si>
  <si>
    <t>Carro que posiciona la herramienta de corte durante el perfilado de ruedas.</t>
  </si>
  <si>
    <t>Posicionar la herramienta de corte [ESTÁNDAR POR CONFIRMAR]</t>
  </si>
  <si>
    <t>Carro Portapalpador PFR · PERFI</t>
  </si>
  <si>
    <t>F-MET-799</t>
  </si>
  <si>
    <t>el palpador</t>
  </si>
  <si>
    <t>con repetibilidad de ±_____</t>
  </si>
  <si>
    <t>MET-TAL-PERFI-PER-CPO01</t>
  </si>
  <si>
    <t>Falta: la repetibilidad de posición.</t>
  </si>
  <si>
    <t>Carro Portapalpador PFR</t>
  </si>
  <si>
    <t>|MET-TAL-PERFI-PER-CPO01|</t>
  </si>
  <si>
    <t>F-MET-994</t>
  </si>
  <si>
    <t>Carro que soporta y posiciona el palpador.</t>
  </si>
  <si>
    <t>Posicionar el palpador [ESTÁNDAR POR CONFIRMAR]</t>
  </si>
  <si>
    <t>Carro Rodillos Accionamiento PFR · PERFI</t>
  </si>
  <si>
    <t>F-MET-800</t>
  </si>
  <si>
    <t>el eje montado</t>
  </si>
  <si>
    <t>MET-TAL-PERFI-PER-CRA01</t>
  </si>
  <si>
    <t>Falta: rango de velocidad.</t>
  </si>
  <si>
    <t>Carro Rodillos Accionamiento PFR</t>
  </si>
  <si>
    <t>|MET-TAL-PERFI-PER-CRA01|</t>
  </si>
  <si>
    <t>F-MET-995</t>
  </si>
  <si>
    <t>Carro con rodillos que hacen girar el eje montado durante el perfilado.</t>
  </si>
  <si>
    <t>Girar el eje montado [ESTÁNDAR POR CONFIRMAR]</t>
  </si>
  <si>
    <t>Dispositivo de Carga PFR · PERFI</t>
  </si>
  <si>
    <t>F-MET-801</t>
  </si>
  <si>
    <t>Sujetar</t>
  </si>
  <si>
    <t>con fuerza de _____</t>
  </si>
  <si>
    <t>MET-TAL-PERFI-PER-DCA01</t>
  </si>
  <si>
    <t>Falta: fuerza de sujeción.</t>
  </si>
  <si>
    <t>Dispositivo DE Carga PFR</t>
  </si>
  <si>
    <t>|MET-TAL-PERFI-PER-DCA01|</t>
  </si>
  <si>
    <t>Manómetro hidráulico</t>
  </si>
  <si>
    <t>F-MET-996</t>
  </si>
  <si>
    <t>Dispositivo que carga y sujeta el eje montado en la perfiladora.</t>
  </si>
  <si>
    <t>Sujetar el eje montado [ESTÁNDAR POR CONFIRMAR]</t>
  </si>
  <si>
    <t>Disp. Mecanico Medicion Diametro PFR · PERFI</t>
  </si>
  <si>
    <t>F-MET-802</t>
  </si>
  <si>
    <t>MET-TAL-PERFI-PER-DIM01</t>
  </si>
  <si>
    <t>Falta: exactitud del dispositivo.</t>
  </si>
  <si>
    <t>Disp. Mecanico Medicion Diametro PFR</t>
  </si>
  <si>
    <t>|MET-TAL-PERFI-PER-DIM01|</t>
  </si>
  <si>
    <t>F-MET-997</t>
  </si>
  <si>
    <t>Dispositivo mecánico que mide el diámetro de la rueda en la perfiladora.</t>
  </si>
  <si>
    <t>Medir el diámetro de rueda [ESTÁNDAR POR CONFIRMAR]</t>
  </si>
  <si>
    <t>Extractor de Virutas · PERFI</t>
  </si>
  <si>
    <t>F-MET-805</t>
  </si>
  <si>
    <t>Evacuar</t>
  </si>
  <si>
    <t>la viruta</t>
  </si>
  <si>
    <t>Mantiene la temperatura del aceite hidráulico por encima de 80 °C. Estándar: por debajo de 80 °C (fabricante). Se verifica con: termómetro.</t>
  </si>
  <si>
    <t>kg/h</t>
  </si>
  <si>
    <t>MET-TAL-PERFI-PER-EXV01</t>
  </si>
  <si>
    <t>1. Local: Las aletas del radiador se cubren de polvo y grasa y disminuye el paso de aire.
2. En el equipo: El radiador disipa menos calor. La temperatura del aceite supera 80 °C durante el trabajo.
3. General: La máquina opera con aceite por encima de 80 °C y se acelera el envejecimiento del aceite y de los sellos.</t>
  </si>
  <si>
    <t>Falta: capacidad.</t>
  </si>
  <si>
    <t>Extractor DE Virutas</t>
  </si>
  <si>
    <t>Aumento de la presión diferencial o caída del caudal por acumulación de suciedad de las aletas del radiador. Se detecta con: lectura de manómetros y diferencial de presión; medición de caudal; inspección visual.</t>
  </si>
  <si>
    <t>|MET-TAL-PERFI-PER-EXV01|</t>
  </si>
  <si>
    <t>F-MET-999</t>
  </si>
  <si>
    <t>Equipo que evacúa las virutas generadas al perfilar las ruedas.</t>
  </si>
  <si>
    <t>Evacuar la viruta [ESTÁNDAR POR CONFIRMAR]</t>
  </si>
  <si>
    <t>Distribuidor KE (×2) · DIC41–DIC42</t>
  </si>
  <si>
    <t>F-MET-807</t>
  </si>
  <si>
    <t>MET-MAU-DIC41-FRN-DIT01</t>
  </si>
  <si>
    <t>Con una caída de 1,5 bar en la tubería general el distribuidor KE da freno a fondo: 3,8 ± 0,1 bar en el cilindro (UIC 540).</t>
  </si>
  <si>
    <t>Distribuidor KE</t>
  </si>
  <si>
    <t>|MET-MAU-DIC41-FRN-DIT01|MET-MAU-DIC42-FRN-DIT01|</t>
  </si>
  <si>
    <t>Prueba de freno con conducto general a 5 bar</t>
  </si>
  <si>
    <t>Válvula de control del freno automático: compara la presión de la tubería general con la del depósito de control; cuando la tubería baja, llena el cilindro de freno desde el depósito auxiliar y, cuando sube, vacía el cilindro y afloja el freno.</t>
  </si>
  <si>
    <t>EN 15355 y UIC 540 (descripción técnica)</t>
  </si>
  <si>
    <t>F-MET-808</t>
  </si>
  <si>
    <t>Llenar</t>
  </si>
  <si>
    <t>el cilindro de freno</t>
  </si>
  <si>
    <t>en 3 a 5</t>
  </si>
  <si>
    <t>Cronómetro y manómetro</t>
  </si>
  <si>
    <t>Llenar el cilindro de freno en 3 a 5 s</t>
  </si>
  <si>
    <t>F-MET-809</t>
  </si>
  <si>
    <t>Aflojar</t>
  </si>
  <si>
    <t>el freno</t>
  </si>
  <si>
    <t>en 15 a 20</t>
  </si>
  <si>
    <t>Aflojar el freno en 15 a 20 s</t>
  </si>
  <si>
    <t>Distribuidor KE Coche Motor EL-961 · LL961</t>
  </si>
  <si>
    <t>F-MET-812</t>
  </si>
  <si>
    <t>MET-MAU-LL961-FRN-DIC01</t>
  </si>
  <si>
    <t>1. Local: El termostato se atasca por la corrosión y no abre para dejar circular el aceite hacia el enfriador.
2. En el equipo: El aceite no pasa por el enfriador y no disipa calor. La temperatura del aceite supera 80 °C durante el trabajo.
3. General: La máquina opera con aceite por encima de 80 °C y se acelera el envejecimiento del aceite y de los sellos.</t>
  </si>
  <si>
    <t>Respuesta más lenta o movimiento duro del termostato antes de quedar trabado. Se detecta con: prueba funcional; medición de tiempos de ciclo.</t>
  </si>
  <si>
    <t>Distribuidor KE Coche Motor EL-961</t>
  </si>
  <si>
    <t>|MET-MAU-LL961-FRN-DIC01|</t>
  </si>
  <si>
    <t>F-MET-813</t>
  </si>
  <si>
    <t>F-MET-814</t>
  </si>
  <si>
    <t>Distribuidor KE (×7) · P901–P908</t>
  </si>
  <si>
    <t>F-MET-818</t>
  </si>
  <si>
    <t>B. Pestaña de rueda desgastada por contacto sin lubricación</t>
  </si>
  <si>
    <t>MET-MAU-P901-FRN-DIT01</t>
  </si>
  <si>
    <t>Distribuidor KE PP-901</t>
  </si>
  <si>
    <t>|MET-MAU-P901-FRN-DIT01|MET-MAU-P902-FRN-DIT01|MET-MAU-P903-FRN-DIT01|MET-MAU-P904-FRN-DIT01|MET-MAU-P905-FRN-DIT01|MET-MAU-P906-FRN-DIT01|MET-MAU-P907-FRN-DIT01|</t>
  </si>
  <si>
    <t>F-MET-819</t>
  </si>
  <si>
    <t>F-MET-820</t>
  </si>
  <si>
    <t>No soporta la carga vertical. La función se pierde por completo: no se cumple ningún punto del estándar. Estándar: de 18 t por bogie (fabricante). Se verifica con: pesaje.</t>
  </si>
  <si>
    <t>Plataforma 908</t>
  </si>
  <si>
    <t>F-MET-821</t>
  </si>
  <si>
    <t>1. Local: El resorte helicoidal se rompe por fatiga del material y deja de sostener su parte de la carga.
2. En el equipo: La carga de la caja se redistribuye en los otros resortes y la caja baja. Aparece como caída de la caja o ruido fuerte en la suspensión, y suele detectarse en la inspección del bogie.
3. General: El bogie ya no soporta la carga vertical de diseño y el vehículo debe salir de servicio.</t>
  </si>
  <si>
    <t>Pérdida de altura libre o de carga del resorte helicoidal. Se detecta con: medición de altura libre y de carga en banco de pruebas; inspección visual. Al ser una función oculta no se nota en operación: depende de la inspección o prueba programada.</t>
  </si>
  <si>
    <t>MET-MAU-P908</t>
  </si>
  <si>
    <t>|MET-MAU-P908|</t>
  </si>
  <si>
    <t>F-MET-822</t>
  </si>
  <si>
    <t>1. Local: El bastidor del bogie se fisura por las cargas dinámicas repetidas y pierde rigidez.
2. En el equipo: El bogie se deforma bajo la carga y los apoyos pierden su posición. Aparece como caída de la caja o ruido fuerte en la suspensión, y suele detectarse en la inspección del bogie.
3. General: El bogie ya no soporta la carga vertical de diseño y el vehículo debe salir de servicio.</t>
  </si>
  <si>
    <t>Fisura, deformación o marca de rotura incipiente del bastidor del bogie. Se detecta con: inspección visual y ensayos no destructivos (líquidos penetrantes o partículas magnéticas). Al ser una función oculta no se nota en operación: depende de la inspección o prueba programada.</t>
  </si>
  <si>
    <t>Prueba de freno</t>
  </si>
  <si>
    <t>Agua a presion RGH-10C · SRT20</t>
  </si>
  <si>
    <t>F-MET-823</t>
  </si>
  <si>
    <t>MET-MAU-SRT20-AGU</t>
  </si>
  <si>
    <t>Falta: presión.</t>
  </si>
  <si>
    <t>Agua a presion RGH-10C</t>
  </si>
  <si>
    <t>|MET-MAU-SRT20-AGU|</t>
  </si>
  <si>
    <t>Sistema que suministra agua a presión a los equipos de la máquina.</t>
  </si>
  <si>
    <t>Sistema Bogies · SRT20</t>
  </si>
  <si>
    <t>F-MET-824</t>
  </si>
  <si>
    <t>MET-MAU-SRT20-BOI</t>
  </si>
  <si>
    <t>Soporta la carga vertical con altura de caja menor a la nominal. Estándar: de 18 t por bogie (fabricante). Se verifica con: pesaje.</t>
  </si>
  <si>
    <t>Sistema Bogies</t>
  </si>
  <si>
    <t>|MET-MAU-SRT20-BOI|</t>
  </si>
  <si>
    <t>1. Local: El balón de aire de la suspensión pierde aire por una fuga en la goma y se desinfla.
2. En el equipo: La suspensión pierde altura y la caja baja. La caja queda más baja que lo nominal.
3. General: La suspensión trabaja fuera de su carrera y la altura de caja queda menor a la nominal.</t>
  </si>
  <si>
    <t>A. Cabeza del enganche trabada por impacto mecánico</t>
  </si>
  <si>
    <t>Humedad, goteo o pérdida de nivel o de presión alrededor del balón de aire de la suspensión. Se detecta con: inspección visual; prueba de estanqueidad; lectura de nivel y presión. Al ser una función oculta no se nota en operación: depende de la inspección o prueba programada.</t>
  </si>
  <si>
    <t>Galga</t>
  </si>
  <si>
    <t>Sistema colector de polvo SRT20M</t>
  </si>
  <si>
    <t>F-MET-827</t>
  </si>
  <si>
    <t>A. Mecanismo de acople trabado por pérdida de la película lubricante</t>
  </si>
  <si>
    <t>MET-MAU-SRT20-COL</t>
  </si>
  <si>
    <t>Falta: ΔP de cambio.</t>
  </si>
  <si>
    <t>|MET-MAU-SRT20-COL|</t>
  </si>
  <si>
    <t>Sistema Frenos · SRT20</t>
  </si>
  <si>
    <t>F-MET-830</t>
  </si>
  <si>
    <t>A. Pestillo del enganche desgastado por fin de vida útil</t>
  </si>
  <si>
    <t>MET-MAU-SRT20-FRN</t>
  </si>
  <si>
    <t>|MET-MAU-SRT20-FRN|</t>
  </si>
  <si>
    <t>1. Local: El resorte helicoidal se asienta por fatiga y pierde altura libre.
2. En el equipo: La caja baja respecto a su altura nominal. La caja queda más baja que lo nominal.
3. General: La suspensión trabaja fuera de su carrera y la altura de caja queda menor a la nominal.</t>
  </si>
  <si>
    <t>Pérdida progresiva de material del resorte helicoidal hasta acercarse al límite de desgaste. Se detecta con: medición con calibre, galga o micrómetro; inspección visual. Al ser una función oculta no se nota en operación: depende de la inspección o prueba programada.</t>
  </si>
  <si>
    <t>B. Resorte de enclavamiento debilitado por fatiga</t>
  </si>
  <si>
    <t>Sistema de generacion 460 AC · SRT20</t>
  </si>
  <si>
    <t>F-MET-831</t>
  </si>
  <si>
    <t>energía trifásica</t>
  </si>
  <si>
    <t>a 460</t>
  </si>
  <si>
    <t>MET-MAU-SRT20-GEN</t>
  </si>
  <si>
    <t>Tensión del nombre del equipo en SAP. Falta: potencia (kVA) y tolerancia de tensión.</t>
  </si>
  <si>
    <t>Sistema de generacion 460 AC</t>
  </si>
  <si>
    <t>|MET-MAU-SRT20-GEN|</t>
  </si>
  <si>
    <t>A. Soporte del enganche roto por fatiga</t>
  </si>
  <si>
    <t>Conjunto generador que produce energía trifásica en corriente alterna.</t>
  </si>
  <si>
    <t>Generar energía trifásica a 460 V CA</t>
  </si>
  <si>
    <t>Sistema Motor DEUTZ · SRT20</t>
  </si>
  <si>
    <t>F-MET-832</t>
  </si>
  <si>
    <t>MET-MAU-SRT20-MOT</t>
  </si>
  <si>
    <t>Falta: potencia del motor DEUTZ (placa).</t>
  </si>
  <si>
    <t>B. Resorte de suspensión del enganche asentado por fatiga</t>
  </si>
  <si>
    <t>Sistema Motor DEUTZ</t>
  </si>
  <si>
    <t>|MET-MAU-SRT20-MOT|</t>
  </si>
  <si>
    <t>No impide el remonte de pestaña. La función se pierde por completo: no se cumple ningún punto del estándar. Estándar: con cota qR ≥ 6,5 mm (norma: TSI LOC&amp;PAS / OTIF UTP LOC&amp;PAS, tablas 1 y 2). Se verifica con: galga de perfil.</t>
  </si>
  <si>
    <t>1. Local: La pestaña de la rueda se fractura por fatiga del material y pierde parte de su altura.
2. En el equipo: La rueda no cuenta con la pestaña completa para guiarse en el riel. No se nota en servicio; se descubre en la medición de perfil con galga.
3. General: La rueda ya no cumple la función de impedir el remonte de pestaña.</t>
  </si>
  <si>
    <t>Fisura, deformación o marca de rotura incipiente de la pestaña de rueda. Se detecta con: inspección visual y ensayos no destructivos (líquidos penetrantes o partículas magnéticas). Al ser una función oculta no se nota en operación: depende de la inspección o prueba programada.</t>
  </si>
  <si>
    <t>Distribuidor KE TT-921</t>
  </si>
  <si>
    <t>F-MET-835</t>
  </si>
  <si>
    <t>C. Soporte del enganche desplazado por impacto mecánico</t>
  </si>
  <si>
    <t>MET-MAU-TT921-CAJ-DIT01</t>
  </si>
  <si>
    <t>|MET-MAU-TT921-CAJ-DIT01|</t>
  </si>
  <si>
    <t>F-MET-836</t>
  </si>
  <si>
    <t>F-MET-837</t>
  </si>
  <si>
    <t>Impide el remonte de pestaña con cota qR menor a 6,5 mm. Estándar: con cota qR ≥ 6,5 mm (norma: TSI LOC&amp;PAS / OTIF UTP LOC&amp;PAS, tablas 1 y 2). Se verifica con: galga de perfil.</t>
  </si>
  <si>
    <t>1. Local: La pestaña de la rueda se afila por el contacto riel-rueda sin lubricación; su espesor disminuye y la cota qR baja.
2. En el equipo: El perfil de la pestaña se aparta del perfil de diseño. La galga de perfil marca qR menor a 6,5 mm.
3. General: La rueda queda con cota qR menor a 6,5 mm y la pestaña pierde su capacidad de impedir el remonte.</t>
  </si>
  <si>
    <t>Pérdida progresiva de material de la pestaña de rueda hasta acercarse al límite de desgaste. Se detecta con: medición con calibre, galga o micrómetro; inspección visual. Al ser una función oculta no se nota en operación: depende de la inspección o prueba programada.</t>
  </si>
  <si>
    <t>Equipos de Lavado</t>
  </si>
  <si>
    <t>F-MET-838</t>
  </si>
  <si>
    <t>Lavar</t>
  </si>
  <si>
    <t>los trenes</t>
  </si>
  <si>
    <t>a razón de _____</t>
  </si>
  <si>
    <t>trenes/h</t>
  </si>
  <si>
    <t>MET-TAL-ELAVA</t>
  </si>
  <si>
    <t>Falta: ficha técnica del equipo (familia sin desarrollo N7/N8 en SAP).</t>
  </si>
  <si>
    <t>|MET-TAL-ELAVA|</t>
  </si>
  <si>
    <t>Equipos para el lavado de los trenes.</t>
  </si>
  <si>
    <t>Lavar los trenes [ESTÁNDAR POR CONFIRMAR]</t>
  </si>
  <si>
    <t>Equipos de Transporte</t>
  </si>
  <si>
    <t>F-MET-839</t>
  </si>
  <si>
    <t>materiales</t>
  </si>
  <si>
    <t>MET-TAL-EQTRA</t>
  </si>
  <si>
    <t>|MET-TAL-EQTRA|</t>
  </si>
  <si>
    <t>Equipos para el transporte de materiales en el taller.</t>
  </si>
  <si>
    <t>1. Local: La boquilla de engrase de la pestaña se obstruye por grasa endurecida y no lubrica el contacto riel-rueda.
2. En el equipo: El contacto metal-metal aumenta y la pestaña se desgasta más rápido. La galga de perfil marca qR menor a 6,5 mm.
3. General: La rueda queda con cota qR menor a 6,5 mm.</t>
  </si>
  <si>
    <t>Aumento de la presión diferencial o caída del caudal por acumulación de suciedad de la boquilla de engrase de pestaña. Se detecta con: lectura de manómetros y diferencial de presión; medición de caudal; inspección visual. Al ser una función oculta no se nota en operación: depende de la inspección o prueba programada.</t>
  </si>
  <si>
    <t>Transportar materiales [ESTÁNDAR POR CONFIRMAR]</t>
  </si>
  <si>
    <t>Equipos de Taller Industrial</t>
  </si>
  <si>
    <t>F-MET-840</t>
  </si>
  <si>
    <t>Mecanizar</t>
  </si>
  <si>
    <t>piezas</t>
  </si>
  <si>
    <t>MET-TAL-ETIND</t>
  </si>
  <si>
    <t>|MET-TAL-ETIND|</t>
  </si>
  <si>
    <t>Máquinas y equipos del taller industrial para mecanizar piezas.</t>
  </si>
  <si>
    <t>Mecanizar piezas [ESTÁNDAR POR CONFIRMAR]</t>
  </si>
  <si>
    <t>Red de Aire Comprimido</t>
  </si>
  <si>
    <t>F-MET-841</t>
  </si>
  <si>
    <t>aire comprimido</t>
  </si>
  <si>
    <t>MET-TAL-REDAC</t>
  </si>
  <si>
    <t>|MET-TAL-REDAC|</t>
  </si>
  <si>
    <t>Red de tuberías, depósitos y válvulas que distribuye aire comprimido.</t>
  </si>
  <si>
    <t>Suministrar aire comprimido [ESTÁNDAR POR CONFIRMAR]</t>
  </si>
  <si>
    <t>Sistema de Seguridad de Catenaria Vias</t>
  </si>
  <si>
    <t>F-MET-842</t>
  </si>
  <si>
    <t>la tensión de catenaria</t>
  </si>
  <si>
    <t>1. Local: El perfil de la rueda se deforma por un desgaste desigual y se aparta del perfil de diseño.
2. En el equipo: La pestaña y la banda de rodadura quedan con medidas distintas a las previstas. La galga de perfil marca qR menor a 6,5 mm.
3. General: La rueda queda con cota qR menor a 6,5 mm.</t>
  </si>
  <si>
    <t>Pérdida progresiva de material del perfil de rueda hasta acercarse al límite de desgaste. Se detecta con: medición con calibre, galga o micrómetro; inspección visual. Al ser una función oculta no se nota en operación: depende de la inspección o prueba programada.</t>
  </si>
  <si>
    <t>MET-TAL-SSCV</t>
  </si>
  <si>
    <t>|MET-TAL-SSCV|</t>
  </si>
  <si>
    <t>Sistema que detecta la presencia de tensión en la catenaria de las vías.</t>
  </si>
  <si>
    <t>Detectar la tensión de catenaria [ESTÁNDAR POR CONFIRMAR]</t>
  </si>
  <si>
    <t>No impide la entrada de agua. La función se pierde por completo: no se cumple ningún punto del estándar. Estándar: con 0 filtraciones (fabricante: Manual de Mantenimiento DR1227 Plasser &amp; Theurer DIC-40 (WS6761) – p.81). Se verifica con: control visual anual de juntas de goma.</t>
  </si>
  <si>
    <t>1. Local: El empaque del parabrisas se desprende por el envejecimiento y deja una abertura entre el vidrio y la carrocería.
2. En el equipo: El agua de lluvia entra por la abertura. Entra agua a la cabina y se ve el charco en el piso.
3. General: La cabina queda con filtraciones de agua.</t>
  </si>
  <si>
    <t>Pérdida de apriete, holgura o marcas de testigo desalineadas del empaque del parabrisas. Se detecta con: control de torque con llave; inspección visual de marcas de testigo.</t>
  </si>
  <si>
    <t>Impide la entrada de agua con filtraciones sobre el máximo. Estándar: con 0 filtraciones (fabricante: Manual de Mantenimiento DR1227 Plasser &amp; Theurer DIC-40 (WS6761) – p.81). Se verifica con: control visual anual de juntas de goma.</t>
  </si>
  <si>
    <t>1. Local: El burlete de la puerta de cabina se desgarra por los ciclos repetidos de apertura y cierre y pierde su continuidad.
2. En el equipo: El agua entra por el tramo desgarrado. La prueba de agua o la lluvia muestran goteras.
3. General: La cabina presenta filtraciones sobre el máximo permitido.</t>
  </si>
  <si>
    <t>Grietas, resequedad, abultamientos o rozaduras visibles del burlete de puerta de cabina. Se detecta con: inspección visual.</t>
  </si>
  <si>
    <t>1. Local: El drenaje de la cabina se tapona con suciedad y el agua no sale.
2. En el equipo: El agua se acumula y rebosa hacia el interior. La prueba de agua o la lluvia muestran goteras.
3. General: La cabina presenta filtraciones sobre el máximo permitido.</t>
  </si>
  <si>
    <t>Aumento de la presión diferencial o caída del caudal por acumulación de suciedad del drenaje de cabina. Se detecta con: lectura de manómetros y diferencial de presión; medición de caudal; inspección visual.</t>
  </si>
  <si>
    <t>1. Local: El sello de la ventana se reseca por el envejecimiento y se agrieta.
2. En el equipo: El agua entra por las grietas del sello. La prueba de agua o la lluvia muestran goteras.
3. General: La cabina presenta filtraciones sobre el máximo permitido.</t>
  </si>
  <si>
    <t>Pérdida de elasticidad, grietas finas o resequedad del sello de ventana. Se detecta con: inspección visual; medición de prestaciones (presión, caudal).</t>
  </si>
  <si>
    <t>No suministra la corriente de arranque. La función se pierde por completo: no se cumple ningún punto del estándar. Estándar: con tensión mínima de 19,2 V (fabricante). Se verifica con: voltímetro.</t>
  </si>
  <si>
    <t>1. Local: Las celdas de la batería se sulfatan y pierden capacidad de entregar corriente.
2. En el equipo: La tensión de la batería cae al demandar la corriente de arranque. Al dar contacto el motor no gira y el voltímetro marca menos de lo normal.
3. General: El motor no arranca y el vehículo no puede ponerse en marcha.</t>
  </si>
  <si>
    <t>Caída gradual de la tensión y de la capacidad de la batería. Se detecta con: prueba de carga; medición de tensión en reposo y bajo carga.</t>
  </si>
  <si>
    <t>1. Local: Los bornes de la batería se sulfatan por la corrosión y aumenta la resistencia en la conexión.
2. En el equipo: La corriente de arranque no pasa completa hacia el motor de arranque. Al dar contacto el motor no gira y el voltímetro marca menos de lo normal.
3. General: El motor no arranca y el vehículo no puede ponerse en marcha.</t>
  </si>
  <si>
    <t>Óxido, picaduras o sulfatación visibles de los bornes de batería. Se detecta con: inspección visual; medición de resistencia de contacto o de tensión en bornes.</t>
  </si>
  <si>
    <t>1. Local: Una celda de la batería se cortocircuita por la rotura del separador y deja de aportar tensión.
2. En el equipo: La tensión total de la batería baja y no se sostiene. Al dar contacto el motor no gira y el voltímetro marca menos de lo normal.
3. General: El motor no arranca y el vehículo no puede ponerse en marcha.</t>
  </si>
  <si>
    <t>No hay una condición detectable que avise con anticipación: la celda de batería deja de funcionar de forma súbita. Se detecta con: prueba funcional programada; registro de eventos y alarmas del equipo.</t>
  </si>
  <si>
    <t>A. Tubería hidráulica rota por vibración</t>
  </si>
  <si>
    <t>B. Manguera hidráulica aplastada por impacto mecánico</t>
  </si>
  <si>
    <t>B. Racor hidráulico obstruido por suciedad</t>
  </si>
  <si>
    <t>1. Local: El terminal de la batería se afloja por vibración y el contacto eléctrico se vuelve intermitente.
2. En el equipo: La corriente de arranque se interrumpe de forma irregular. El motor arranca a veces y otras no, sin causa clara.
3. General: El arranque del motor es intermitente y el vehículo arranca solo en algunos intentos.</t>
  </si>
  <si>
    <t>Pérdida de apriete, holgura o marcas de testigo desalineadas del terminal de batería. Se detecta con: control de torque con llave; inspección visual de marcas de testigo.</t>
  </si>
  <si>
    <t>C. Racor hidráulico flojo por vibración</t>
  </si>
  <si>
    <t>C. Manguera hidráulica porosa por envejecimiento</t>
  </si>
  <si>
    <t>1. Local: El cable de arranque se daña por rozamiento con el chasis; se pierde parte de su aislamiento y de su sección.
2. En el equipo: La corriente de arranque llega de forma intermitente al motor de arranque. El motor arranca a veces y otras no, sin causa clara.
3. General: El arranque del motor es intermitente y el vehículo arranca solo en algunos intentos.</t>
  </si>
  <si>
    <t>Aislante deteriorado, marcas de rozamiento o pérdidas de señal en el cable de arranque. Se detecta con: inspección visual; prueba de aislamiento y de continuidad.</t>
  </si>
  <si>
    <t>A. Motor de tracción quemado por sobrecalentamiento</t>
  </si>
  <si>
    <t>Suministra la corriente de arranque con tensión menor a 19,2 V. Estándar: con tensión mínima de 19,2 V (fabricante). Se verifica con: voltímetro.</t>
  </si>
  <si>
    <t>1. Local: La batería se degrada al final de su vida útil y su tensión cae bajo carga.
2. En el equipo: La tensión entregada al arranque baja de 19,2 V. El voltímetro marca menos de 19,2 V y el arranque es lento.
3. General: El motor gira despacio y el arranque se demora.</t>
  </si>
  <si>
    <t>Caída gradual de la tensión y de la capacidad de la batería, con tiempos de carga más largos. Se detecta con: prueba de carga; medición de tensión en reposo y bajo carga.</t>
  </si>
  <si>
    <t>1. Local: La conexión de masa se afloja por vibración y aumenta la resistencia del retorno de corriente.
2. En el equipo: Parte de la tensión se pierde en la conexión y llega menos al motor de arranque. El voltímetro marca menos de 19,2 V y el arranque es lento.
3. General: El motor gira despacio y el arranque se demora.</t>
  </si>
  <si>
    <t>Pérdida de apriete, holgura o marcas de testigo desalineadas de la conexión de masa. Se detecta con: control de torque con llave; inspección visual de marcas de testigo.</t>
  </si>
  <si>
    <t>No almacena energía eléctrica. La función se pierde por completo: no se cumple ningún punto del estándar. Estándar: con tensión mínima de 19,2 V (fabricante). Se verifica con: voltímetro.</t>
  </si>
  <si>
    <t>Almacena energía eléctrica con tensión menor a 19,2 V. Estándar: con tensión mínima de 19,2 V (fabricante). Se verifica con: voltímetro.</t>
  </si>
  <si>
    <t>No presuriza los cilindros de freno. La función se pierde por completo: no se cumple ningún punto del estándar. Estándar: entre 3,7 y 3,9 bar (norma: UIC 540). Se verifica con: manómetro.</t>
  </si>
  <si>
    <t>1. Local: El émbolo de la válvula de freno se atasca por contaminación y no deja pasar aire a los cilindros.
2. En el equipo: Los cilindros no se presurizan. El manómetro de cilindros queda en cero al aplicar el freno.
3. General: El vehículo no genera fuerza de frenado y sale de servicio.</t>
  </si>
  <si>
    <t>Respuesta más lenta o movimiento duro de la válvula de freno antes de quedar trabado. Se detecta con: prueba funcional; medición de tiempos de ciclo.</t>
  </si>
  <si>
    <t>1. Local: La manguera del cilindro se rompe por el envejecimiento y el aire se escapa por la rotura.
2. En el equipo: El cilindro no alcanza presión. El manómetro de cilindros queda en cero al aplicar el freno.
3. General: El vehículo no genera fuerza de frenado y sale de servicio.</t>
  </si>
  <si>
    <t>Grietas, resequedad, abultamientos o rozaduras visibles de la manguera de cilindro. Se detecta con: inspección visual.</t>
  </si>
  <si>
    <t>Presuriza los cilindros de freno por debajo de 3,7 bar. Estándar: entre 3,7 y 3,9 bar (norma: UIC 540). Se verifica con: manómetro.</t>
  </si>
  <si>
    <t>A. Bomba hidráulica de la grúa gripada por contaminación del aceite</t>
  </si>
  <si>
    <t>1. Local: La válvula reductora de presión se descalibra por deriva y entrega una presión menor a la ajustada.
2. En el equipo: Los cilindros se presurizan por debajo de 3,7 bar. El manómetro de cilindros marca menos de 3,7 bar y el freno es débil.
3. General: El vehículo frena con menos fuerza y requiere más distancia para detenerse.</t>
  </si>
  <si>
    <t>Deriva de la válvula reductora de presión frente al valor patrón, con lecturas o ajustes que se van corriendo. Se detecta con: verificación contra patrón calibrado; lectura de parámetros; medición de alineación o vibración.</t>
  </si>
  <si>
    <t>B. Sello del cilindro desgastado por fin de vida útil</t>
  </si>
  <si>
    <t>C. Limitador de carga descalibrado por deriva</t>
  </si>
  <si>
    <t>1. Local: El sello del cilindro de freno se desgasta y deja pasar aire hacia el otro lado del émbolo.
2. En el equipo: El cilindro no sostiene la presión de 3,7 bar. El manómetro de cilindros marca menos de 3,7 bar y el freno es débil.
3. General: El vehículo frena con menos fuerza y requiere más distancia para detenerse.</t>
  </si>
  <si>
    <t>Sudoración, humedad, resequedad o rozaduras visibles del sello del cilindro de freno. Se detecta con: inspección visual; prueba de estanqueidad.</t>
  </si>
  <si>
    <t>Presuriza los cilindros de freno por encima de 3,9 bar. Estándar: entre 3,7 y 3,9 bar (norma: UIC 540). Se verifica con: manómetro.</t>
  </si>
  <si>
    <t>1. Local: La válvula reductora de presión se atasca por contaminación y entrega más presión de la ajustada.
2. En el equipo: Los cilindros se presurizan por encima de 3,9 bar y las zapatas aprietan con más fuerza. El manómetro marca más de 3,9 bar y las ruedas tienden a bloquearse, con formación de calibres planos en las ruedas.
3. General: El vehículo frena con más fuerza de la prevista y se desgastan ruedas y riel.</t>
  </si>
  <si>
    <t>Movimiento duro, ruido o calentamiento anormal de la válvula reductora de presión antes de trabarse. Se detecta con: análisis de vibraciones; termografía; análisis de partículas en el aceite.</t>
  </si>
  <si>
    <t>A. Resorte del freno de estacionamiento roto por fatiga</t>
  </si>
  <si>
    <t>A. Cilindro de estacionamiento trabado por corrosión</t>
  </si>
  <si>
    <t>Presuriza los cilindros de freno con una presión que oscila fuera del rango de 3,7 a 3,9 bar. Estándar: entre 3,7 y 3,9 bar (norma: UIC 540). Se verifica con: manómetro.</t>
  </si>
  <si>
    <t>1. Local: El resorte de la válvula reguladora se fatiga y la válvula no sostiene su ajuste.
2. En el equipo: La presión de los cilindros sube y baja durante el frenado. La presión oscila al frenar y el frenado se siente irregular.
3. General: La fuerza de frenado cambia entre aplicaciones y el vehículo frena de forma irregular.</t>
  </si>
  <si>
    <t>A. Válvula del freno directo atascada por contaminación</t>
  </si>
  <si>
    <t>A. Válvula del freno directo pegajosa por grasa endurecida</t>
  </si>
  <si>
    <t>B. Válvula reductora descalibrada por deriva</t>
  </si>
  <si>
    <t>No lubrica los puntos de engrase. La función se pierde por completo: no se cumple ningún punto del estándar. Estándar: a un máximo de 15 bar (fabricante: Manual de Mantenimiento DR1227 Plasser &amp; Theurer DIC-40 (WS6761) – p.38). Se verifica con: manómetro de la bomba.</t>
  </si>
  <si>
    <t>1. Local: La bomba de lubricación se atasca por grasa endurecida y deja de impulsar grasa.
2. En el equipo: La grasa no llega a las líneas de engrase. No se nota en servicio; se descubre porque las boquillas salen secas en la inspección.
3. General: Los puntos de engrase quedan sin lubricación y el desgaste de los componentes aumenta.</t>
  </si>
  <si>
    <t>Movimiento duro, ruido o calentamiento anormal de la bomba de lubricación antes de trabarse. Se detecta con: análisis de vibraciones; termografía; análisis de partículas en el aceite. Al ser una función oculta no se nota en operación: depende de la inspección o prueba programada.</t>
  </si>
  <si>
    <t>C. Válvula reductora atascada por contaminación</t>
  </si>
  <si>
    <t>A. Válvula distribuidora atascada por contaminación</t>
  </si>
  <si>
    <t>A. Manguera del conducto general rota por envejecimiento</t>
  </si>
  <si>
    <t>1. Local: La línea de engrase se obstruye con grasa endurecida y la grasa no alcanza los puntos de aplicación.
2. En el equipo: Los puntos conectados a la línea reciben menos grasa o ninguna. No se nota en servicio; se descubre porque las boquillas salen secas en la inspección.
3. General: Los puntos de engrase quedan sin lubricación y el desgaste de los componentes aumenta.</t>
  </si>
  <si>
    <t>Aumento de la presión diferencial o caída del caudal por acumulación de suciedad de la línea de engrase. Se detecta con: lectura de manómetros y diferencial de presión; medición de caudal; inspección visual. Al ser una función oculta no se nota en operación: depende de la inspección o prueba programada.</t>
  </si>
  <si>
    <t>B. Válvula del maquinista descalibrada por deriva</t>
  </si>
  <si>
    <t>B. Distribuidor pegajoso por grasa endurecida</t>
  </si>
  <si>
    <t>1. Local: El depósito de grasa se vacía por una fuga y la bomba no tiene grasa para impulsar.
2. En el equipo: La línea de engrase queda sin suministro. No se nota en servicio; se descubre porque las boquillas salen secas en la inspección.
3. General: Los puntos de engrase quedan sin lubricación y el desgaste de los componentes aumenta.</t>
  </si>
  <si>
    <t>Humedad, goteo o pérdida de nivel o de presión alrededor del depósito de grasa. Se detecta con: inspección visual; prueba de estanqueidad; lectura de nivel y presión. Al ser una función oculta no se nota en operación: depende de la inspección o prueba programada.</t>
  </si>
  <si>
    <t>Lubrica los puntos de engrase con caudal insuficiente. Estándar: a un máximo de 15 bar (fabricante: Manual de Mantenimiento DR1227 Plasser &amp; Theurer DIC-40 (WS6761) – p.38). Se verifica con: manómetro de la bomba.</t>
  </si>
  <si>
    <t>1. Local: La bomba de lubricación se desgasta hasta el final de su vida útil y entrega menos grasa por ciclo.
2. En el equipo: Los puntos de engrase reciben menos grasa que la prevista. La inspección muestra menos grasa en los puntos que la prevista.
3. General: La lubricación es deficiente y el desgaste de los componentes se acelera.</t>
  </si>
  <si>
    <t>Pérdida progresiva de material de la bomba de lubricación hasta acercarse al límite de desgaste. Se detecta con: medición con calibre, galga o micrómetro; inspección visual. Al ser una función oculta no se nota en operación: depende de la inspección o prueba programada.</t>
  </si>
  <si>
    <t>Lubrica los puntos de engrase con presión mayor a 15 bar. Estándar: a un máximo de 15 bar (fabricante: Manual de Mantenimiento DR1227 Plasser &amp; Theurer DIC-40 (WS6761) – p.38). Se verifica con: manómetro de la bomba.</t>
  </si>
  <si>
    <t>1. Local: La válvula limitadora se atasca por contaminación y no alivia el exceso de presión de la línea.
2. En el equipo: La presión de la línea supera los 15 bar. La línea de engrase se hincha o revienta en un racor.
3. General: La grasa rebosa o se escapa por los racores y los puntos de engrase se ensucian.</t>
  </si>
  <si>
    <t>Respuesta más lenta o movimiento duro de la válvula limitadora antes de quedar trabado. Se detecta con: prueba funcional; medición de tiempos de ciclo. Al ser una función oculta no se nota en operación: depende de la inspección o prueba programada.</t>
  </si>
  <si>
    <t>A. Cilindro neumático de cambios trabado por corrosión</t>
  </si>
  <si>
    <t>A. Electroválvula de cambios quemada por sobretensión</t>
  </si>
  <si>
    <t>A. Electroválvula de cambios pegajosa por suciedad</t>
  </si>
  <si>
    <t>B. Línea neumática de cambios despresurizada por racor flojo</t>
  </si>
  <si>
    <t>No transmite el par motriz. La función se pierde por completo: no se cumple ningún punto del estándar. Estándar: hasta 2.300 N.m (fabricante). Se verifica con: prueba de tracción.</t>
  </si>
  <si>
    <t>1. Local: El diente de un engranaje se fractura por fatiga y deja de engranar con su par.
2. En el equipo: La caja no transmite el giro de entrada hacia la salida. El motor gira pero el vehículo no avanza, con ruido o golpe en la caja.
3. General: El vehículo no recibe par en las ruedas y no se mueve.</t>
  </si>
  <si>
    <t>Fisura, deformación o marca de rotura incipiente del engranaje. Se detecta con: inspección visual y ensayos no destructivos (líquidos penetrantes o partículas magnéticas).</t>
  </si>
  <si>
    <t>A. Bastidor de la dresina fisurado por fatiga del material</t>
  </si>
  <si>
    <t>A. Piso de la plataforma de personal corroído por corrosión</t>
  </si>
  <si>
    <t>B. Asientos de la plataforma de personal rotos por fatiga del material</t>
  </si>
  <si>
    <t>B. Barandas de la plataforma de personal flojas por vibración</t>
  </si>
  <si>
    <t>1. Local: El eje de salida se rompe por fatiga y se separa del vehículo de engranajes.
2. En el equipo: El giro no llega al cardán ni al eje. El motor gira pero el vehículo no avanza, con ruido o golpe en la caja.
3. General: El vehículo no recibe par en las ruedas y no se mueve.</t>
  </si>
  <si>
    <t>Fisura, deformación o marca de rotura incipiente del eje de salida. Se detecta con: inspección visual y ensayos no destructivos (líquidos penetrantes o partículas magnéticas).</t>
  </si>
  <si>
    <t>1. Local: El acople de la caja se rompe por la desalineación entre el motor y la caja.
2. En el equipo: El giro del motor no se transmite a la caja. El motor gira pero el vehículo no avanza, con ruido o golpe en la caja.
3. General: El vehículo no recibe par en las ruedas y no se mueve.</t>
  </si>
  <si>
    <t>Fisura, deformación o marca de rotura incipiente del acople de la caja. Se detecta con: inspección visual y ensayos no destructivos (líquidos penetrantes o partículas magnéticas).</t>
  </si>
  <si>
    <t>Transmite el par motriz con par menor al requerido. Estándar: hasta 2.300 N.m (fabricante). Se verifica con: prueba de tracción.</t>
  </si>
  <si>
    <t>1. Local: Los discos del embrague se desgastan hasta el final de su vida útil y patinan bajo carga.
2. En el equipo: La caja recibe menos par del que entrega el motor y se calienta por la fricción. El vehículo pierde fuerza en pendientes y se calienta la caja.
3. General: El vehículo transmite menos par del requerido a las ruedas y pierde capacidad de tracción.</t>
  </si>
  <si>
    <t>Pérdida progresiva de material de los discos del embrague hasta acercarse al límite de desgaste. Se detecta con: medición con calibre, galga o micrómetro; inspección visual.</t>
  </si>
  <si>
    <t>1. Local: Los dientes del engranaje se pican por la fatiga superficial; el contacto entre dientes deja de ser uniforme.
2. En el equipo: La caja transmite el par con vibración y con pérdida de ajuste entre engranajes, y se calienta. El vehículo pierde fuerza en pendientes y se calienta la caja.
3. General: El vehículo transmite menos par del requerido a las ruedas.</t>
  </si>
  <si>
    <t>Pérdida progresiva de material del engranaje hasta acercarse al límite de desgaste. Se detecta con: medición con calibre, galga o micrómetro; inspección visual.</t>
  </si>
  <si>
    <t>No entrega potencia mecánica. La función se pierde por completo: no se cumple ningún punto del estándar. Estándar: en un rango de 490 a 510 kW (fabricante: DEUTZ). Se verifica con: banco / opacímetro / registro ECU.</t>
  </si>
  <si>
    <t>1. Local: Los inyectores se atascan por combustible contaminado y no pulverizan combustible en la cámara.
2. En el equipo: La combustión no se produce o es insuficiente en los cilindros afectados. El motor no arranca o se apaga y se enciende la alarma de motor.
3. General: El motor no entrega potencia mecánica y la unidad queda fuera de servicio.</t>
  </si>
  <si>
    <t>Movimiento duro, ruido o calentamiento anormal de los inyectores del motor antes de trabarse. Se detecta con: análisis de vibraciones; termografía; análisis de partículas en el aceite.</t>
  </si>
  <si>
    <t>1. Local: El rodamiento del turbocompresor se desgasta y el eje del turbo se bloquea.
2. En el equipo: El motor deja de recibir aire de sobrealimentación y la combustión se limita. El motor no arranca o se apaga y se enciende la alarma de motor.
3. General: El motor no entrega potencia mecánica y la unidad queda fuera de servicio.</t>
  </si>
  <si>
    <t>Movimiento duro, ruido o calentamiento anormal del turbocompresor antes de trabarse. Se detecta con: análisis de vibraciones; termografía; análisis de partículas en el aceite.</t>
  </si>
  <si>
    <t>1. Local: El filtro de combustible se obstruye con la suciedad del combustible y no deja pasar el flujo.
2. En el equipo: La bomba de inyección se queda sin combustible. El motor no arranca o se apaga y se enciende la alarma de motor.
3. General: El motor no entrega potencia mecánica y la unidad queda fuera de servicio.</t>
  </si>
  <si>
    <t>Aumento de la presión diferencial o caída del caudal por acumulación de suciedad del filtro de combustible. Se detecta con: lectura de manómetros y diferencial de presión; medición de caudal; inspección visual.</t>
  </si>
  <si>
    <t>A. Bobinado del alternador quemado por sobrecalentamiento</t>
  </si>
  <si>
    <t>Entrega potencia mecánica por debajo de 490 kW. Estándar: en un rango de 490 a 510 kW (fabricante: DEUTZ). Se verifica con: banco / opacímetro / registro ECU.</t>
  </si>
  <si>
    <t>1. Local: El filtro de aire se obstruye con polvo acumulado y restringe el aire que entra al motor.
2. En el equipo: La mezcla aire-combustible queda con exceso de combustible y la combustión es incompleta. El motor pierde potencia y sale humo negro.
3. General: El motor entrega menos de 490 kW y la unidad pierde velocidad y fuerza de trabajo.</t>
  </si>
  <si>
    <t>Aumento de la presión diferencial o caída del caudal por acumulación de suciedad del filtro de aire. Se detecta con: lectura de manómetros y diferencial de presión; medición de caudal; inspección visual.</t>
  </si>
  <si>
    <t>A. Correa del alternador rota por fatiga</t>
  </si>
  <si>
    <t>B. Escobillas del alternador desgastadas por fin de vida útil</t>
  </si>
  <si>
    <t>B. Correa del alternador aflojada por desgaste</t>
  </si>
  <si>
    <t>1. Local: El enfriador del aire de carga se tapona con suciedad y el aire llega más caliente y con menor densidad.
2. En el equipo: El motor recibe menos masa de aire por ciclo. El motor pierde potencia y sale humo negro.
3. General: El motor entrega menos de 490 kW y la unidad pierde velocidad y fuerza de trabajo.</t>
  </si>
  <si>
    <t>Aumento de la presión diferencial o caída del caudal por acumulación de suciedad del enfriador del aire de carga. Se detecta con: lectura de manómetros y diferencial de presión; medición de caudal; inspección visual.</t>
  </si>
  <si>
    <t>1. Local: Los inyectores se desgastan hasta el final de su vida útil y pulverizan mal el combustible.
2. En el equipo: La combustión es incompleta y el rendimiento baja. El motor pierde potencia y sale humo negro.
3. General: El motor entrega menos de 490 kW y la unidad pierde velocidad y fuerza de trabajo.</t>
  </si>
  <si>
    <t>Pérdida progresiva de material de los inyectores del motor hasta acercarse al límite de desgaste. Se detecta con: medición con calibre, galga o micrómetro; inspección visual.</t>
  </si>
  <si>
    <t>Entrega potencia mecánica con valores que oscilan fuera del rango de 490 a 510 kW. Estándar: en un rango de 490 a 510 kW (fabricante: DEUTZ). Se verifica con: banco / opacímetro / registro ECU.</t>
  </si>
  <si>
    <t>1. Local: El conector del sensor de presión de carga se afloja y la señal llega de forma inestable a la unidad de control.
2. En el equipo: La unidad de control corrige el combustible y la sobrealimentación de forma errática. El motor sube y baja de revoluciones sin acción del operador.
3. General: La potencia entregada varía fuera del rango de 490 a 510 kW y el trabajo es irregular.</t>
  </si>
  <si>
    <t>Lecturas que varían o se pierden al mover o vibrar el conector, con aumento de la resistencia de contacto del sensor de presión de carga. Se detecta con: inspección de conectores; medición de resistencia de contacto; lectura de la señal con equipo de diagnóstico.</t>
  </si>
  <si>
    <t>No transmite torque al eje. La función se pierde por completo: no se cumple ningún punto del estándar. Estándar: hasta 2.500 N.m (fabricante). Se verifica con: control de juego y vibración mensual (DR1227 pág. 104).</t>
  </si>
  <si>
    <t>1. Local: El eje cardán se rompe por la desalineación y sus extremos se separan.
2. En el equipo: El giro de la caja no llega al eje del vehículo; el cardán roto golpea la caja y los bajos del vehículo. El motor gira pero el eje no recibe movimiento, con golpe seco. Además, hay golpes a la caja y a bajos del vehículo.
3. General: El vehículo no recibe torque en el eje y no se mueve.</t>
  </si>
  <si>
    <t>Fisura, deformación o marca de rotura incipiente del eje cardán. Se detecta con: inspección visual y ensayos no destructivos (líquidos penetrantes o partículas magnéticas).</t>
  </si>
  <si>
    <t>Transmite torque al eje con par menor al nominal. Estándar: hasta 2.500 N.m (fabricante). Se verifica con: control de juego y vibración mensual (DR1227 pág. 104).</t>
  </si>
  <si>
    <t>1. Local: Las crucetas del cardán se desgastan por la pérdida de la película de lubricante y aparece juego en las articulaciones.
2. En el equipo: El cardán transmite el giro con holgura y vibración. Se siente vibración y falta de fuerza.
3. General: El eje recibe menos torque del nominal.</t>
  </si>
  <si>
    <t>Pérdida progresiva de material de las crucetas del cardán hasta acercarse al límite de desgaste. Se detecta con: medición con calibre, galga o micrómetro; inspección visual.</t>
  </si>
  <si>
    <t>1. Local: La brida del cardán se afloja por vibración y aparece juego en la unión.
2. En el equipo: El giro se transmite con holgura y golpeteo. Se siente vibración y falta de fuerza.
3. General: El eje recibe menos torque del nominal.</t>
  </si>
  <si>
    <t>Pérdida de apriete, holgura o marcas de testigo desalineadas de la brida del cardán. Se detecta con: control de torque con llave; inspección visual de marcas de testigo.</t>
  </si>
  <si>
    <t>1. Local: El eje cardán se desbalancea por un impacto mecánico y gira con una masa descentrada.
2. En el equipo: Aparecen vibraciones que crecen con la velocidad de giro. Se percibe vibración que aparece y desaparece con la velocidad.
3. General: El eje recibe menos torque del nominal y se afectan los rodamientos y soportes de la transmisión.</t>
  </si>
  <si>
    <t>No hay una condición detectable que avise con anticipación: el eje cardán queda afectado por un evento súbito de impacto. Se detecta con: inspección visual después de cada evento; registro de eventos y alarmas del equipo.</t>
  </si>
  <si>
    <t>No comprime el aire. La función se pierde por completo: no se cumple ningún punto del estándar. Estándar: a una presión de _____ bar (valor por confirmar; fabricante). Se verifica con: lectura del manómetro y tiempo de llenado de calderines.</t>
  </si>
  <si>
    <t>Comprime el aire a una presión menor a _____ bar. Estándar: a una presión de _____ bar (valor por confirmar; fabricante). Se verifica con: lectura del manómetro y tiempo de llenado de calderines.</t>
  </si>
  <si>
    <t>1. Local: Las válvulas del compresor se desgastan hasta el final de su vida útil y no sellan bien.
2. En el equipo: Parte del aire se devuelve en cada ciclo y el compresor no alcanza la presión de trabajo. La presión del manómetro sube más lento y no llega a la de trabajo.
3. General: Los depósitos tardan más en llegar a presión y el aire disponible es menor.</t>
  </si>
  <si>
    <t>1. Local: Los anillos del pistón se desgastan hasta el final de su vida útil y dejan pasar aire hacia el cárter.
2. En el equipo: La compresión del cilindro baja y el compresor no alcanza la presión de trabajo. La presión del manómetro sube más lento y no llega a la de trabajo.
3. General: Los depósitos tardan más en llegar a presión y el aire disponible es menor.</t>
  </si>
  <si>
    <t>A. Eje de toma de fuerza roto por fatiga</t>
  </si>
  <si>
    <t>A. Embrague neumático de la toma de fuerza desacoplado por cilindro neumático trabado</t>
  </si>
  <si>
    <t>Comprime el aire con una presión que oscila fuera del rango de _____ a _____ bar. Estándar: a una presión de _____ bar (valor por confirmar; fabricante). Se verifica con: lectura del manómetro y tiempo de llenado de calderines.</t>
  </si>
  <si>
    <t>1. Local: El resorte del regulador de presión se fatiga y el regulador no mantiene su punto de ajuste.
2. En el equipo: El compresor carga y descarga fuera de los umbrales previstos. El compresor carga y descarga sin patrón fijo.
3. General: La presión entregada varía y el aire disponible es menor al requerido.</t>
  </si>
  <si>
    <t>1. Local: La suciedad pega el émbolo de la electroválvula de descarga y la válvula no actúa a tiempo.
2. En el equipo: El compresor alterna entre carga y descarga sin seguir la presión. El compresor carga y descarga sin patrón fijo.
3. General: La presión entregada varía y el aire disponible es menor al requerido.</t>
  </si>
  <si>
    <t>No suministra aire. La función se pierde por completo: no se cumple ningún punto del estándar. Estándar: con caudal de 980 a 1.020 L/min (fabricante). Se verifica con: tiempo de llenado de calderines.</t>
  </si>
  <si>
    <t>Suministra aire por debajo del caudal nominal. Estándar: con caudal de 980 a 1.020 L/min (fabricante). Se verifica con: tiempo de llenado de calderines.</t>
  </si>
  <si>
    <t>1. Local: El desecante del cartucho se agota y deja de retener la humedad del aire.
2. En el equipo: El aire sale del secador con humedad. No se nota en servicio; se descubre por agua abundante en la purga.
3. General: El aire húmedo llega a los depósitos y a los equipos neumáticos.</t>
  </si>
  <si>
    <t>1. Local: La válvula de regeneración se atasca por contaminación y no cambia de ciclo.
2. En el equipo: El cartucho no se regenera y se satura. No se nota en servicio; se descubre por agua abundante en la purga.
3. General: El aire húmedo llega a los depósitos y a los equipos neumáticos.</t>
  </si>
  <si>
    <t>Respuesta más lenta o movimiento duro de la válvula de regeneración antes de quedar trabado. Se detecta con: prueba funcional; medición de tiempos de ciclo. Al ser una función oculta no se nota en operación: depende de la inspección o prueba programada.</t>
  </si>
  <si>
    <t>1. Local: El desecante llega al final de su vida útil y retiene menos humedad de la necesaria.
2. En el equipo: El aire sale del secador con humedad residual. La purga diaria muestra agua en el circuito.
3. General: El aire llega a los equipos con un punto de rocío mayor a +3 °C.</t>
  </si>
  <si>
    <t>1. Local: El filtro coalescente se satura con el aceite del compresor y pierde capacidad de separación.
2. En el equipo: El aceite y el agua pasan hacia el desecante y lo contaminan. La purga diaria muestra agua en el circuito.
3. General: El aire llega a los equipos con un punto de rocío mayor a +3 °C.</t>
  </si>
  <si>
    <t>No suministra aceite. La función se pierde por completo: no se cumple ningún punto del estándar. Estándar: con caudal de 38 a 42 L/min (fabricante). Se verifica con: caudalímetro / tiempos de ciclo.</t>
  </si>
  <si>
    <t>A. Motor de arranque quemado por sobrecorriente</t>
  </si>
  <si>
    <t>A. Solenoide de arranque pegado por contactos soldados</t>
  </si>
  <si>
    <t>A. Piñón de arranque desgastado por fin de vida útil</t>
  </si>
  <si>
    <t>A. Contactos del solenoide picados por arco eléctrico</t>
  </si>
  <si>
    <t>B. Escobillas del motor de arranque desgastadas por fin de vida útil</t>
  </si>
  <si>
    <t>Suministra aceite por debajo del caudal nominal. Estándar: con caudal de 38 a 42 L/min (fabricante). Se verifica con: caudalímetro / tiempos de ciclo.</t>
  </si>
  <si>
    <t>B. Batería de arranque degradada por fin de vida útil</t>
  </si>
  <si>
    <t>A. Compuerta de la tolva trabada por corrosión</t>
  </si>
  <si>
    <t>B. Piso de la plataforma deformado por sobrecarga</t>
  </si>
  <si>
    <t>No limita la excentricidad. La función se pierde por completo: no se cumple ningún punto del estándar. Estándar: a un máximo de 0,1 mm (fuente técnica: Hegenscheidt). Se verifica con: medición integrada.</t>
  </si>
  <si>
    <t>1. Local: La mordaza de sujeción se rompe por fatiga del material y suelta la rueda o el eje.
2. En el equipo: La pieza queda sin sujeción en el plato. El torno no sostiene la rueda.
3. General: El torno no puede mecanizar la pieza y la excentricidad no se limita.</t>
  </si>
  <si>
    <t>Fisura, deformación o marca de rotura incipiente de la mordaza de sujeción. Se detecta con: inspección visual y ensayos no destructivos (líquidos penetrantes o partículas magnéticas).</t>
  </si>
  <si>
    <t>Limita la excentricidad por encima de 0,1 mm. Estándar: a un máximo de 0,1 mm (fuente técnica: Hegenscheidt). Se verifica con: medición integrada.</t>
  </si>
  <si>
    <t>1. Local: El rodamiento del husillo se casca por fatiga; el husillo gira con juego.
2. En el equipo: El eje de giro se desplaza de su centro durante el mecanizado. La medición de excentricidad con reloj comparador supera 0,1 mm.
3. General: Las ruedas se mecanizan con una excentricidad mayor a 0,1 mm.</t>
  </si>
  <si>
    <t>Fisura, deformación o marca de rotura incipiente del rodamiento del husillo. Se detecta con: inspección visual y ensayos no destructivos (líquidos penetrantes o partículas magnéticas).</t>
  </si>
  <si>
    <t>1. Local: El plato del torno se descentra por un impacto mecánico y la pieza queda montada fuera de su eje de giro.
2. En el equipo: La pieza gira con descentramiento. La medición de excentricidad con reloj comparador supera 0,1 mm.
3. General: Las ruedas se mecanizan con una excentricidad mayor a 0,1 mm.</t>
  </si>
  <si>
    <t>No hay una condición detectable que avise con anticipación: el plato del torno queda afectado por un evento súbito de impacto. Se detecta con: inspección visual después de cada evento; registro de eventos y alarmas del equipo.</t>
  </si>
  <si>
    <t>No iguala el diámetro en bogie. La función se pierde por completo: no se cumple ningún punto del estándar. Estándar: con diferencia máxima de 0,3 mm (fuente técnica: Hegenscheidt). Se verifica con: medición integrada.</t>
  </si>
  <si>
    <t>1. Local: El sistema de medición de diámetro se bloquea por un defecto del sensor y deja de entregar lectura.
2. En el equipo: El torno no conoce el diámetro de la rueda mecanizada. El torno no mide ni corrige el diámetro.
3. General: No se puede igualar el diámetro de las ruedas del bogie dentro de la diferencia permitida.</t>
  </si>
  <si>
    <t>No hay una condición detectable que avise con anticipación: el sistema de medición de diámetro deja de funcionar de forma súbita. Se detecta con: prueba funcional programada; registro de eventos y alarmas del equipo.</t>
  </si>
  <si>
    <t>Iguala el diámetro en bogie con diferencia mayor a 0,3 mm. Estándar: con diferencia máxima de 0,3 mm (fuente técnica: Hegenscheidt). Se verifica con: medición integrada.</t>
  </si>
  <si>
    <t>1. Local: Las guías del carro de copiado se desgastan y el carro se descalibra, copiando el perfil con desviación.
2. En el equipo: La herramienta corta con posiciones distintas a las programadas. La medición muestra más de 0,3 mm de diferencia entre ruedas.
3. General: Las ruedas del bogie quedan con una diferencia de diámetro mayor a 0,3 mm.</t>
  </si>
  <si>
    <t>Deriva del carro de copiado frente al valor patrón, con lecturas o ajustes que se van corriendo. Se detecta con: verificación contra patrón calibrado; lectura de parámetros; medición de alineación o vibración.</t>
  </si>
  <si>
    <t>A. Bomba de agua gripada por desgaste del sello</t>
  </si>
  <si>
    <t>A. Manguera de agua reventada por envejecimiento</t>
  </si>
  <si>
    <t>B. Filtro de agua obstruido por sedimentos</t>
  </si>
  <si>
    <t>1. Local: El palpador se desajusta por un impacto mecánico y mide con un desplazamiento.
2. En el equipo: El torno corrige el diámetro con una lectura errada. La medición muestra más de 0,3 mm de diferencia entre ruedas.
3. General: Las ruedas del bogie quedan con una diferencia de diámetro mayor a 0,3 mm.</t>
  </si>
  <si>
    <t>No hay una condición detectable que avise con anticipación: el palpador queda afectado por un evento súbito de impacto. Se detecta con: inspección visual después de cada evento; registro de eventos y alarmas del equipo.</t>
  </si>
  <si>
    <t>B. Impulsor de la bomba desgastado por abrasión</t>
  </si>
  <si>
    <t>A. Tanque de agua roto por corrosión</t>
  </si>
  <si>
    <t>B. Soldadura del tanque agrietada por corrosión</t>
  </si>
  <si>
    <t>B. Válvula de llenado abierta por asiento marcado</t>
  </si>
  <si>
    <t>No suministra energía eléctrica. La función se pierde por completo: no se cumple ningún punto del estándar. Estándar: de 80 kVA (fabricante: Hegenscheidt). Se verifica con: medición de demanda.</t>
  </si>
  <si>
    <t>1. Local: El transformador de potencia se quema por sobrecarga y su devanado se interrumpe.
2. En el equipo: No hay tensión en la salida hacia los equipos del taller. El equipo no energiza y se pierde la alimentación en el tablero.
3. General: Los equipos que dependen de esta alimentación no funcionan.</t>
  </si>
  <si>
    <t>Aumento de temperatura, de consumo de corriente o caída de la resistencia de aislamiento del transformador de potencia. Se detecta con: termografía; medición de corriente; prueba de aislamiento (megóhmetro).</t>
  </si>
  <si>
    <t>1. Local: El interruptor general se dispara por un cortocircuito en el cableado y abre el circuito.
2. En el equipo: Se corta la alimentación del tablero. El equipo no energiza y se pierde la alimentación en el tablero.
3. General: Los equipos que dependen de esta alimentación no funcionan.</t>
  </si>
  <si>
    <t>No hay una condición detectable que avise con anticipación: el interruptor general deja de funcionar de forma súbita. Se detecta con: prueba funcional programada; registro de eventos y alarmas del equipo.</t>
  </si>
  <si>
    <t>1. Local: El terminal de potencia se sulfata por la humedad y el contacto se vuelve intermitente.
2. En el equipo: La alimentación se corta y se restablece sin patrón. El equipo se apaga y enciende sin causa clara.
3. General: Los equipos que dependen de esta alimentación funcionan de forma intermitente.</t>
  </si>
  <si>
    <t>Óxido, picaduras o sulfatación visibles del terminal de potencia. Se detecta con: inspección visual; medición de resistencia de contacto o de tensión en bornes.</t>
  </si>
  <si>
    <t>Suministra energía eléctrica con potencia menor a 80 kVA. Estándar: de 80 kVA (fabricante: Hegenscheidt). Se verifica con: medición de demanda.</t>
  </si>
  <si>
    <t>1. Local: Los contactos del contactor de potencia se pican por desgaste y aumentan su resistencia.
2. En el equipo: Parte de la tensión se pierde en el contactor y se calienta. Se observan caídas de tensión y disparos térmicos en el equipo.
3. General: Los equipos reciben menos potencia que los 80 kVA requeridos.</t>
  </si>
  <si>
    <t>Pérdida progresiva de material del contactor de potencia hasta acercarse al límite de desgaste. Se detecta con: medición con calibre, galga o micrómetro; inspección visual.</t>
  </si>
  <si>
    <t>1. Local: La conexión de potencia se afloja por vibración y aumenta la resistencia en el punto de unión.
2. En el equipo: Hay caída de tensión y calentamiento en la conexión. Se observan caídas de tensión y disparos térmicos en el equipo.
3. General: Los equipos reciben menos potencia que los 80 kVA requeridos.</t>
  </si>
  <si>
    <t>Pérdida de apriete, holgura o marcas de testigo desalineadas de la conexión de potencia. Se detecta con: control de torque con llave; inspección visual de marcas de testigo.</t>
  </si>
  <si>
    <t>No suministra aceite. La función se pierde por completo: no se cumple ningún punto del estándar. Estándar: con un caudal de 13 a 16 L/min (fabricante). Se verifica con: prueba funcional de la bomba de emergencia.</t>
  </si>
  <si>
    <t>Suministra aceite por debajo del requerido en emergencia. Estándar: con un caudal de 13 a 16 L/min (fabricante). Se verifica con: prueba funcional de la bomba de emergencia.</t>
  </si>
  <si>
    <t>No genera torque. La función se pierde por completo: no se cumple ningún punto del estándar. Estándar: hasta 3.500 N.m (fabricante). Se verifica con: prueba de tracción.</t>
  </si>
  <si>
    <t>1. Local: El motor hidráulico se traba (se gripa) porque el aceite contaminado daña sus superficies internas.
2. En el equipo: El motor no gira aunque reciba caudal. El motor hidráulico no gira al abrir la válvula.
3. General: El accionamiento no genera torque y la máquina no ejecuta el movimiento.</t>
  </si>
  <si>
    <t>Movimiento duro, ruido o calentamiento anormal del motor hidráulico antes de trabarse. Se detecta con: análisis de vibraciones; termografía; análisis de partículas en el aceite.</t>
  </si>
  <si>
    <t>1. Local: La manguera del motor hidráulico se revienta por la fatiga de su malla y el aceite sale por la rotura.
2. En el equipo: El motor pierde el caudal y la presión. El motor hidráulico no gira al abrir la válvula.
3. General: El accionamiento no genera torque y la máquina no ejecuta el movimiento.</t>
  </si>
  <si>
    <t>Grietas, resequedad, abultamientos o rozaduras visibles de la manguera del motor hidráulico. Se detecta con: inspección visual.</t>
  </si>
  <si>
    <t>Tarea proactiva programada por razones económicas: basada en condición</t>
  </si>
  <si>
    <t>Genera torque por debajo del par nominal. Estándar: hasta 3.500 N.m (fabricante). Se verifica con: prueba de tracción.</t>
  </si>
  <si>
    <t>1. Local: Las holguras internas del motor hidráulico aumentan por desgaste y parte del aceite se fuga internamente.
2. En el equipo: El motor produce menos torque con el mismo caudal. El motor gira lento o se detiene bajo carga.
3. General: El accionamiento genera menos torque que el nominal y la máquina mueve la carga con dificultad.</t>
  </si>
  <si>
    <t>Pérdida progresiva de material del motor hidráulico hasta acercarse al límite de desgaste. Se detecta con: medición con calibre, galga o micrómetro; inspección visual.</t>
  </si>
  <si>
    <t>A. Compresor de aire acondicionado gripado por pérdida de aceite</t>
  </si>
  <si>
    <t>A. Fusible del aire acondicionado abierto por sobrecorriente</t>
  </si>
  <si>
    <t>1. Local: El sello del motor hidráulico se desgasta al final de su vida útil y deja pasar aceite entre cámaras.
2. En el equipo: El motor pierde presión efectiva. El motor gira lento o se detiene bajo carga.
3. General: El accionamiento genera menos torque que el nominal.</t>
  </si>
  <si>
    <t>B. Condensador obstruido por suciedad</t>
  </si>
  <si>
    <t>Sudoración, humedad, resequedad o rozaduras visibles del sello del motor hidráulico. Se detecta con: inspección visual; prueba de estanqueidad.</t>
  </si>
  <si>
    <t>B. Filtro de aire saturado por polvo</t>
  </si>
  <si>
    <t>B. Circuito de refrigerante descargado por fuga</t>
  </si>
  <si>
    <t>B. Presostato de alta inestable por contactos desgastados</t>
  </si>
  <si>
    <t>1. Local: El aire entra al circuito por la succión y forma burbujas dentro del motor hidráulico.
2. En el equipo: El motor recibe un caudal irregular. El motor gira con tirones y ruido.
3. General: El accionamiento genera menos torque que el nominal y el movimiento es irregular.</t>
  </si>
  <si>
    <t>Ruido anormal, vibración o espuma en el aceite del motor hidráulico. Se detecta con: inspección auditiva y visual del nivel y del aceite; medición de vibración.</t>
  </si>
  <si>
    <t>No soporta carga vertical. La función se pierde por completo: no se cumple ningún punto del estándar. Estándar: hasta 20 toneladas (fabricante). Se verifica con: pesaje.</t>
  </si>
  <si>
    <t>A. Extintor descargado por fuga de presión</t>
  </si>
  <si>
    <t>A. Válvula del sistema trabada por corrosión</t>
  </si>
  <si>
    <t>A. Detector de incendio dañado por defecto electrónico</t>
  </si>
  <si>
    <t>B. Boquilla de descarga obstruida por polvo y residuos</t>
  </si>
  <si>
    <t>B. Agente extintor degradado por envejecimiento</t>
  </si>
  <si>
    <t>A. Ventilador del colector de polvo parado por motor quemado</t>
  </si>
  <si>
    <t>A. Manga filtrante rota por desgaste</t>
  </si>
  <si>
    <t>B. Filtro del colector saturado por fin de vida útil</t>
  </si>
  <si>
    <t>Soporta carga vertical con altura de caja menor a la nominal. Estándar: hasta 20 toneladas (fabricante). Se verifica con: pesaje.</t>
  </si>
  <si>
    <t>B. Manga filtrante desgarrada por abrasión</t>
  </si>
  <si>
    <t>No transmite la potencia del motor a las ruedas. La función se pierde por completo: no se cumple ningún punto del estándar. Estándar: hasta un par de _____ N·m (valor por confirmar; fabricante). Se verifica con: ensayos no destructivos (END) del eje.</t>
  </si>
  <si>
    <t>1. Local: El eje se fractura por fatiga del material y se separa en dos partes.
2. En el equipo: La rueda deja de estar unida a su par y pierde el apoyo del eje. No se nota en servicio; se descubre en la ultrasonografía o por ruido intenso en rodadura.
3. General: El eje ya no transmite la potencia del motor a las ruedas y el vehículo debe salir de servicio.</t>
  </si>
  <si>
    <t>Fisura, deformación o marca de rotura incipiente del eje. Se detecta con: inspección visual y ensayos no destructivos (líquidos penetrantes o partículas magnéticas). Al ser una función oculta no se nota en operación: depende de la inspección o prueba programada.</t>
  </si>
  <si>
    <t>A. Motor de esmerilado quemado por sobrecalentamiento</t>
  </si>
  <si>
    <t>1. Local: El rodamiento de la caja de grasa se casca por fatiga; sus pistas y rodillos se desprenden.
2. En el equipo: El eje gira con rozamiento y juego. No se nota en servicio; se descubre en la ultrasonografía o por ruido intenso en rodadura.
3. General: El eje ya no transmite la potencia a las ruedas de forma segura y el vehículo debe salir de servicio.</t>
  </si>
  <si>
    <t>Fisura, deformación o marca de rotura incipiente del rodamiento de caja de grasa. Se detecta con: inspección visual y ensayos no destructivos (líquidos penetrantes o partículas magnéticas). Al ser una función oculta no se nota en operación: depende de la inspección o prueba programada.</t>
  </si>
  <si>
    <t>A. Muela rota por impacto con elementos de la vía</t>
  </si>
  <si>
    <t>B. Muela desgastada por fin de vida útil</t>
  </si>
  <si>
    <t>B. Sello del cilindro de presión desgastado por fin de vida útil</t>
  </si>
  <si>
    <t>B. Variador del motor inestable por defecto electrónico</t>
  </si>
  <si>
    <t>Transmite la potencia del motor a las ruedas con un par menor a _____ N·m. Estándar: hasta un par de _____ N·m (valor por confirmar; fabricante). Se verifica con: ensayos no destructivos (END) del eje.</t>
  </si>
  <si>
    <t>1. Local: El eje se fisura por corrosión bajo fatiga y pierde sección resistente.
2. En el equipo: La fisura crece con cada ciclo de carga. Los ensayos END detectan fisuras que reducen la capacidad del eje.
3. General: El eje transmite un par menor al requerido y el vehículo debe operar con tracción restringida.</t>
  </si>
  <si>
    <t>C. Válvula de presión del cabezal descalibrada por deriva</t>
  </si>
  <si>
    <t>A. Motor del cabezal quemado por sobrecalentamiento</t>
  </si>
  <si>
    <t>A. Correa del cabezal rota por fatiga</t>
  </si>
  <si>
    <t>B. Correa del cabezal aflojada por desgaste</t>
  </si>
  <si>
    <t>1. Local: La caja de grasa se recalienta porque se pierde la película lubricante del rodamiento.
2. En el equipo: El rodamiento se desgasta y se calienta. Los ensayos END detectan fisuras que reducen la capacidad del eje; la temperatura de la caja de grasa es más alta que la normal.
3. General: El eje transmite un par menor al requerido y el vehículo debe operar con tracción restringida.</t>
  </si>
  <si>
    <t>Movimiento duro, ruido o calentamiento anormal de la caja de grasa antes de trabarse. Se detecta con: análisis de vibraciones; termografía; análisis de partículas en el aceite. Al ser una función oculta no se nota en operación: depende de la inspección o prueba programada.</t>
  </si>
  <si>
    <t>B. Variador descalibrado por deriva</t>
  </si>
  <si>
    <t>C. Variador descalibrado por deriva</t>
  </si>
  <si>
    <t>A. Cilindro de inclinación bloqueado por suciedad</t>
  </si>
  <si>
    <t>B. Pivote del cabezal trabado por suciedad</t>
  </si>
  <si>
    <t>B. Sensor de ángulo descalibrado por deriva</t>
  </si>
  <si>
    <t>A. Sensor de corrugación dañado por defecto electrónico</t>
  </si>
  <si>
    <t>B. Sensor de corrugación descalibrado por deriva</t>
  </si>
  <si>
    <t>A. Sensor de perfil dañado por defecto electrónico</t>
  </si>
  <si>
    <t>B. Sensor de perfil descalibrado por deriva</t>
  </si>
  <si>
    <t>No mantiene la distancia entre ruedas. La función se pierde por completo: no se cumple ningún punto del estándar. Estándar: de 1.357 a 1.363 mm (norma: TSI LOC&amp;PAS / OTIF UTP LOC&amp;PAS, tablas 1 y 2). Se verifica con: calibre.</t>
  </si>
  <si>
    <t>1. Local: La rueda se suelta del eje porque pierde el calado (el ajuste a presión sobre el eje).
2. En el equipo: La rueda se mueve axialmente sobre el eje y la distancia entre ruedas deja de mantenerse. No se nota en servicio; se descubre en la medición con calibre.
3. General: El eje no mantiene la distancia entre ruedas de 1.357 a 1.363 mm.</t>
  </si>
  <si>
    <t>Pérdida de apriete, holgura o marcas de testigo desalineadas de la rueda. Se detecta con: control de torque con llave; inspección visual de marcas de testigo. Al ser una función oculta no se nota en operación: depende de la inspección o prueba programada.</t>
  </si>
  <si>
    <t>Mantiene la distancia entre ruedas por debajo de 1.357 mm. Estándar: de 1.357 a 1.363 mm (norma: TSI LOC&amp;PAS / OTIF UTP LOC&amp;PAS, tablas 1 y 2). Se verifica con: calibre.</t>
  </si>
  <si>
    <t>1. Local: La rueda se desplaza sobre el eje porque pierde parte del calado.
2. En el equipo: La distancia entre las caras internas de las ruedas disminuye. El calibre marca menos de 1.357 mm.
3. General: El eje queda con la distancia entre ruedas por debajo de lo permitido.</t>
  </si>
  <si>
    <t>Deriva de la rueda frente al valor patrón, con lecturas o ajustes que se van corriendo. Se detecta con: verificación contra patrón calibrado; lectura de parámetros; medición de alineación o vibración. Al ser una función oculta no se nota en operación: depende de la inspección o prueba programada.</t>
  </si>
  <si>
    <t>Mantiene la distancia entre ruedas por encima de 1.363 mm. Estándar: de 1.357 a 1.363 mm (norma: TSI LOC&amp;PAS / OTIF UTP LOC&amp;PAS, tablas 1 y 2). Se verifica con: calibre.</t>
  </si>
  <si>
    <t>1. Local: El eje se deforma por un impacto en un descarrilamiento previo y las ruedas quedan más separadas.
2. En el equipo: La distancia entre las caras internas de las ruedas aumenta. El calibre marca más de 1.363 mm.
3. General: El eje queda con la distancia entre ruedas por encima de lo permitido.</t>
  </si>
  <si>
    <t>No hay una condición detectable que avise con anticipación: el eje queda afectado por un evento súbito de impacto. Se detecta con: inspección visual después de cada evento; registro de eventos y alarmas del equipo. Al ser una función oculta no se nota en operación: depende de la inspección o prueba programada.</t>
  </si>
  <si>
    <t>A. Elemento filtrante roto por vibración</t>
  </si>
  <si>
    <t>C. Empaque del filtro desgastado por envejecimiento</t>
  </si>
  <si>
    <t>No almacena el aceite hidráulico. La función se pierde por completo: no se cumple ningún punto del estándar. Estándar: hasta 150 L (fabricante). Se verifica con: mirilla de nivel.</t>
  </si>
  <si>
    <t>1. Local: El depósito hidráulico se rompe por un impacto mecánico y el aceite sale por la rotura.
2. En el equipo: El depósito pierde el aceite almacenado. Se ve el aceite derramado bajo el tanque. Además, hay derrame de aceite sobre la vía.
3. General: La máquina queda sin aceite en el circuito y sin movimientos hidráulicos.</t>
  </si>
  <si>
    <t>No hay una condición detectable que avise con anticipación: el depósito hidráulico queda afectado por un evento súbito de impacto. Se detecta con: inspección visual después de cada evento; registro de eventos y alarmas del equipo.</t>
  </si>
  <si>
    <t>C. Elemento filtrante saturado por fin de vida útil</t>
  </si>
  <si>
    <t>Almacena el aceite hidráulico con nivel por debajo del mínimo. Estándar: hasta 150 L (fabricante). Se verifica con: mirilla de nivel.</t>
  </si>
  <si>
    <t>1. Local: El tapón de drenaje se afloja por vibración y deja salir aceite poco a poco.
2. En el equipo: El nivel del depósito baja. El visor de nivel muestra menos del mínimo y hay manchas de aceite.
3. General: El depósito almacena el aceite con el nivel por debajo del mínimo.</t>
  </si>
  <si>
    <t>Pérdida de apriete, holgura o marcas de testigo desalineadas del tapón de drenaje. Se detecta con: control de torque con llave; inspección visual de marcas de testigo.</t>
  </si>
  <si>
    <t>1. Local: La junta del depósito se reseca por el envejecimiento y deja de sellar.
2. En el equipo: El aceite sale por la junta y baja el nivel. El visor de nivel muestra menos del mínimo y hay manchas de aceite.
3. General: El depósito almacena el aceite con el nivel por debajo del mínimo.</t>
  </si>
  <si>
    <t>Pérdida de elasticidad, grietas finas o resequedad de la junta del depósito. Se detecta con: inspección visual; medición de prestaciones (presión, caudal).</t>
  </si>
  <si>
    <t>A. Bomba de agua del motor gripada por desgaste del sello</t>
  </si>
  <si>
    <t>A. Radiador roto por impacto mecánico</t>
  </si>
  <si>
    <t>C. Radiador taponado por suciedad</t>
  </si>
  <si>
    <t>1. Local: El visor de nivel se agrieta por un impacto mecánico y deja salir aceite por la grieta.
2. En el equipo: El nivel del depósito baja. El visor de nivel muestra menos del mínimo y hay manchas de aceite.
3. General: El depósito almacena el aceite con el nivel por debajo del mínimo.</t>
  </si>
  <si>
    <t>No hay una condición detectable que avise con anticipación: el visor de nivel queda afectado por un evento súbito de impacto. Se detecta con: inspección visual después de cada evento; registro de eventos y alarmas del equipo.</t>
  </si>
  <si>
    <t>C. Correa del ventilador aflojada por desgaste</t>
  </si>
  <si>
    <t>No almacena energía eléctrica. La función se pierde por completo: no se cumple ningún punto del estándar. Estándar: hasta 800 CCA (fabricante). Se verifica con: voltímetro.</t>
  </si>
  <si>
    <t>1. Local: Las celdas de la batería se sulfatan y pierden la capacidad de acumular carga.
2. En el equipo: La batería no mantiene tensión al demandar corriente. Al dar contacto el motor no gira y el voltímetro marca poco.
3. General: El motor no arranca y la máquina no puede ponerse en marcha.</t>
  </si>
  <si>
    <t>1. Local: Los bornes de la batería se sulfatan por corrosión y aumenta la resistencia en la conexión.
2. En el equipo: La corriente no pasa completa desde la batería. Al dar contacto el motor no gira y el voltímetro marca poco.
3. General: El motor no arranca y la máquina no puede ponerse en marcha.</t>
  </si>
  <si>
    <t>1. Local: El terminal de la batería se afloja por vibración y el contacto se vuelve intermitente.
2. En el equipo: La corriente se interrumpe de forma irregular. El motor arranca a veces y otras no, sin causa clara.
3. General: El arranque del motor es intermitente.</t>
  </si>
  <si>
    <t>Almacena energía eléctrica por debajo de 800 CCA. Estándar: hasta 800 CCA (fabricante). Se verifica con: voltímetro.</t>
  </si>
  <si>
    <t>1. Local: La batería se degrada por el fin de su vida útil y almacena menos de los 800 CCA.
2. En el equipo: La batería entrega menos corriente de arranque en frío. El arranque es lento y el voltímetro cae al dar contacto.
3. General: El motor arranca con dificultad y el arranque se demora.</t>
  </si>
  <si>
    <t>A. Motor de amolado quemado por sobrecalentamiento</t>
  </si>
  <si>
    <t>B. Correa de accionamiento aflojada por desgaste</t>
  </si>
  <si>
    <t>1. Local: La conexión de masa se afloja por vibración y aumenta la resistencia del retorno.
2. En el equipo: Parte de la tensión se pierde en la conexión. El arranque es lento y el voltímetro cae al dar contacto.
3. General: El motor arranca con dificultad y el arranque se demora.</t>
  </si>
  <si>
    <t>No genera corriente de carga. La función se pierde por completo: no se cumple ningún punto del estándar. Estándar: de 140 A (diseño: Nombre del equipo en SAP (IW43_2021-28092026.xlsx)). Se verifica con: voltímetro / amperímetro.</t>
  </si>
  <si>
    <t>1. Local: El bobinado del generador se quema por sobrecalentamiento y se interrumpe.
2. En el equipo: El generador no produce corriente. No hay carga: el voltímetro marca la tensión de la batería y se enciende la alarma.
3. General: La batería no se recarga y se descarga hasta que el motor y los equipos se apagan.</t>
  </si>
  <si>
    <t>Aumento de temperatura, de consumo de corriente o caída de la resistencia de aislamiento del bobinado del generador. Se detecta con: termografía; medición de corriente; prueba de aislamiento (megóhmetro).</t>
  </si>
  <si>
    <t>1. Local: La correa del generador se rompe por fatiga y el motor deja de arrastrar al generador.
2. En el equipo: El generador no gira. No hay carga: el voltímetro marca la tensión de la batería y se enciende la alarma.
3. General: La batería no se recarga y se descarga hasta que el motor y los equipos se apagan.</t>
  </si>
  <si>
    <t>Grietas, resequedad, abultamientos o rozaduras visibles de la correa del generador. Se detecta con: inspección visual.</t>
  </si>
  <si>
    <t>Genera corriente de carga por debajo de 140 A. Estándar: de 140 A (diseño: Nombre del equipo en SAP (IW43_2021-28092026.xlsx)). Se verifica con: voltímetro / amperímetro.</t>
  </si>
  <si>
    <t>1. Local: Las escobillas del generador se desgastan al final de su vida útil y el contacto con el rotor es deficiente.
2. En el equipo: El generador entrega menos corriente de excitación y de carga. La batería no recibe suficiente carga con consumo alto.
3. General: La batería se descarga con el uso y el equipo no arranca.</t>
  </si>
  <si>
    <t>Pérdida progresiva de material de las escobillas del generador hasta acercarse al límite de desgaste. Se detecta con: medición con calibre, galga o micrómetro; inspección visual.</t>
  </si>
  <si>
    <t>1. Local: La correa del generador se afloja por desgaste y patina sobre la polea.
2. En el equipo: El generador gira a menos velocidad y entrega menos corriente. La batería no recibe suficiente carga con consumo alto.
3. General: La batería se descarga con el uso y el equipo no arranca.</t>
  </si>
  <si>
    <t>Tensión de la correa del generador por debajo del valor especificado, con chirrido o deslizamiento. Se detecta con: medición de la tensión de la correa; inspección visual del desgaste.</t>
  </si>
  <si>
    <t>1. Local: La conexión del generador se afloja por vibración y el contacto eléctrico se vuelve intermitente.
2. En el equipo: La corriente de carga llega de forma irregular a la batería. La carga oscila y la luz parpadea.
3. General: La batería recibe una carga irregular y menor a los 140 A.</t>
  </si>
  <si>
    <t>Pérdida de apriete, holgura o marcas de testigo desalineadas de la conexión del generador. Se detecta con: control de torque con llave; inspección visual de marcas de testigo.</t>
  </si>
  <si>
    <t>Genera corriente de carga por encima de 140 A. Estándar: de 140 A (diseño: Nombre del equipo en SAP (IW43_2021-28092026.xlsx)). Se verifica con: voltímetro / amperímetro.</t>
  </si>
  <si>
    <t>1. Local: El regulador de tensión se descalibra por deriva y no limita la tensión del generador.
2. En el equipo: La tensión del sistema sube por encima de 28 V. El voltaje sube sobre 28 V y las lámparas se queman. Además, los equipos electrónicos reciben sobretensión y se dañan.
3. General: La batería se sobrecarga y los equipos alimentados reciben energía por encima de lo previsto.</t>
  </si>
  <si>
    <t>Deriva del regulador de tensión frente al valor patrón, con lecturas o ajustes que se van corriendo. Se detecta con: verificación contra patrón calibrado; lectura de parámetros; medición de alineación o vibración.</t>
  </si>
  <si>
    <t>No presuriza los cilindros de freno. La función se pierde por completo: no se cumple ningún punto del estándar. Estándar: entre 3,7 y 3,9 bar (norma: UIC 540). Se verifica con: manómetro en toma de prueba.</t>
  </si>
  <si>
    <t>1. Local: La manguera del cilindro se rompe por el envejecimiento y el aire se escapa.
2. En el equipo: El cilindro no alcanza presión. El manómetro de cilindros queda en cero al aplicar el freno.
3. General: El vehículo no genera fuerza de frenado y sale de servicio.</t>
  </si>
  <si>
    <t>Presuriza los cilindros de freno por debajo de 3,7 bar. Estándar: entre 3,7 y 3,9 bar (norma: UIC 540). Se verifica con: manómetro en toma de prueba.</t>
  </si>
  <si>
    <t>1. Local: La válvula reductora de presión se descalibra por deriva y entrega una presión menor a la ajustada.
2. En el equipo: Los cilindros se presurizan por debajo de 3,7 bar. El manómetro marca menos de 3,7 bar.
3. General: El vehículo frena con menos fuerza y requiere más distancia para detenerse.</t>
  </si>
  <si>
    <t>1. Local: El sello del cilindro de freno se desgasta al final de su vida útil y deja pasar aire.
2. En el equipo: El cilindro no sostiene la presión de 3,7 bar. El manómetro marca menos de 3,7 bar.
3. General: El vehículo frena con menos fuerza y requiere más distancia para detenerse.</t>
  </si>
  <si>
    <t>Presuriza los cilindros de freno por encima de 3,9 bar. Estándar: entre 3,7 y 3,9 bar (norma: UIC 540). Se verifica con: manómetro en toma de prueba.</t>
  </si>
  <si>
    <t>1. Local: La válvula reductora de presión se atasca por contaminación y entrega más presión de la ajustada.
2. En el equipo: Los cilindros se presurizan por encima de 3,9 bar y las zapatas aprietan con más fuerza. El manómetro marca más de 3,9 bar. Además, las ruedas se bloquean y se forman calibres planos.
3. General: El vehículo frena con más fuerza de la prevista y se desgastan ruedas y riel.</t>
  </si>
  <si>
    <t>No transmite la fuerza a zapatas. La función se pierde por completo: no se cumple ningún punto del estándar. Estándar: con juego de 5 a 7 mm (fuente técnica: Manual de Mantenimiento DR1227 Plasser &amp; Theurer DIC-40 (WS6761) – p.51). Se verifica con: medición de juego / prueba de frenado.</t>
  </si>
  <si>
    <t>1. Local: El tirante de la timonería se rompe por fatiga del material y se interrumpe la transmisión de fuerza.
2. En el equipo: La fuerza del cilindro no llega a las zapatas. La timonería no transmite fuerza y las zapatas no tocan la rueda.
3. General: El vehículo no genera fuerza de frenado en esa unidad de freno.</t>
  </si>
  <si>
    <t>Fisura, deformación o marca de rotura incipiente del tirante de timonería. Se detecta con: inspección visual y ensayos no destructivos (líquidos penetrantes o partículas magnéticas).</t>
  </si>
  <si>
    <t>Transmite la fuerza a zapatas con juego menor a 5 mm. Estándar: con juego de 5 a 7 mm (fuente técnica: Manual de Mantenimiento DR1227 Plasser &amp; Theurer DIC-40 (WS6761) – p.51). Se verifica con: medición de juego / prueba de frenado.</t>
  </si>
  <si>
    <t>1. Local: El ajustador de la timonería se bloquea por la corrosión y no recupera el juego; las zapatas quedan muy cerca de la rueda.
2. En el equipo: Las zapatas rozan la rueda aunque el freno no esté aplicado. Las zapatas rozan la rueda y se calientan.
3. General: Las zapatas y las ruedas se desgastan más rápido y aumenta el esfuerzo de tracción.</t>
  </si>
  <si>
    <t>Respuesta más lenta o movimiento duro del ajustador de timonería antes de quedar trabado. Se detecta con: prueba funcional; medición de tiempos de ciclo.</t>
  </si>
  <si>
    <t>Transmite la fuerza a zapatas con juego mayor a 7 mm. Estándar: con juego de 5 a 7 mm (fuente técnica: Manual de Mantenimiento DR1227 Plasser &amp; Theurer DIC-40 (WS6761) – p.51). Se verifica con: medición de juego / prueba de frenado.</t>
  </si>
  <si>
    <t>1. Local: Los pasadores de la timonería se desgastan por la pérdida de la película de lubricante y aumenta el juego.
2. En el equipo: Parte del recorrido del cilindro se consume en el juego. La carrera de freno es larga y el frenado se retrasa.
3. General: Las zapatas llegan a la rueda con retardo y el frenado se aplica con menos fuerza.</t>
  </si>
  <si>
    <t>Pérdida progresiva de material de los pasadores de timonería hasta acercarse al límite de desgaste. Se detecta con: medición con calibre, galga o micrómetro; inspección visual.</t>
  </si>
  <si>
    <t>1. Local: Las zapatas se desgastan al final de su vida útil y pierden espesor; aumenta el juego entre zapata y rueda.
2. En el equipo: El cilindro debe recorrer más para aplicar las zapatas. La carrera de freno es larga y el frenado se retrasa.
3. General: Las zapatas llegan a la rueda con retardo y el frenado se aplica con menos fuerza.</t>
  </si>
  <si>
    <t>1. Local: El ajustador de la timonería se desajusta por vibración y el juego entre zapata y rueda aumenta.
2. En el equipo: El cilindro recorre más antes de aplicar las zapatas. La carrera de freno es larga y el frenado se retrasa.
3. General: Las zapatas llegan a la rueda con retardo y el frenado se aplica con menos fuerza.</t>
  </si>
  <si>
    <t>Deriva del ajustador de timonería frente al valor patrón, con lecturas o ajustes que se van corriendo. Se detecta con: verificación contra patrón calibrado; lectura de parámetros; medición de alineación o vibración.</t>
  </si>
  <si>
    <t>No tensa la cuerda de medición. La función se pierde por completo: no se cumple ningún punto del estándar. Estándar: con una fuerza de 98 a 105 N (fabricante). Se verifica con: calibración.</t>
  </si>
  <si>
    <t>1. Local: La cuerda de medición se rompe por fatiga del material y queda suelta.
2. En el equipo: El equipo no tiene cuerda tensada de referencia. No se nota en servicio; se descubre al medir y ver que la cuerda queda floja.
3. General: El equipo no puede tomar mediciones con la cuerda tensada.</t>
  </si>
  <si>
    <t>Fisura, deformación o marca de rotura incipiente de la cuerda de medición. Se detecta con: inspección visual y ensayos no destructivos (líquidos penetrantes o partículas magnéticas). Al ser una función oculta no se nota en operación: depende de la inspección o prueba programada.</t>
  </si>
  <si>
    <t>Tensa la cuerda de medición con tensión insuficiente. Estándar: con una fuerza de 98 a 105 N (fabricante). Se verifica con: calibración.</t>
  </si>
  <si>
    <t>1. Local: El resorte tensor se debilita por fatiga y aplica menos fuerza que los 98 N.
2. En el equipo: La cuerda queda con menos tensión de la necesaria. Las mediciones salen con ruido y poca repetibilidad.
3. General: Las mediciones se toman con menor exactitud.</t>
  </si>
  <si>
    <t>Pérdida de altura libre o de carga del resorte tensor. Se detecta con: medición de altura libre y de carga en banco de pruebas; inspección visual. Al ser una función oculta no se nota en operación: depende de la inspección o prueba programada.</t>
  </si>
  <si>
    <t>1. Local: La polea de la cuerda se traba por suciedad y no deja que la cuerda se tense bien.
2. En el equipo: La cuerda queda con tensión variable. Las mediciones salen con ruido y poca repetibilidad.
3. General: Las mediciones se toman con menor exactitud.</t>
  </si>
  <si>
    <t>Respuesta más lenta o movimiento duro de la polea de la cuerda antes de quedar trabado. Se detecta con: prueba funcional; medición de tiempos de ciclo. Al ser una función oculta no se nota en operación: depende de la inspección o prueba programada.</t>
  </si>
  <si>
    <t>No distribuye el par entre ejes. La función se pierde por completo: no se cumple ningún punto del estándar. Estándar: hasta 1.780 N.m (fabricante). Se verifica con: prueba de tracción / termografía y ruido.</t>
  </si>
  <si>
    <t>1. Local: El piñón de la caja distribuidora se fractura por fatiga del diente y deja de engranar.
2. En el equipo: El par no se reparte hacia los ejes. El motor gira pero el vehículo no avanza.
3. General: El vehículo no recibe par en los ejes y no se mueve.</t>
  </si>
  <si>
    <t>Fisura, deformación o marca de rotura incipiente del piñón de la caja distribuidora. Se detecta con: inspección visual y ensayos no destructivos (líquidos penetrantes o partículas magnéticas).</t>
  </si>
  <si>
    <t>Distribuye el par entre ejes de forma desigual. Estándar: hasta 1.780 N.m (fabricante). Se verifica con: prueba de tracción / termografía y ruido.</t>
  </si>
  <si>
    <t>1. Local: El diferencial de la caja se desgasta al final de su vida útil y no reparte bien el par entre ejes.
2. En el equipo: Un eje recibe más par que el otro. Un eje patina o sobrecarga mientras el otro trabaja poco.
3. General: El par se reparte de forma desigual y la tracción de uno de los ejes se reduce.</t>
  </si>
  <si>
    <t>Pérdida progresiva de material del diferencial de la caja hasta acercarse al límite de desgaste. Se detecta con: medición con calibre, galga o micrómetro; inspección visual.</t>
  </si>
  <si>
    <t>1. Local: El rodamiento de la caja distribuidora se casca por fatiga y los engranajes pierden su posición.
2. En el equipo: La caja transmite el par con golpeteo y vibración. Se escucha golpeteo y vibración en la caja.
3. General: El par se reparte de forma desigual y la tracción de uno de los ejes se reduce.</t>
  </si>
  <si>
    <t>Fisura, deformación o marca de rotura incipiente del rodamiento de la caja distribuidora. Se detecta con: inspección visual y ensayos no destructivos (líquidos penetrantes o partículas magnéticas).</t>
  </si>
  <si>
    <t>No entrega potencia mecánica. La función se pierde por completo: no se cumple ningún punto del estándar. Estándar: hasta 300 kW (fabricante: DEUTZ). Se verifica con: banco / registro.</t>
  </si>
  <si>
    <t>1. Local: Los inyectores se atascan por combustible contaminado y no pulverizan combustible.
2. En el equipo: La combustión no se produce en los cilindros afectados. El motor no arranca o se apaga.
3. General: El motor no entrega potencia mecánica y la unidad queda fuera de servicio.</t>
  </si>
  <si>
    <t>1. Local: El filtro de combustible se obstruye con suciedad y no deja pasar combustible.
2. En el equipo: La bomba se queda sin combustible. El motor no arranca o se apaga.
3. General: El motor no entrega potencia mecánica y la unidad queda fuera de servicio.</t>
  </si>
  <si>
    <t>Entrega potencia mecánica por debajo de 300 kW. Estándar: hasta 300 kW (fabricante: DEUTZ). Se verifica con: banco / registro.</t>
  </si>
  <si>
    <t>1. Local: El filtro de aire se obstruye con polvo acumulado y restringe el aire que entra al motor.
2. En el equipo: La combustión es incompleta por exceso de combustible. El motor pierde fuerza y sale humo negro.
3. General: El motor entrega menos de 300 kW.</t>
  </si>
  <si>
    <t>1. Local: El turbocompresor se desgasta al final de su vida útil y entrega menos aire de sobrealimentación.
2. En el equipo: El motor recibe menos aire por ciclo. El motor pierde fuerza y sale humo negro.
3. General: El motor entrega menos de 300 kW.</t>
  </si>
  <si>
    <t>Pérdida progresiva de material del turbocompresor hasta acercarse al límite de desgaste. Se detecta con: medición con calibre, galga o micrómetro; inspección visual.</t>
  </si>
  <si>
    <t>1. Local: El regulador de velocidad se desgasta y no mantiene el régimen de giro que le ordena el operador.
2. En el equipo: La cantidad de combustible inyectada varía y las revoluciones del motor suben y bajan. El motor pierde fuerza y sale humo negro; las revoluciones oscilan sin acción del operador.
3. General: El motor entrega menos de 300 kW y de forma irregular.</t>
  </si>
  <si>
    <t>Deriva del regulador de velocidad frente al valor patrón, con lecturas o ajustes que se van corriendo. Se detecta con: verificación contra patrón calibrado; lectura de parámetros; medición de alineación o vibración.</t>
  </si>
  <si>
    <t>No mueve el eje. La función se pierde por completo: no se cumple ningún punto del estándar. Estándar: de 0 a 1.200 rpm (fabricante: DEUTZ). Se verifica con: banco.</t>
  </si>
  <si>
    <t>1. Local: La bomba de combustible se atasca por desgaste y deja de enviar combustible a los inyectores.
2. En el equipo: El motor se queda sin combustible a presión. El motor se apaga al aplicar carga.
3. General: El motor no mueve el eje y la unidad queda fuera de servicio.</t>
  </si>
  <si>
    <t>A. Caja de cambios bloqueada por rodamiento cascado</t>
  </si>
  <si>
    <t>Movimiento duro, ruido o calentamiento anormal de la bomba de combustible antes de trabarse. Se detecta con: análisis de vibraciones; termografía; análisis de partículas en el aceite.</t>
  </si>
  <si>
    <t>A. Motor diésel detenido por filtro de combustible obstruido</t>
  </si>
  <si>
    <t>Mueve el eje a menos de 1.200 rpm. Estándar: de 0 a 1.200 rpm (fabricante: DEUTZ). Se verifica con: banco.</t>
  </si>
  <si>
    <t>1. Local: Los inyectores se desgastan hasta el final de su vida útil y pulverizan mal el combustible.
2. En el equipo: La combustión es incompleta y el motor entrega menos par. El motor no sostiene el esfuerzo de arranque.
3. General: El eje gira a menos de 1.200 rpm.</t>
  </si>
  <si>
    <t>B. Cable del acelerador desgastado por fricción</t>
  </si>
  <si>
    <t>1. Local: El filtro de aire se obstruye con polvo acumulado y restringe el aire que entra al motor.
2. En el equipo: La combustión es incompleta por falta de aire. El motor no sostiene el esfuerzo de arranque.
3. General: El eje gira a menos de 1.200 rpm.</t>
  </si>
  <si>
    <t>No remolca vehículos. La función se pierde por completo: no se cumple ningún punto del estándar. Estándar: hasta 300 toneladas en sistema de rieles (fabricante). Se verifica con: prueba de arrastre.</t>
  </si>
  <si>
    <t>1. Local: La barra de tracción se rompe por fatiga del material y se separa del vehículo remolcado.
2. En el equipo: El esfuerzo del vehículo no se transmite a la carga remolcada. El vehículo no mueve la carga remolcada.
3. General: El vehículo no remolca y la carga queda detenida.</t>
  </si>
  <si>
    <t>Fisura, deformación o marca de rotura incipiente de la barra de tracción. Se detecta con: inspección visual y ensayos no destructivos (líquidos penetrantes o partículas magnéticas).</t>
  </si>
  <si>
    <t>1. Local: El disco del embrague se gasta y patina sin transmitir el giro del motor.
2. En el equipo: El motor gira pero no entrega par a la transmisión. El vehículo no mueve la carga remolcada.
3. General: El vehículo no remolca y la carga queda detenida.</t>
  </si>
  <si>
    <t>Deslizamiento del embrague: las revoluciones suben sin que aumente la velocidad. Se detecta con: prueba de deslizamiento; medición del espesor del disco.</t>
  </si>
  <si>
    <t>A. Rueda de guía fracturada por fatiga del material</t>
  </si>
  <si>
    <t>Remolca vehículos con esfuerzo insuficiente. Estándar: hasta 300 toneladas en sistema de rieles (fabricante). Se verifica con: prueba de arrastre.</t>
  </si>
  <si>
    <t>1. Local: El arenero se obstruye porque la arena absorbe humedad y se apelmaza; no cae arena sobre el riel.
2. En el equipo: La adherencia entre rueda y riel no mejora y las ruedas patinan. El vehículo patina o no sube la rampa con carga.
3. General: El vehículo remolca con un esfuerzo de tracción menor al requerido.</t>
  </si>
  <si>
    <t>Aumento de la presión diferencial o caída del caudal por acumulación de suciedad del arenero. Se detecta con: lectura de manómetros y diferencial de presión; medición de caudal; inspección visual.</t>
  </si>
  <si>
    <t>B. Brazo del dispositivo de guía deformado por sobrecarga</t>
  </si>
  <si>
    <t>A. Brazo de guía roto por fatiga del material</t>
  </si>
  <si>
    <t>B. Rueda de guía desplazada por impacto mecánico</t>
  </si>
  <si>
    <t>C. Brazo de guía desajustado por desgaste del pasador</t>
  </si>
  <si>
    <t>1. Local: Los discos del embrague se desgastan hasta el final de su vida útil y patinan bajo carga.
2. En el equipo: Parte del par del motor se pierde por deslizamiento. El vehículo patina o no sube la rampa con carga.
3. General: El vehículo remolca con un esfuerzo de tracción menor al requerido.</t>
  </si>
  <si>
    <t>No suministra caudal de aceite. La función se pierde por completo: no se cumple ningún punto del estándar. Estándar: entre 23 y 27 L/min (fabricante). Se verifica con: caudalímetro / tiempos de ciclo.</t>
  </si>
  <si>
    <t>Suministra caudal de aceite por debajo del caudal nominal. Estándar: entre 23 y 27 L/min (fabricante). Se verifica con: caudalímetro / tiempos de ciclo.</t>
  </si>
  <si>
    <t>No incrementa presión hidráulica. La función se pierde por completo: no se cumple ningún punto del estándar. Estándar: hasta 150 bar (fabricante). Se verifica con: manómetro.</t>
  </si>
  <si>
    <t>A. Cilindro del eje guía trabado por corrosión del vástago</t>
  </si>
  <si>
    <t>A. Válvula direccional atascada por contaminación</t>
  </si>
  <si>
    <t>Incrementa presión hidráulica por debajo de la presión de trabajo. Estándar: hasta 150 bar (fabricante). Se verifica con: manómetro.</t>
  </si>
  <si>
    <t>A. Cilindro de elevación despresurizado por sello desgastado</t>
  </si>
  <si>
    <t>A. Válvula de bloqueo abierta por asiento marcado</t>
  </si>
  <si>
    <t>Incrementa presión hidráulica por encima de la presión de trabajo. Estándar: hasta 150 bar (fabricante). Se verifica con: manómetro.</t>
  </si>
  <si>
    <t>No sella la cabina. La función se pierde por completo: no se cumple ningún punto del estándar. Estándar: con 0 filtraciones en prueba de agua (fabricante: Manual de Mantenimiento DR1227 Plasser &amp; Theurer DIC-40 (WS6761) – p.81). Se verifica con: control visual anual de juntas de goma.</t>
  </si>
  <si>
    <t>1. Local: El empaque del parabrisas se desprende por el envejecimiento y deja una abertura.
2. En el equipo: El agua entra por la abertura. Entra agua a la cabina y se ve el charco en el piso.
3. General: La cabina queda con filtraciones de agua.</t>
  </si>
  <si>
    <t>Sella la cabina con filtraciones en la prueba de agua. Estándar: con 0 filtraciones en prueba de agua (fabricante: Manual de Mantenimiento DR1227 Plasser &amp; Theurer DIC-40 (WS6761) – p.81). Se verifica con: control visual anual de juntas de goma.</t>
  </si>
  <si>
    <t>1. Local: El burlete de la puerta de cabina se desgarra por los ciclos repetidos de apertura y cierre.
2. En el equipo: El agua entra por el tramo desgarrado. La prueba de agua o la lluvia muestran goteras.
3. General: La cabina presenta filtraciones en la prueba de agua.</t>
  </si>
  <si>
    <t>1. Local: El drenaje de la cabina se tapona con suciedad y el agua no sale.
2. En el equipo: El agua se acumula y rebosa hacia el interior. La prueba de agua o la lluvia muestran goteras.
3. General: La cabina presenta filtraciones en la prueba de agua.</t>
  </si>
  <si>
    <t>1. Local: El sello de la ventana se reseca por el envejecimiento y se agrieta.
2. En el equipo: El agua entra por las grietas del sello. La prueba de agua o la lluvia muestran goteras.
3. General: La cabina presenta filtraciones en la prueba de agua.</t>
  </si>
  <si>
    <t>No suministra energía. La función se pierde por completo: no se cumple ningún punto del estándar. Estándar: de 78 a 82 V en corriente directa (fabricante). Se verifica con: ensayo de capacidad.</t>
  </si>
  <si>
    <t>1. Local: El fusible principal se abre por una sobrecorriente y corta el circuito de alimentación.
2. En el equipo: No llega tensión al sistema de tracción. El vehículo no se mueve y el voltímetro marca cero.
3. General: El vehículo queda sin energía de 78 a 82 V y fuera de servicio.</t>
  </si>
  <si>
    <t>No hay una condición detectable que avise con anticipación: el fusible principal deja de funcionar de forma súbita. Se detecta con: prueba funcional programada; registro de eventos y alarmas del equipo.</t>
  </si>
  <si>
    <t>1. Local: La batería de tracción se agota al final de su vida útil y no retiene carga.
2. En el equipo: La tensión del banco cae a cero al conectar cargas. El vehículo no se mueve y el voltímetro marca cero.
3. General: El vehículo queda sin energía de 78 a 82 V y fuera de servicio.</t>
  </si>
  <si>
    <t>Caída gradual de la tensión y de la capacidad de la batería de tracción. Se detecta con: prueba de carga; medición de tensión en reposo y bajo carga.</t>
  </si>
  <si>
    <t>A. Varillaje de cambios roto por fatiga</t>
  </si>
  <si>
    <t>A. Resorte de retención debilitado por fatiga</t>
  </si>
  <si>
    <t>B. Sincronizador desgastado por fin de vida útil</t>
  </si>
  <si>
    <t>Suministra energía con tensión menor a 78 V. Estándar: de 78 a 82 V en corriente directa (fabricante). Se verifica con: ensayo de capacidad.</t>
  </si>
  <si>
    <t>1. Local: Las celdas del banco de baterías pierden capacidad por los ciclos de carga y descarga.
2. En el equipo: La tensión baja de 78 V al demandar corriente. El vehículo avanza lento y las baterías se agotan antes.
3. General: El vehículo opera con energía por debajo de 78 V y con menor autonomía.</t>
  </si>
  <si>
    <t>Caída gradual de la tensión y de la capacidad de las celdas del banco de baterías, con tiempos de carga más largos. Se detecta con: prueba de carga; medición de tensión en reposo y bajo carga.</t>
  </si>
  <si>
    <t>1. Local: La conexión entre baterías se sulfata por la corrosión y aumenta su resistencia eléctrica.
2. En el equipo: Parte de la tensión se pierde en la conexión. El vehículo avanza lento y las baterías se agotan antes.
3. General: El vehículo opera con energía por debajo de 78 V y con menor autonomía.</t>
  </si>
  <si>
    <t>Óxido, picaduras o sulfatación visibles de la conexión entre baterías. Se detecta con: inspección visual; medición de resistencia de contacto o de tensión en bornes.</t>
  </si>
  <si>
    <t>No almacena energía eléctrica. La función se pierde por completo: no se cumple ningún punto del estándar. Estándar: con tensión de 78 a 82 V en corriente directa (fabricante). Se verifica con: ensayo de capacidad.</t>
  </si>
  <si>
    <t>Almacena energía eléctrica con tensión menor a 78 V. Estándar: con tensión de 78 a 82 V en corriente directa (fabricante). Se verifica con: ensayo de capacidad.</t>
  </si>
  <si>
    <t>No almacena energía eléctrica. La función se pierde por completo: no se cumple ningún punto del estándar. Estándar: con capacidad de 800 Ah (fabricante). Se verifica con: ensayo de capacidad.</t>
  </si>
  <si>
    <t>1. Local: El banco de baterías llega al final de su vida útil y sus celdas ya no retienen carga; la tensión del banco cae a cero al conectar cargas.
2. En el equipo: Los sistemas alimentados por el banco (arranque, mando, iluminación) pierden su alimentación; el voltímetro marca cero. El vehículo no tiene energía para arrancar ni para accionar sus circuitos de mando y no se mueve.
3. General: El vehículo queda inmovilizado y sale de servicio hasta contar con un banco con capacidad.</t>
  </si>
  <si>
    <t>Caída gradual de la tensión y de la capacidad del banco de baterías. Se detecta con: prueba de carga; medición de tensión en reposo y bajo carga.</t>
  </si>
  <si>
    <t>A. Ventilador del enfriador parado por motor quemado</t>
  </si>
  <si>
    <t>1. Local: Una celda del banco se cortocircuita por la rotura de su separador: la celda deja de acumular carga, se calienta y descarga las demás celdas a través de ella.
2. En el equipo: La tensión del banco se desploma por debajo del valor de arranque y el banco no se recarga. Los circuitos de arranque y de mando no reciben tensión suficiente y el motor no gira.
3. General: El vehículo queda inmovilizado y sale de servicio.</t>
  </si>
  <si>
    <t>No hay una condición detectable que avise con anticipación: la celda del banco de baterías deja de funcionar de forma súbita. Se detecta con: prueba funcional programada; registro de eventos y alarmas del equipo.</t>
  </si>
  <si>
    <t>A. Enfriador de aceite roto por impacto mecánico</t>
  </si>
  <si>
    <t>C. Aletas del enfriador obstruidas por polvo y aceite</t>
  </si>
  <si>
    <t>C. Termostato de aceite atascado por corrosión</t>
  </si>
  <si>
    <t>A. Motor eléctrico del compresor quemado por sobrecarga</t>
  </si>
  <si>
    <t>A. Contactor del compresor pegado por contactos soldados</t>
  </si>
  <si>
    <t>A. Contactor del compresor picado por arco eléctrico</t>
  </si>
  <si>
    <t>Almacena energía eléctrica con capacidad menor a 800 Ah. Estándar: con capacidad de 800 Ah (fabricante). Se verifica con: ensayo de capacidad.</t>
  </si>
  <si>
    <t>1. Local: Las celdas pierden material activo con los ciclos de carga y descarga y la capacidad del banco baja del valor de 800 Ah.
2. En el equipo: El banco se descarga en menos tiempo y la tensión cae más rápido bajo carga. Los consumidores trabajan con tensión baja y el vehículo avanza lento o se apaga antes de lo previsto.
3. General: El tiempo útil de trabajo del vehículo se acorta y las salidas deben interrumpirse para recargar.</t>
  </si>
  <si>
    <t>1. Local: La conexión entre baterías se llena de sulfato por la corrosión y aumenta la resistencia eléctrica del puente.
2. En el equipo: Parte de la tensión se pierde en la conexión (caída de tensión y calentamiento del borne) y el banco entrega menos corriente. Los consumidores reciben menos energía de la prevista y el vehículo avanza lento.
3. General: El vehículo trabaja con autonomía reducida y requiere más recargas.</t>
  </si>
  <si>
    <t>A. Válvula reductora atascada por contaminación</t>
  </si>
  <si>
    <t>B. Filtro regulador obstruido por suciedad</t>
  </si>
  <si>
    <t>A. Elemento filtrante roto por fatiga</t>
  </si>
  <si>
    <t>A. Rueda fracturada por fatiga térmica del frenado</t>
  </si>
  <si>
    <t>B. Rueda reducida por reperfilados sucesivos</t>
  </si>
  <si>
    <t>A. Pestaña de rueda fracturada por fatiga</t>
  </si>
  <si>
    <t>C. Banda de rodadura ahuecada por desgaste excesivo</t>
  </si>
  <si>
    <t>A. Llanta fracturada por fatiga</t>
  </si>
  <si>
    <t>B. Llanta reducida por reperfilados sucesivos</t>
  </si>
  <si>
    <t>C. Llanta deformada por desplazamiento de material</t>
  </si>
  <si>
    <t>A. Rueda fracturada por fatiga</t>
  </si>
  <si>
    <t>C. Rueda desgastada por contacto desigual con el riel</t>
  </si>
  <si>
    <t>C. Torno de reperfilado descalibrado por deriva del sistema de medición</t>
  </si>
  <si>
    <t>A. Elemento del separador de agua roto por fatiga del material</t>
  </si>
  <si>
    <t>C. Válvula de purga atascada por suciedad</t>
  </si>
  <si>
    <t>C. Elemento coalescente saturado por fin de vida útil</t>
  </si>
  <si>
    <t>No transmite la fuerza a zapatas. La función se pierde por completo: no se cumple ningún punto del estándar. Estándar: con holgura de 5 a 8 mm (fabricante). Se verifica con: medición de juego.</t>
  </si>
  <si>
    <t>A. Balón de aire de la suspensión reventado por fatiga de la goma</t>
  </si>
  <si>
    <t>A. Soporte del balón de aire fracturado por cargas dinámicas repetidas</t>
  </si>
  <si>
    <t>B. Válvula de nivelación desajustada por desgaste de las articulaciones</t>
  </si>
  <si>
    <t>A. Válvula de nivelación atascada por contaminación</t>
  </si>
  <si>
    <t>B. Válvula de nivelación desgastada por asiento marcado</t>
  </si>
  <si>
    <t>Transmite la fuerza a zapatas con holgura excesiva. Estándar: con holgura de 5 a 8 mm (fabricante). Se verifica con: medición de juego.</t>
  </si>
  <si>
    <t>B. Varilla de nivelación desajustada por vibración</t>
  </si>
  <si>
    <t>1. Local: Los pasadores de la timonería se desgastan por pérdida de la película de lubricante y aumenta la holgura.
2. En el equipo: El cilindro consume parte del recorrido en la holgura. La carrera del cilindro es larga y el freno responde tarde.
3. General: Las zapatas llegan a la rueda con retardo y el frenado se aplica con menos fuerza.</t>
  </si>
  <si>
    <t>C. Varilla de nivelación desajustada por vibración</t>
  </si>
  <si>
    <t>A. Línea de igualación rota por vibración</t>
  </si>
  <si>
    <t>C. Válvula de igualación atascada por contaminación</t>
  </si>
  <si>
    <t>C. Línea de igualación obstruida por suciedad</t>
  </si>
  <si>
    <t>A. Válvula antirretorno abierta por asiento dañado</t>
  </si>
  <si>
    <t>C. Resorte de la válvula antirretorno debilitado por fatiga</t>
  </si>
  <si>
    <t>A. Presostato bloqueado por contactos soldados</t>
  </si>
  <si>
    <t>1. Local: El ajustador de la timonería se bloquea por la corrosión y no recupera la holgura.
2. En el equipo: El cilindro recorre más de lo normal antes de aplicar las zapatas. La carrera del cilindro es larga y el freno responde tarde.
3. General: Las zapatas llegan a la rueda con retardo y el frenado se aplica con menos fuerza.</t>
  </si>
  <si>
    <t>B. Presostato descalibrado por deriva</t>
  </si>
  <si>
    <t>B. Presostato inestable por contactos sulfatados</t>
  </si>
  <si>
    <t>C. Presostato descalibrado por deriva</t>
  </si>
  <si>
    <t>A. Depósito de aire fisurado por corrosión interna</t>
  </si>
  <si>
    <t>C. Racor del depósito flojo por vibración</t>
  </si>
  <si>
    <t>A. Válvula de seguridad atascada por corrosión del asiento</t>
  </si>
  <si>
    <t>No entrega potencia. La función se pierde por completo: no se cumple ningún punto del estándar. Estándar: de 18 a 22 kW (fabricante). Se verifica con: placa.</t>
  </si>
  <si>
    <t>1. Local: El bobinado del motor eléctrico se quema por sobrecalentamiento y se interrumpe.
2. En el equipo: El motor no genera par. El vehículo no se mueve al aplicar tracción.
3. General: El vehículo no cuenta con potencia de tracción y queda fuera de servicio.</t>
  </si>
  <si>
    <t>Aumento de temperatura, de consumo de corriente o caída de la resistencia de aislamiento del bobinado del motor eléctrico. Se detecta con: termografía; medición de corriente; prueba de aislamiento (megóhmetro).</t>
  </si>
  <si>
    <t>B. Válvula de seguridad descalibrada por resorte debilitado</t>
  </si>
  <si>
    <t>C. Válvula de seguridad descalibrada por resorte asentado</t>
  </si>
  <si>
    <t>Entrega potencia por debajo de 18 kW. Estándar: de 18 a 22 kW (fabricante). Se verifica con: placa.</t>
  </si>
  <si>
    <t>1. Local: Las escobillas del motor se desgastan al final de su vida útil y el contacto con el colector es deficiente.
2. En el equipo: El motor recibe menos corriente y genera menos par. El vehículo pierde fuerza en rampas.
3. General: El motor entrega menos de 18 kW.</t>
  </si>
  <si>
    <t>Pérdida progresiva de material de las escobillas del motor hasta acercarse al límite de desgaste. Se detecta con: medición con calibre, galga o micrómetro; inspección visual.</t>
  </si>
  <si>
    <t>A. Fusible soldado por arco eléctrico por sobrecorriente repetida</t>
  </si>
  <si>
    <t>B. Fusible fatigado por ciclos térmicos</t>
  </si>
  <si>
    <t>C. Fusible envejecido por oxidación del elemento</t>
  </si>
  <si>
    <t>A. Varistor del descargador degradado por envejecimiento</t>
  </si>
  <si>
    <t>1. Local: El rodamiento del motor se casca por fatiga y el rotor gira con roce y juego.
2. En el equipo: El motor consume más corriente para dar el mismo par y se calienta. El vehículo pierde fuerza en rampas.
3. General: El motor entrega menos de 18 kW.</t>
  </si>
  <si>
    <t>Fisura, deformación o marca de rotura incipiente del rodamiento del motor. Se detecta con: inspección visual y ensayos no destructivos (líquidos penetrantes o partículas magnéticas).</t>
  </si>
  <si>
    <t>C. Descargador perforado por descargas repetidas</t>
  </si>
  <si>
    <t>1. Local: El colector del motor se raya por el desgaste de las escobillas y el contacto eléctrico se vuelve irregular.
2. En el equipo: Hay chispas en el colector y el par del motor es irregular. El vehículo arranca con tirones y chispas en el colector.
3. General: El motor entrega menos de 18 kW de forma irregular.</t>
  </si>
  <si>
    <t>Pérdida progresiva de material del colector del motor hasta acercarse al límite de desgaste. Se detecta con: medición con calibre, galga o micrómetro; inspección visual.</t>
  </si>
  <si>
    <t>A. Cable flexible del pantógrafo cortado por fatiga del material</t>
  </si>
  <si>
    <t>A. Banda de contacto desprendida por fatiga</t>
  </si>
  <si>
    <t>B. Conexión del pantógrafo floja por vibración</t>
  </si>
  <si>
    <t>A. Cilindro del pantógrafo trabado por corrosión del vástago</t>
  </si>
  <si>
    <t>No distribuye el par entre ejes. La función se pierde por completo: no se cumple ningún punto del estándar. Estándar: hasta 4.300 N.m (fabricante). Se verifica con: prueba de tracción / termografía y ruido.</t>
  </si>
  <si>
    <t>A. Electroválvula de descenso atascada por contaminación</t>
  </si>
  <si>
    <t>B. Orificio de escape del pantógrafo obstruido por suciedad</t>
  </si>
  <si>
    <t>A. Válvula distribuidora auxiliar atascada por contaminación</t>
  </si>
  <si>
    <t>A. Resistencia de frenado abierta por fatiga térmica</t>
  </si>
  <si>
    <t>B. Resistencia de frenado degradada por envejecimiento</t>
  </si>
  <si>
    <t>B. Ventilador de la resistencia lento por rodamiento desgastado</t>
  </si>
  <si>
    <t>Distribuye el par entre ejes de forma desigual. Estándar: hasta 4.300 N.m (fabricante). Se verifica con: prueba de tracción / termografía y ruido.</t>
  </si>
  <si>
    <t>A. Acople elástico roto por fatiga</t>
  </si>
  <si>
    <t>B. Estriado del eje desgastado por fricción repetida</t>
  </si>
  <si>
    <t>A. Balancín fracturado por fatiga del material</t>
  </si>
  <si>
    <t>B. Casquillo del balancín desgastado por fin de vida útil</t>
  </si>
  <si>
    <t>A. Bastidor del bogie fracturado por fatiga del material</t>
  </si>
  <si>
    <t>B. Bastidor del bogie fisurado por cargas dinámicas repetidas</t>
  </si>
  <si>
    <t>A. Biela de tracción rota por fatiga del material</t>
  </si>
  <si>
    <t>B. Casquillos de la biela desgastados por fin de vida útil</t>
  </si>
  <si>
    <t>No remolca trenes de trabajo. La función se pierde por completo: no se cumple ningún punto del estándar. Estándar: hasta 500 toneladas (fabricante). Se verifica con: prueba de arrastre.</t>
  </si>
  <si>
    <t>1. Local: La barra de tracción se rompe por fatiga del material y se separa del vehículo de trabajo.
2. En el equipo: El esfuerzo de la máquina no se transmite al tren. La máquina no mueve el tren de trabajo.
3. General: La máquina no remolca el tren de trabajo y este queda detenido.</t>
  </si>
  <si>
    <t>1. Local: El aislamiento del motor de tracción se daña y el motor se quema.
2. En el equipo: El motor no genera par. La máquina no mueve el tren de trabajo.
3. General: La máquina no remolca el tren de trabajo y este queda detenido.</t>
  </si>
  <si>
    <t>Caída de la resistencia de aislamiento y aumento de la temperatura de operación del motor de tracción. Se detecta con: prueba de aislamiento con megóhmetro (índice de polarización); termografía.</t>
  </si>
  <si>
    <t>Remolca trenes de trabajo con esfuerzo insuficiente. Estándar: hasta 500 toneladas (fabricante). Se verifica con: prueba de arrastre.</t>
  </si>
  <si>
    <t>1. Local: El arenero se obstruye porque la arena absorbe humedad y se apelmaza; no cae arena sobre el riel.
2. En el equipo: Las ruedas pierden adherencia y patinan. La máquina patina o sube lento en rampa.
3. General: La máquina remolca con un esfuerzo de tracción menor al requerido.</t>
  </si>
  <si>
    <t>1. Local: El disco del embrague se gasta y patina bajo carga.
2. En el equipo: Parte del par del motor se pierde por deslizamiento. La máquina patina o sube lento en rampa.
3. General: La máquina remolca con un esfuerzo de tracción menor al requerido.</t>
  </si>
  <si>
    <t>A. Cubierta del techo rota por fatiga del material</t>
  </si>
  <si>
    <t>C. Burlete de puerta desgarrado por fatiga por ciclos repetidos</t>
  </si>
  <si>
    <t>C. Cubierta del techo agrietada por envejecimiento</t>
  </si>
  <si>
    <t>A. Motor del limpiaparabrisas quemado por humedad</t>
  </si>
  <si>
    <t>A. Brazo del limpiaparabrisas roto por fatiga</t>
  </si>
  <si>
    <t>B. Escobilla del limpiaparabrisas desgastada por fin de vida útil</t>
  </si>
  <si>
    <t>B. Mecanismo del limpiaparabrisas trabado por corrosión</t>
  </si>
  <si>
    <t>A. Batería Ni-Cd descargada por fin de vida útil</t>
  </si>
  <si>
    <t>A. Celda de la batería cortocircuitada por separador dañado</t>
  </si>
  <si>
    <t>B. Celdas de la batería degradadas por ciclos de carga</t>
  </si>
  <si>
    <t>A. Módulo IGBT del convertidor quemado por sobretemperatura</t>
  </si>
  <si>
    <t>A. Convertidor auxiliar disparado por sobretemperatura</t>
  </si>
  <si>
    <t>A. Tarjeta de control inestable por soldaduras fatigadas</t>
  </si>
  <si>
    <t>B. Condensador del filtro degradado por envejecimiento</t>
  </si>
  <si>
    <t>A. Cargador de batería disparado por sobretemperatura</t>
  </si>
  <si>
    <t>B. Regulador de carga descalibrado por deriva</t>
  </si>
  <si>
    <t>C. Regulador de carga descalibrado por deriva</t>
  </si>
  <si>
    <t>A. Cabeza del acople trabada por impacto mecánico</t>
  </si>
  <si>
    <t>B. Pasadores del acople desgastados por fatiga</t>
  </si>
  <si>
    <t>A. Elemento elástico del enganche roto por fatiga del material</t>
  </si>
  <si>
    <t>B. Goma de amortiguación endurecida por envejecimiento</t>
  </si>
  <si>
    <t>A. Barra del enganche rota por fatiga del material</t>
  </si>
  <si>
    <t>A. Perno de unión roto por fatiga</t>
  </si>
  <si>
    <t>B. Pasador del enganche desgastado por fricción repetida</t>
  </si>
  <si>
    <t>A. Válvula del actuador de enganche atascada por contaminación</t>
  </si>
  <si>
    <t>A. Electroválvula del actuador pegajosa por suciedad</t>
  </si>
  <si>
    <t>B. Actuador del enganche lento por fuga interna</t>
  </si>
  <si>
    <t>A. Válvula antideslizante atascada por contaminación</t>
  </si>
  <si>
    <t>A. Sensor de velocidad de eje desconectado por suciedad o cable cortado</t>
  </si>
  <si>
    <t>C. Válvula antideslizante lenta por suciedad</t>
  </si>
  <si>
    <t>C. Sensor de velocidad de eje descalibrado por deriva</t>
  </si>
  <si>
    <t>C. Conector del sensor flojo por vibración</t>
  </si>
  <si>
    <t>A. Membrana del cilindro de freno rota por envejecimiento</t>
  </si>
  <si>
    <t>A. Vástago del cilindro trabado por corrosión</t>
  </si>
  <si>
    <t>B. Resorte de retorno debilitado por fatiga</t>
  </si>
  <si>
    <t>A. Bobina del patín quemada por sobrecalentamiento</t>
  </si>
  <si>
    <t>B. Bobina del patín degradada por envejecimiento del aislamiento</t>
  </si>
  <si>
    <t>B. Patín del freno desgastado por fin de vida útil</t>
  </si>
  <si>
    <t>A. Convertidor de iluminación quemado por sobretemperatura</t>
  </si>
  <si>
    <t>B. Luminarias degradadas por envejecimiento del LED</t>
  </si>
  <si>
    <t>B. Difusor de luminaria opaco por suciedad y envejecimiento</t>
  </si>
  <si>
    <t>B. Conector de luminaria flojo por vibración</t>
  </si>
  <si>
    <t>B. Batería de emergencia degradada por ciclos de carga</t>
  </si>
  <si>
    <t>A. Amplificador de audio quemado por sobrecalentamiento</t>
  </si>
  <si>
    <t>B. Cono del altavoz desgarrado por envejecimiento del material</t>
  </si>
  <si>
    <t>B. Cableado de altavoz flojo por vibración</t>
  </si>
  <si>
    <t>B. Conector de altavoz sulfatado por humedad</t>
  </si>
  <si>
    <t>A. Motor de puerta quemado por sobrecalentamiento</t>
  </si>
  <si>
    <t>A. Hoja de puerta trabada por guía deformada</t>
  </si>
  <si>
    <t>B. Unidad de control de puerta descalibrada por deriva</t>
  </si>
  <si>
    <t>C. Carro de la puerta desgastado por pérdida de la película lubricante</t>
  </si>
  <si>
    <t>C. Parámetros de velocidad desajustados por reinicio de la DCU</t>
  </si>
  <si>
    <t>C. Detector de obstáculo descalibrado por suciedad</t>
  </si>
  <si>
    <t>A. Cerradura de puerta trabada por desgaste</t>
  </si>
  <si>
    <t>A. Cableado de la puerta flojo por vibración</t>
  </si>
  <si>
    <t>A. Control de fuerza de la puerta dañado por defecto electrónico</t>
  </si>
  <si>
    <t>C. Sensor de fuerza de puerta descalibrado por deriva</t>
  </si>
  <si>
    <t>C. Motor de puerta descalibrado por pérdida de los parámetros configurados</t>
  </si>
  <si>
    <t>A. Sensor de obstáculo dañado por defecto electrónico</t>
  </si>
  <si>
    <t>C. Sensor de obstáculo descalibrado por deriva</t>
  </si>
  <si>
    <t>A. Pestillo de enclavamiento roto por fatiga del material</t>
  </si>
  <si>
    <t>B. Cerradura de puerta desajustada por desgaste</t>
  </si>
  <si>
    <t>A. Depósito de reserva de puertas fisurado por corrosión</t>
  </si>
  <si>
    <t>C. Válvula de retención de puertas abierta por asiento marcado</t>
  </si>
  <si>
    <t>A. Radio Tetra dañado por defecto electrónico</t>
  </si>
  <si>
    <t>A. Cable de antena cortado por fatiga</t>
  </si>
  <si>
    <t>A. Conector de antena flojo por vibración</t>
  </si>
  <si>
    <t>B. Antena desajustada por vibración</t>
  </si>
  <si>
    <t>B. Cable coaxial dañado por humedad</t>
  </si>
  <si>
    <t>A. Receptor de radio dañado por defecto electrónico</t>
  </si>
  <si>
    <t>A. Intercomunicador dañado por defecto electrónico</t>
  </si>
  <si>
    <t>B. Micrófono del intercomunicador deteriorado por humedad</t>
  </si>
  <si>
    <t>B. Cono del altavoz del intercomunicador desgarrado por envejecimiento del material</t>
  </si>
  <si>
    <t>A. Detector de humo obstruido por polvo</t>
  </si>
  <si>
    <t>A. Central de detección bloqueada por defecto electrónico</t>
  </si>
  <si>
    <t>B. Cámara óptica del detector sucia por polvo</t>
  </si>
  <si>
    <t>C. Detector de humo descalibrado por contaminación con polvo</t>
  </si>
  <si>
    <t>A. Sensor térmico dañado por elemento sensible fatigado</t>
  </si>
  <si>
    <t>B. Sensor térmico descalibrado por deriva</t>
  </si>
  <si>
    <t>C. Sensor térmico descalibrado por deriva</t>
  </si>
  <si>
    <t>A. Bomba de engrase de pestaña atascada por grasa endurecida</t>
  </si>
  <si>
    <t>A. Boquilla de engrase obstruida por grasa endurecida</t>
  </si>
  <si>
    <t>B. Bomba de engrase de pestaña desgastada por fin de vida útil</t>
  </si>
  <si>
    <t>B. Boquilla de engrase desalineada por vibración</t>
  </si>
  <si>
    <t>C. Dosificador de grasa descalibrado por deriva</t>
  </si>
  <si>
    <t>A. Central de CCTV bloqueada por bloqueo del programa de control</t>
  </si>
  <si>
    <t>No entrega torque. La función se pierde por completo: no se cumple ningún punto del estándar. Estándar: hasta _____ N.m (valor por confirmar; fabricante). Se verifica con: prueba de tracción.</t>
  </si>
  <si>
    <t>A. Disco duro de la central dañado por desgaste mecánico</t>
  </si>
  <si>
    <t>B. Cámara sucia por polvo en la lente</t>
  </si>
  <si>
    <t>B. Cable de cámara flojo por vibración</t>
  </si>
  <si>
    <t>A. Tapa de la caja del convertidor desencajada por impacto mecánico</t>
  </si>
  <si>
    <t>C. Junta de la tapa del convertidor resecada por envejecimiento</t>
  </si>
  <si>
    <t>A. Bobina de la inductancia abierta por sobrecalentamiento</t>
  </si>
  <si>
    <t>B. Bobina de la inductancia degradada por envejecimiento del aislamiento</t>
  </si>
  <si>
    <t>Entrega torque por debajo del par nominal. Estándar: hasta _____ N.m (valor por confirmar; fabricante). Se verifica con: prueba de tracción.</t>
  </si>
  <si>
    <t>A. Módulo de potencia del chopper quemado por sobretemperatura</t>
  </si>
  <si>
    <t>B. Tarjeta de control del chopper inestable por soldaduras fatigadas</t>
  </si>
  <si>
    <t>C. Tarjeta de control del chopper descalibrada por deriva</t>
  </si>
  <si>
    <t>A. Condensador de red cortocircuitado por perforación del dieléctrico</t>
  </si>
  <si>
    <t>B. Condensador de red degradado por pérdida de capacitancia</t>
  </si>
  <si>
    <t>A. Contactos del seccionador de puesta a tierra oxidados por humedad</t>
  </si>
  <si>
    <t>C. Cable de puesta a tierra flojo por vibración</t>
  </si>
  <si>
    <t>A. Convertidor de tracción disparado por sobrecorriente</t>
  </si>
  <si>
    <t>A. Tarjeta de control del convertidor inestable por soldaduras fatigadas</t>
  </si>
  <si>
    <t>B. Condensador del circuito intermedio degradado por envejecimiento</t>
  </si>
  <si>
    <t>A. Tarjeta de control del convertidor bloqueada por bloqueo del programa de control</t>
  </si>
  <si>
    <t>B. Sensor de velocidad del motor descalibrado por deriva</t>
  </si>
  <si>
    <t>B. Sensor de velocidad del motor inestable por conector flojo</t>
  </si>
  <si>
    <t>A. Contactos del breaker principal soldados por arco eléctrico</t>
  </si>
  <si>
    <t>A. Bobina de disparo quemada por sobrecalentamiento</t>
  </si>
  <si>
    <t>B. Cámara de extinción del breaker erosionada por arcos repetidos</t>
  </si>
  <si>
    <t>B. Mecanismo del breaker desajustado por desgaste</t>
  </si>
  <si>
    <t>A. Mecanismo del breaker trabado por pérdida de la película lubricante</t>
  </si>
  <si>
    <t>C. Resorte de apertura del breaker debilitado por fatiga</t>
  </si>
  <si>
    <t>C. Mecanismo del breaker desajustado por desgaste</t>
  </si>
  <si>
    <t>A. Bobina de cierre del breaker quemada por sobrecalentamiento</t>
  </si>
  <si>
    <t>A. Contacto auxiliar del breaker sulfatado por humedad</t>
  </si>
  <si>
    <t>A. Bobinado del motor de tracción quemado por sobrecalentamiento</t>
  </si>
  <si>
    <t>B. Ventilador del motor de tracción lento por rodamiento desgastado</t>
  </si>
  <si>
    <t>B. Aislamiento del motor degradado por envejecimiento</t>
  </si>
  <si>
    <t>A. Módulo IGBT del inversor quemado por sobretemperatura</t>
  </si>
  <si>
    <t>A. Tarjeta de control del inversor inestable por soldaduras fatigadas</t>
  </si>
  <si>
    <t>No retiene el combustible. La función se pierde por completo: no se cumple ningún punto del estándar. Estándar: a presión de prueba de 0,3 bar (derivado técnicamente). Se verifica con: inspección visual.</t>
  </si>
  <si>
    <t>A. Tarjeta de control del inversor bloqueada por bloqueo del programa de control</t>
  </si>
  <si>
    <t>1. Local: El tanque de combustible se rompe por el impacto de una piedra y el combustible sale por la rotura.
2. En el equipo: El tanque pierde su contenido. Se ve combustible derramado bajo la máquina y baja el nivel del tanque. Además, hay derrame de combustible sobre la vía.
3. General: La máquina no retiene el combustible y queda sin suministro para el motor.</t>
  </si>
  <si>
    <t>No hay una condición detectable que avise con anticipación: el tanque de combustible queda afectado por un evento súbito de impacto. Se detecta con: inspección visual después de cada evento; registro de eventos y alarmas del equipo.</t>
  </si>
  <si>
    <t>A. Motor del ventilador quemado por sobrecarga eléctrica</t>
  </si>
  <si>
    <t>A. Aspa del ventilador rota por fatiga</t>
  </si>
  <si>
    <t>B. Filtro de aire del equipo obstruido por polvo</t>
  </si>
  <si>
    <t>B. Ventilador del equipo lento por rodamiento desgastado</t>
  </si>
  <si>
    <t>1. Local: La manguera de combustible se rompe por el envejecimiento del caucho y el combustible sale por la rotura.
2. En el equipo: Se pierde combustible en la línea. Se ve combustible derramado bajo la máquina y baja el nivel del tanque.
3. General: La máquina no retiene el combustible y queda sin suministro para el motor.</t>
  </si>
  <si>
    <t>Grietas, resequedad, abultamientos o rozaduras visibles de la manguera de combustible. Se detecta con: inspección visual.</t>
  </si>
  <si>
    <t>A. Motor del ventilador del salón quemado por sobrecarga eléctrica</t>
  </si>
  <si>
    <t>B. Filtro de aire del salón saturado por polvo</t>
  </si>
  <si>
    <t>Seguridad; Impacto ambiental</t>
  </si>
  <si>
    <t>B. Aspa del ventilador desbalanceada por suciedad</t>
  </si>
  <si>
    <t>A. Caballete de apoyo fracturado por fatiga del material</t>
  </si>
  <si>
    <t>B. Soldadura del caballete fisurada por fatiga</t>
  </si>
  <si>
    <t>Retiene el combustible con caída de presión en la prueba de 0,3 bar. Estándar: a presión de prueba de 0,3 bar (derivado técnicamente). Se verifica con: inspección visual.</t>
  </si>
  <si>
    <t>1. Local: La junta de la tapa del tanque se reseca y la tapa queda sin sellar por completo.
2. En el equipo: El combustible o sus vapores escapan por la tapa y baja la presión de prueba. La prueba de estanqueidad a 0,3 bar muestra caída de presión.
3. General: El tanque retiene el combustible con caída de presión en la prueba de 0,3 bar.</t>
  </si>
  <si>
    <t>A. Motor de elevación quemado por sobrecalentamiento</t>
  </si>
  <si>
    <t>Deriva de la tapa del tanque frente al valor patrón, con lecturas o ajustes que se van corriendo. Se detecta con: verificación contra patrón calibrado; lectura de parámetros; medición de alineación o vibración.</t>
  </si>
  <si>
    <t>A. Husillo de elevación trabado por pérdida de la película lubricante</t>
  </si>
  <si>
    <t>B. Reductor de elevación desgastado por fin de vida útil</t>
  </si>
  <si>
    <t>A. Sistema de sincronización bloqueado por bloqueo del programa de control</t>
  </si>
  <si>
    <t>C. Sensor de posición de la plataforma descalibrado por deriva</t>
  </si>
  <si>
    <t>A. Tuerca de seguridad del husillo desgastada por fricción repetida</t>
  </si>
  <si>
    <t>1. Local: El racor de combustible se afloja por vibración y deja salir combustible por la unión.
2. En el equipo: La línea pierde presión por la unión. La prueba de estanqueidad a 0,3 bar muestra caída de presión.
3. General: El tanque retiene el combustible con caída de presión en la prueba de 0,3 bar.</t>
  </si>
  <si>
    <t>B. Freno del motor de elevación desgastado por fin de vida útil</t>
  </si>
  <si>
    <t>Pérdida de apriete, holgura o marcas de testigo desalineadas del racor de combustible. Se detecta con: control de torque con llave; inspección visual de marcas de testigo.</t>
  </si>
  <si>
    <t>A. Reductor de elevación roto por fatiga del engranaje</t>
  </si>
  <si>
    <t>B. Acople del motor desgastado por fricción repetida</t>
  </si>
  <si>
    <t>A. Motor del cabrestante quemado por sobrecalentamiento</t>
  </si>
  <si>
    <t>A. Cable del cabrestante roto por fatiga</t>
  </si>
  <si>
    <t>B. Freno del cabrestante pegado por deriva</t>
  </si>
  <si>
    <t>1. Local: La válvula de venteo se atasca por suciedad y no equilibra la presión del tanque con la atmósfera.
2. En el equipo: La presión del tanque cambia al consumirse o al calentarse el combustible. La prueba de estanqueidad a 0,3 bar muestra caída de presión.
3. General: El tanque retiene el combustible con caída de presión en la prueba de 0,3 bar.</t>
  </si>
  <si>
    <t>Respuesta más lenta o movimiento duro de la válvula de venteo antes de quedar trabado. Se detecta con: prueba funcional; medición de tiempos de ciclo.</t>
  </si>
  <si>
    <t>A. Palpador del carro de copiar roto por impacto mecánico</t>
  </si>
  <si>
    <t>B. Guías del carro de copiar desgastadas por fricción repetida</t>
  </si>
  <si>
    <t>C. Palpador del carro de copiar descalibrado por deriva</t>
  </si>
  <si>
    <t>A. Husillo del carro montante trabado por pérdida de la película lubricante</t>
  </si>
  <si>
    <t>B. Guías del carro montante desgastadas por fricción repetida</t>
  </si>
  <si>
    <t>A. Cilindro del palpador trabado por corrosión</t>
  </si>
  <si>
    <t>B. Soporte del palpador desajustado por impacto mecánico</t>
  </si>
  <si>
    <t>A. Motor de los rodillos de accionamiento quemado por sobrecalentamiento</t>
  </si>
  <si>
    <t>B. Rodillo de accionamiento desgastado por fricción</t>
  </si>
  <si>
    <t>B. Rodamiento del rodillo cascado por fatiga</t>
  </si>
  <si>
    <t>A. Dispositivo de carga roto por fatiga</t>
  </si>
  <si>
    <t>B. Sello del cilindro de sujeción desgastado por fin de vida útil</t>
  </si>
  <si>
    <t>A. Sensor de diámetro dañado por defecto electrónico</t>
  </si>
  <si>
    <t>B. Sensor de diámetro descalibrado por deriva</t>
  </si>
  <si>
    <t>C. Soporte del sensor de diámetro desalineado por impacto mecánico</t>
  </si>
  <si>
    <t>A. Motor del extractor quemado por sobrecarga eléctrica</t>
  </si>
  <si>
    <t>A. Cinta del extractor rota por fatiga</t>
  </si>
  <si>
    <t>B. Ducto del extractor obstruido por viruta acumulada</t>
  </si>
  <si>
    <t>A. Distribuidor KE atascado por contaminación del émbolo</t>
  </si>
  <si>
    <t>A. Válvula de control del distribuidor KE pegajosa por grasa endurecida</t>
  </si>
  <si>
    <t>B. Membrana del distribuidor KE endurecida por envejecimiento</t>
  </si>
  <si>
    <t>B. Resorte de regulación del distribuidor KE relajado por fatiga del material</t>
  </si>
  <si>
    <t>C. Distribuidor KE descalibrado por deriva de resortes</t>
  </si>
  <si>
    <t>B. Orificio de llenado del distribuidor KE ampliado por erosión</t>
  </si>
  <si>
    <t>C. Orificio del distribuidor KE obstruido por suciedad</t>
  </si>
  <si>
    <t>B. Distribuidor KE descalibrado por deriva de resortes</t>
  </si>
  <si>
    <t>C. Orificio de escape del distribuidor KE obstruido por suciedad</t>
  </si>
  <si>
    <t>No evita el vuelco de la plataforma. La función se pierde por completo: no se cumple ningún punto del estándar. Estándar: con momento de 107 kN·m (fabricante). Se verifica con: prueba funcional.</t>
  </si>
  <si>
    <t>1. Local: El brazo estabilizador se fractura por fatiga del material y se separa de su apoyo.
2. En el equipo: El brazo no se extiende o no sostiene la máquina al izar. La máquina queda sin apoyo del estabilizador al levantar la carga.
3. General: La máquina no cuenta con la función de evitar el vuelco de la plataforma con 107 kN·m.</t>
  </si>
  <si>
    <t>Fisura, deformación o marca de rotura incipiente del brazo estabilizador. Se detecta con: inspección visual y ensayos no destructivos (líquidos penetrantes o partículas magnéticas).</t>
  </si>
  <si>
    <t>1. Local: La válvula de bloqueo del cilindro queda abierta porque su asiento está marcado y no sella.
2. En el equipo: El aceite del cilindro estabilizador retorna al tanque. El brazo no se mantiene extendido bajo carga.
3. General: El estabilizador no sostiene la máquina durante el izaje.</t>
  </si>
  <si>
    <t>Presión de apertura por debajo (o por encima) del tarado, descargas frecuentes o fuga en el asiento de la válvula de bloqueo del cilindro. Se detecta con: prueba de tarado en banco; inspección del asiento; lectura de presión.</t>
  </si>
  <si>
    <t>Evita el vuelco de la plataforma con apoyo insuficiente. Estándar: con momento de 107 kN·m (fabricante). Se verifica con: prueba funcional.</t>
  </si>
  <si>
    <t>1. Local: El sello del cilindro estabilizador se desgasta al final de su vida útil y deja pasar aceite entre cámaras.
2. En el equipo: El cilindro pierde posición lentamente bajo carga. El estabilizador cede lentamente bajo carga.
3. General: El apoyo de la máquina es insuficiente para el momento de 107 kN·m.</t>
  </si>
  <si>
    <t>Sudoración, humedad, resequedad o rozaduras visibles del sello del cilindro estabilizador. Se detecta con: inspección visual; prueba de estanqueidad.</t>
  </si>
  <si>
    <t>A. Generador trifásico quemado por sobrecalentamiento del bobinado</t>
  </si>
  <si>
    <t>B. Regulador automático de tensión descalibrado por deriva</t>
  </si>
  <si>
    <t>B. Regulador automático de tensión inestable por defecto electrónico</t>
  </si>
  <si>
    <t>A. Bomba de lavado gripada por desgaste</t>
  </si>
  <si>
    <t>A. Motor del cepillo quemado por sobrecarga eléctrica</t>
  </si>
  <si>
    <t>B. Boquilla de lavado obstruida por sedimentos</t>
  </si>
  <si>
    <t>B. Cepillo de lavado desgastado por fin de vida útil</t>
  </si>
  <si>
    <t>A. Motor del equipo de transporte quemado por sobrecarga eléctrica</t>
  </si>
  <si>
    <t>A. Cadena de elevación rota por fatiga</t>
  </si>
  <si>
    <t>B. Sellos hidráulicos desgastados por fin de vida útil</t>
  </si>
  <si>
    <t>A. Motor del husillo quemado por sobrecarga</t>
  </si>
  <si>
    <t>No transmite la fuerza a zapatas. La función se pierde por completo: no se cumple ningún punto del estándar. Estándar: hasta detener el vehiculo (fabricante). Se verifica con: medición de juego.</t>
  </si>
  <si>
    <t>A. Husillo bloqueado por rodamiento gripado</t>
  </si>
  <si>
    <t>B. Guías de la máquina desgastadas por fricción repetida</t>
  </si>
  <si>
    <t>B. Cuchilla desafilada por fin de vida útil</t>
  </si>
  <si>
    <t>A. Compresor de la red gripado por pérdida de la película lubricante</t>
  </si>
  <si>
    <t>A. Tubería principal de la red rota por corrosión</t>
  </si>
  <si>
    <t>Transmite la fuerza a zapatas con holgura excesiva. Estándar: hasta detener el vehiculo (fabricante). Se verifica con: medición de juego.</t>
  </si>
  <si>
    <t>B. Filtro de línea obstruido por suciedad</t>
  </si>
  <si>
    <t>B. Racores de la red flojos por vibración</t>
  </si>
  <si>
    <t>A. Detector de tensión dañado por defecto electrónico</t>
  </si>
  <si>
    <t>A. Conector del detector flojo por vibración</t>
  </si>
  <si>
    <t>B. Detector de tensión descalibrado por deriva</t>
  </si>
  <si>
    <t>C. Sensor de tensión descalibrado por deriva</t>
  </si>
  <si>
    <t>No eleva la presión del combustible. La función se pierde por completo: no se cumple ningún punto del estándar. Estándar: por confirmar. Se verifica con: banco de inyección.</t>
  </si>
  <si>
    <t>1. Local: La bomba de inyección se traba (se gripa) porque el combustible contaminado daña sus superficies internas.
2. En el equipo: La bomba no eleva la presión del combustible. El motor no arranca o se apaga sin daño visible.
3. General: El motor no recibe combustible a presión y no entrega potencia.</t>
  </si>
  <si>
    <t>Movimiento duro, ruido o calentamiento anormal de la bomba de inyección antes de trabarse. Se detecta con: análisis de vibraciones; termografía; análisis de partículas en el aceite. Al ser una función oculta no se nota en operación: depende de la inspección o prueba programada.</t>
  </si>
  <si>
    <t>Eleva la presión del combustible con presión insuficiente. Estándar: por confirmar. Se verifica con: banco de inyección.</t>
  </si>
  <si>
    <t>1. Local: Los elementos de la bomba de inyección se desgastan al final de su vida útil y pierden estanqueidad interna.
2. En el equipo: La bomba alcanza menos presión de la requerida. El motor pierde potencia y hay humo negro.
3. General: El motor trabaja con combustible a menor presión y entrega menos potencia.</t>
  </si>
  <si>
    <t>Pérdida progresiva de material de los elementos de la bomba de inyección hasta acercarse al límite de desgaste. Se detecta con: medición con calibre, galga o micrómetro; inspección visual. Al ser una función oculta no se nota en operación: depende de la inspección o prueba programada.</t>
  </si>
  <si>
    <t>1. Local: Los inyectores se desgastan al final de su vida útil y pulverizan mal.
2. En el equipo: La combustión es incompleta. El motor pierde potencia y hay humo negro.
3. General: El motor trabaja con combustible a menor presión y entrega menos potencia.</t>
  </si>
  <si>
    <t>Pérdida progresiva de material de los inyectores hasta acercarse al límite de desgaste. Se detecta con: medición con calibre, galga o micrómetro; inspección visual. Al ser una función oculta no se nota en operación: depende de la inspección o prueba programada.</t>
  </si>
  <si>
    <t>1. Local: El pistón de la bomba de inyección se pega por el barniz del combustible y se mueve con dificultad.
2. En el equipo: La presión de inyección varía en cada ciclo. El motor ratea sin patrón fijo.
3. General: El motor trabaja con presión de combustible irregular y entrega potencia irregular.</t>
  </si>
  <si>
    <t>Movimiento duro, ruido o calentamiento anormal del pistón de la bomba de inyección antes de trabarse. Se detecta con: análisis de vibraciones; termografía; análisis de partículas en el aceite. Al ser una función oculta no se nota en operación: depende de la inspección o prueba programada.</t>
  </si>
  <si>
    <t>No entrega potencia mecánica. La función se pierde por completo: no se cumple ningún punto del estándar. Estándar: por confirmar. Se verifica con: placa del motor.</t>
  </si>
  <si>
    <t>1. Local: Los inyectores se atascan por combustible contaminado y no pulverizan combustible.
2. En el equipo: La combustión no se produce en los cilindros afectados. El motor no arranca o se apaga.
3. General: La unidad queda sin potencia mecánica y fuera de servicio.</t>
  </si>
  <si>
    <t>1. Local: El filtro de combustible se obstruye con suciedad y no deja pasar combustible.
2. En el equipo: La bomba se queda sin combustible. El motor no arranca o se apaga.
3. General: La unidad queda sin potencia mecánica y fuera de servicio.</t>
  </si>
  <si>
    <t>Entrega potencia mecánica por debajo de la nominal. Estándar: por confirmar. Se verifica con: placa del motor.</t>
  </si>
  <si>
    <t>1. Local: El filtro de aire se obstruye con polvo acumulado y restringe el aire al motor.
2. En el equipo: La combustión es incompleta por falta de aire. El motor pierde fuerza y sale humo negro.
3. General: La unidad entrega menos potencia que la nominal.</t>
  </si>
  <si>
    <t>1. Local: El turbocompresor se desgasta y entrega menos aire de sobrealimentación.
2. En el equipo: El motor recibe menos aire por ciclo. El motor pierde fuerza y sale humo negro.
3. General: La unidad entrega menos potencia que la nominal.</t>
  </si>
  <si>
    <t>1. Local: El conector del sensor de velocidad se afloja y la señal llega de forma inestable a la unidad de control.
2. En el equipo: La unidad de control corrige el combustible de forma errática. Las revoluciones oscilan sin acción del operador.
3. General: La unidad entrega una potencia irregular y menor a la nominal.</t>
  </si>
  <si>
    <t>No transmite el par motriz. La función se pierde por completo: no se cumple ningún punto del estándar. Estándar: por confirmar. Se verifica con: prueba de tracción.</t>
  </si>
  <si>
    <t>Transmite el par motriz con par menor al requerido. Estándar: por confirmar. Se verifica con: prueba de tracción.</t>
  </si>
  <si>
    <t>No recorre curvas de radio 90 m mínimo. La función se pierde por completo: no se cumple ningún punto del estándar. Estándar: de radio mínimo de 90 m (fabricante: Manual de Mantenimiento DR1227 Plasser &amp; Theurer DIC-40 (WS6761) – p.47). Se verifica con: prueba en curva.</t>
  </si>
  <si>
    <t>1. Local: El pivote del bogie se traba por pérdida de la película de lubricante y el bogie no puede girar respecto al bastidor.
2. En el equipo: El bogie se resiste a orientarse en la curva. La dresina chirría y se resiste a girar en curvas cerradas.
3. General: La dresina no puede recorrer curvas de radio 90 m.</t>
  </si>
  <si>
    <t>Movimiento duro, ruido o calentamiento anormal del pivote del bogie antes de trabarse. Se detecta con: análisis de vibraciones; termografía; análisis de partículas en el aceite.</t>
  </si>
  <si>
    <t>Recorre curvas solo de radio mayor a 90 m. Estándar: de radio mínimo de 90 m (fabricante: Manual de Mantenimiento DR1227 Plasser &amp; Theurer DIC-40 (WS6761) – p.47). Se verifica con: prueba en curva.</t>
  </si>
  <si>
    <t>1. Local: Los casquillos del pivote se desgastan al final de su vida útil y el bogie gira con juego.
2. En el equipo: El bogie se orienta con retraso en la curva. Hay restricción de curva y desgaste en pestañas.
3. General: La dresina solo puede recorrer curvas de radio mayor a 90 m.</t>
  </si>
  <si>
    <t>Pérdida progresiva de material de los casquillos del pivote hasta acercarse al límite de desgaste. Se detecta con: medición con calibre, galga o micrómetro; inspección visual.</t>
  </si>
  <si>
    <t>1. Local: Los ejes del bogie se desalinean por un impacto mecánico y no quedan paralelos.
2. En el equipo: El bogie se orienta de forma inadecuada en la curva y las pestañas rozan el riel. Hay restricción de curva y desgaste en pestañas.
3. General: La dresina solo puede recorrer curvas de radio mayor a 90 m.</t>
  </si>
  <si>
    <t>No hay una condición detectable que avise con anticipación: los ejes del bogie quedan afectados por un evento súbito de impacto. Se detecta con: inspección visual después de cada evento; registro de eventos y alarmas del equipo.</t>
  </si>
  <si>
    <t>No suministra aire. La función se pierde por completo: no se cumple ningún punto del estándar. Estándar: por confirmar. Se verifica con: tiempo de llenado de calderines.</t>
  </si>
  <si>
    <t>Suministra aire por debajo del caudal nominal. Estándar: por confirmar. Se verifica con: tiempo de llenado de calderines.</t>
  </si>
  <si>
    <t>No suministra aceite. La función se pierde por completo: no se cumple ningún punto del estándar. Estándar: por confirmar. Se verifica con: caudalímetro / tiempos de ciclo.</t>
  </si>
  <si>
    <t>Suministra aceite por debajo del caudal nominal. Estándar: por confirmar. Se verifica con: caudalímetro / tiempos de ciclo.</t>
  </si>
  <si>
    <t>No genera torque. La función se pierde por completo: no se cumple ningún punto del estándar. Estándar: por confirmar. Se verifica con: prueba de tracción.</t>
  </si>
  <si>
    <t>Genera torque por debajo del par nominal. Estándar: por confirmar. Se verifica con: prueba de tracción.</t>
  </si>
  <si>
    <t>No suministra la corriente de arranque. La función se pierde por completo: no se cumple ningún punto del estándar. Estándar: con tensión mínima de 19,2 V (fabricante: Manual de Mantenimiento DR1227 Plasser &amp; Theurer DIC-40 (WS6761) – p.32). Se verifica con: voltímetro.</t>
  </si>
  <si>
    <t>Suministra la corriente de arranque con tensión menor a 19,2 V. Estándar: con tensión mínima de 19,2 V (fabricante: Manual de Mantenimiento DR1227 Plasser &amp; Theurer DIC-40 (WS6761) – p.32). Se verifica con: voltímetro.</t>
  </si>
  <si>
    <t>No eleva las cargas. La función se pierde por completo: no se cumple ningún punto del estándar. Estándar: con momento de 107 kN·m (fabricante: Palfinger). Se verifica con: diagrama de cargas.</t>
  </si>
  <si>
    <t>1. Local: El resorte de la válvula de alivio se rompe y la válvula queda abierta.
2. En el equipo: El circuito de elevación no acumula presión. La pluma no levanta y el manómetro queda bajo.
3. General: La grúa no eleva la carga.</t>
  </si>
  <si>
    <t>1. Local: El sello del cilindro de elevación se desgasta al final de su vida útil y el aceite pasa de un lado al otro del émbolo.
2. En el equipo: El cilindro no sostiene la presión de elevación. La pluma no levanta y el manómetro queda bajo.
3. General: La grúa no eleva la carga.</t>
  </si>
  <si>
    <t>Sudoración, humedad, resequedad o rozaduras visibles del sello del cilindro de elevación. Se detecta con: inspección visual; prueba de estanqueidad.</t>
  </si>
  <si>
    <t>Eleva las cargas con momento menor a 107 kN·m. Estándar: con momento de 107 kN·m (fabricante: Palfinger). Se verifica con: diagrama de cargas.</t>
  </si>
  <si>
    <t>1. Local: Las holguras internas de la bomba hidráulica de la grúa aumentan por desgaste y el caudal efectivo baja.
2. En el equipo: La presión disponible para elevar es menor. La grúa levanta menos de la carga nominal.
3. General: La grúa eleva con un momento menor a 107 kN·m.</t>
  </si>
  <si>
    <t>Pérdida progresiva de material de la bomba hidráulica de la grúa hasta acercarse al límite de desgaste. Se detecta con: medición con calibre, galga o micrómetro; inspección visual.</t>
  </si>
  <si>
    <t>1. Local: El resorte de la válvula de alivio se asienta y la válvula abre a una presión menor a la de trabajo.
2. En el equipo: Parte del aceite se desvía al tanque. La grúa levanta menos de la carga nominal.
3. General: La grúa eleva con un momento menor a 107 kN·m.</t>
  </si>
  <si>
    <t>1. Local: El sensor Hall de la palanca de mando se daña y envía una señal inestable.
2. En el equipo: Las órdenes de movimiento de la pluma varían. Los movimientos de la pluma son bruscos o con tirones.
3. General: La grúa eleva con movimientos irregulares y con un momento menor al nominal.</t>
  </si>
  <si>
    <t>No hay una condición detectable que avise con anticipación: la palanca de mando deja de funcionar de forma súbita. Se detecta con: prueba funcional programada; registro de eventos y alarmas del equipo.</t>
  </si>
  <si>
    <t>Eleva las cargas con momento mayor a 107 kN·m. Estándar: con momento de 107 kN·m (fabricante: Palfinger). Se verifica con: diagrama de cargas.</t>
  </si>
  <si>
    <t>1. Local: El limitador de momento se descalibra por deriva y no detecta que la carga alcanzó su límite.
2. En el equipo: La grúa continúa elevando sin que se emita la alarma ni se limite el movimiento. La grúa levanta más de lo permitido sin alarma; además, la estructura de la grúa soporta una sobrecarga.
3. General: La grúa eleva con un momento mayor a 107 kN·m.</t>
  </si>
  <si>
    <t>Deriva del limitador de momento frente al valor patrón, con lecturas o ajustes que se van corriendo. Se detecta con: verificación contra patrón calibrado; lectura de parámetros; medición de alineación o vibración.</t>
  </si>
  <si>
    <t>No transporta material. La función se pierde por completo: no se cumple ningún punto del estándar. Estándar: hasta 1.000 kg (fabricante: Manual de Mantenimiento DR1227 Plasser &amp; Theurer DIC-40 (WS6761) – p.47). Se verifica con: rótulo / control de carga.</t>
  </si>
  <si>
    <t>1. Local: La estructura de la plataforma se fractura por fatiga y pierde su capacidad resistente.
2. En el equipo: La estructura pierde su capacidad resistente y se separa en partes. La plataforma no sostiene el material y se deforma.
3. General: La plataforma no transporta material.</t>
  </si>
  <si>
    <t>Fisura, deformación o marca de rotura incipiente de la estructura de la plataforma. Se detecta con: inspección visual y ensayos no destructivos (líquidos penetrantes o partículas magnéticas).</t>
  </si>
  <si>
    <t>Transporta material con capacidad menor a 1.000 kg. Estándar: hasta 1.000 kg (fabricante: Manual de Mantenimiento DR1227 Plasser &amp; Theurer DIC-40 (WS6761) – p.47). Se verifica con: rótulo / control de carga.</t>
  </si>
  <si>
    <t>1. Local: El sello del cilindro de la plataforma se desgasta y el cilindro cede bajo carga.
2. En el equipo: La plataforma desciende lentamente bajo carga. La plataforma desciende bajo carga.
3. General: La plataforma transporta material con una capacidad menor a 1.000 kg.</t>
  </si>
  <si>
    <t>Movimiento duro, ruido o calentamiento anormal del cilindro de la plataforma antes de trabarse. Se detecta con: análisis de vibraciones; termografía; análisis de partículas en el aceite.</t>
  </si>
  <si>
    <t>Transporta material con carga mayor a 1.000 kg. Estándar: hasta 1.000 kg (fabricante: Manual de Mantenimiento DR1227 Plasser &amp; Theurer DIC-40 (WS6761) – p.47). Se verifica con: rótulo / control de carga.</t>
  </si>
  <si>
    <t>1. Local: El sensor de carga se descalibra por deriva y no detecta el peso real sobre la plataforma.
2. En el equipo: La plataforma no emite alarma cuando se supera la carga. El sensor de carga no alarma con sobrecarga.
3. General: La plataforma transporta material con una carga mayor a 1.000 kg.</t>
  </si>
  <si>
    <t>No transmite la fuerza a zapatas. La función se pierde por completo: no se cumple ningún punto del estándar. Estándar: con juego de 5 a 7 mm (fabricante: Manual de Mantenimiento DR1227 Plasser &amp; Theurer DIC-40 (WS6761) – p.51). Se verifica con: medición de juego / prueba de frenado.</t>
  </si>
  <si>
    <t>Transmite la fuerza a zapatas con juego menor a 5 mm. Estándar: con juego de 5 a 7 mm (fabricante: Manual de Mantenimiento DR1227 Plasser &amp; Theurer DIC-40 (WS6761) – p.51). Se verifica con: medición de juego / prueba de frenado.</t>
  </si>
  <si>
    <t>Transmite la fuerza a zapatas con juego mayor a 7 mm. Estándar: con juego de 5 a 7 mm (fabricante: Manual de Mantenimiento DR1227 Plasser &amp; Theurer DIC-40 (WS6761) – p.51). Se verifica con: medición de juego / prueba de frenado.</t>
  </si>
  <si>
    <t>No mide la altura del hilo. La función se pierde por completo: no se cumple ningún punto del estándar. Estándar: por confirmar. Se verifica con: calibración.</t>
  </si>
  <si>
    <t>1. Local: El sensor láser se daña por un defecto electrónico y deja de entregar señal.
2. En el equipo: El equipo no recibe datos de altura. No se nota en servicio; se descubre al ver que el equipo no entrega lectura.
3. General: El equipo no mide la altura del hilo.</t>
  </si>
  <si>
    <t>No hay una condición detectable que avise con anticipación: el sensor láser deja de funcionar de forma súbita. Se detecta con: prueba funcional programada; registro de eventos y alarmas del equipo. Al ser una función oculta no se nota en operación: depende de la inspección o prueba programada.</t>
  </si>
  <si>
    <t>1. Local: La lente del sensor se cubre de polvo y grasa y bloquea el haz láser.
2. En el equipo: El sensor no recibe el reflejo y no entrega lectura. No se nota en servicio; se descubre al ver que el equipo no entrega lectura.
3. General: El equipo no mide la altura del hilo.</t>
  </si>
  <si>
    <t>Señal o imagen cada vez más débil por suciedad en el lente del sensor. Se detecta con: limpieza e inspección de la lente; lectura de la señal con equipo de diagnóstico. Al ser una función oculta no se nota en operación: depende de la inspección o prueba programada.</t>
  </si>
  <si>
    <t>Mide la altura del hilo con lectura menor a la real. Estándar: por confirmar. Se verifica con: calibración.</t>
  </si>
  <si>
    <t>1. Local: El sensor láser se descalibra por deriva y entrega valores menores al real.
2. En el equipo: El equipo registra una altura de hilo inferior a la que existe. Las lecturas están por debajo del valor medido con patrón.
3. General: El equipo mide la altura del hilo con lectura menor a la real.</t>
  </si>
  <si>
    <t>Deriva del sensor láser frente al valor patrón, con lecturas o ajustes que se van corriendo. Se detecta con: verificación contra patrón calibrado; lectura de parámetros; medición de alineación o vibración. Al ser una función oculta no se nota en operación: depende de la inspección o prueba programada.</t>
  </si>
  <si>
    <t>Mide la altura del hilo con lectura mayor a la real. Estándar: por confirmar. Se verifica con: calibración.</t>
  </si>
  <si>
    <t>1. Local: El soporte del sensor se desalinea por vibración y el haz apunta con un ángulo distinto.
2. En el equipo: El sensor registra valores mayores a los reales. Las lecturas están por encima del valor medido con patrón.
3. General: El equipo mide la altura del hilo con lectura mayor a la real.</t>
  </si>
  <si>
    <t>Deriva del soporte del sensor frente al valor patrón, con lecturas o ajustes que se van corriendo. Se detecta con: verificación contra patrón calibrado; lectura de parámetros; medición de alineación o vibración. Al ser una función oculta no se nota en operación: depende de la inspección o prueba programada.</t>
  </si>
  <si>
    <t>No mide el descentramiento del hilo. La función se pierde por completo: no se cumple ningún punto del estándar. Estándar: con exactitud de ±_____ mm (valor por confirmar; fabricante). Se verifica con: calibración.</t>
  </si>
  <si>
    <t>1. Local: El sensor láser se daña por un defecto electrónico y deja de entregar señal.
2. En el equipo: El equipo no recibe datos de descentramiento. No se nota en servicio; se descubre al ver que el equipo no entrega lectura.
3. General: El equipo no mide el descentramiento del hilo.</t>
  </si>
  <si>
    <t>Mide el descentramiento del hilo con lectura menor a la real. Estándar: con exactitud de ±_____ mm (valor por confirmar; fabricante). Se verifica con: calibración.</t>
  </si>
  <si>
    <t>1. Local: El sensor láser se descalibra por deriva y entrega valores menores al real.
2. En el equipo: El equipo registra un descentramiento inferior al que existe. Las lecturas están por debajo del valor medido con patrón.
3. General: El equipo mide el descentramiento del hilo con lectura menor a la real.</t>
  </si>
  <si>
    <t>Mide el descentramiento del hilo con lectura mayor a la real. Estándar: con exactitud de ±_____ mm (valor por confirmar; fabricante). Se verifica con: calibración.</t>
  </si>
  <si>
    <t>1. Local: El soporte del sensor se desalinea por vibración y el haz apunta con un ángulo distinto.
2. En el equipo: El sensor registra valores mayores a los reales. Las lecturas están por encima del valor medido con patrón.
3. General: El equipo mide el descentramiento del hilo con lectura mayor a la real.</t>
  </si>
  <si>
    <t>No mantiene la fuerza de contacto. La función se pierde por completo: no se cumple ningún punto del estándar. Estándar: de 60 a 140 N (fuente técnica: Faiveley (Wabtec)). Se verifica con: dinamómetro.</t>
  </si>
  <si>
    <t>1. Local: El cilindro neumático del pantógrafo se despresuriza por una fuga y deja de empujar la banda contra el hilo.
2. En el equipo: El pantógrafo baja y se separa del hilo de contacto. El pantógrafo se separa del hilo y se pierde la tensión de línea.
3. General: El vehículo deja de captar corriente y queda sin alimentación.</t>
  </si>
  <si>
    <t>Humedad, goteo o pérdida de nivel o de presión alrededor del cilindro neumático del pantógrafo. Se detecta con: inspección visual; prueba de estanqueidad; lectura de nivel y presión.</t>
  </si>
  <si>
    <t>1. Local: El brazo del pantógrafo se rompe por fatiga y se separa de su base.
2. En el equipo: El pantógrafo cae o se desvía del hilo; al caer golpea la catenaria. El pantógrafo se separa del hilo y se pierde la tensión de línea; se produce posible daño a la catenaria.
3. General: El vehículo deja de captar corriente y queda sin alimentación.</t>
  </si>
  <si>
    <t>Fisura, deformación o marca de rotura incipiente del brazo del pantógrafo. Se detecta con: inspección visual y ensayos no destructivos (líquidos penetrantes o partículas magnéticas).</t>
  </si>
  <si>
    <t>Mantiene la fuerza de contacto por debajo de 60 N. Estándar: de 60 a 140 N (fuente técnica: Faiveley (Wabtec)). Se verifica con: dinamómetro.</t>
  </si>
  <si>
    <t>1. Local: El resorte del pantógrafo se debilita por fatiga y empuja la banda con menos fuerza que 60 N.
2. En el equipo: El contacto entre banda e hilo se hace de forma débil e inestable. Se ven arcos eléctricos y chispas.
3. General: El pantógrafo mantiene una fuerza de contacto menor a 60 N.</t>
  </si>
  <si>
    <t>Pérdida de altura libre o de carga del resorte del pantógrafo. Se detecta con: medición de altura libre y de carga en banco de pruebas; inspección visual.</t>
  </si>
  <si>
    <t>1. Local: La banda de contacto se desgasta al final de su vida útil y el área de contacto con el hilo disminuye.
2. En el equipo: El contacto es más débil y se producen arcos. Se ven arcos eléctricos y chispas.
3. General: El pantógrafo mantiene una fuerza de contacto menor a 60 N.</t>
  </si>
  <si>
    <t>Pérdida progresiva de material de la banda de contacto hasta acercarse al límite de desgaste. Se detecta con: medición con calibre, galga o micrómetro; inspección visual.</t>
  </si>
  <si>
    <t>Mantiene la fuerza de contacto por encima de 140 N. Estándar: de 60 a 140 N (fuente técnica: Faiveley (Wabtec)). Se verifica con: dinamómetro.</t>
  </si>
  <si>
    <t>1. Local: El regulador de presión del pantógrafo se descalibra por deriva y entrega más presión al cilindro.
2. En el equipo: La banda se empuja contra el hilo con más de 140 N. El hilo se desgasta más rápido y se ven marcas.
3. General: El pantógrafo mantiene una fuerza de contacto mayor a 140 N.</t>
  </si>
  <si>
    <t>Deriva del regulador de presión del pantógrafo frente al valor patrón, con lecturas o ajustes que se van corriendo. Se detecta con: verificación contra patrón calibrado; lectura de parámetros; medición de alineación o vibración.</t>
  </si>
  <si>
    <t>Mantiene la fuerza de contacto con valores que oscilan fuera del rango de 60 a 140 N. Estándar: de 60 a 140 N (fuente técnica: Faiveley (Wabtec)). Se verifica con: dinamómetro.</t>
  </si>
  <si>
    <t>1. Local: El amortiguador del pantógrafo se desgasta al final de su vida útil y deja de absorber las irregularidades del hilo.
2. En el equipo: La banda rebota sobre el hilo. El pantógrafo rebota y pierde el contacto con intermitencias.
3. General: La fuerza de contacto oscila fuera del rango de 60 a 140 N.</t>
  </si>
  <si>
    <t>Pérdida progresiva de material del amortiguador del pantógrafo hasta acercarse al límite de desgaste. Se detecta con: medición con calibre, galga o micrómetro; inspección visual.</t>
  </si>
  <si>
    <t>No circula por la vía. La función se pierde por completo: no se cumple ningún punto del estándar. Estándar: hasta 40 km/h (fabricante: Manual de Mantenimiento DR1227 Plasser &amp; Theurer DIC-40 (WS6761) – p.47). Se verifica con: velocímetro.</t>
  </si>
  <si>
    <t>1. Local: El aislamiento del motor de tracción se daña y el motor se quema.
2. En el equipo: El motor no genera par. El vehículo no se mueve.
3. General: El vehículo no circula por la vía y queda fuera de servicio.</t>
  </si>
  <si>
    <t>1. Local: El convertidor de tracción se bloquea por un defecto electrónico y deja de modular la potencia.
2. En el equipo: El motor no recibe tensión ni frecuencia de trabajo. El vehículo no se mueve.
3. General: El vehículo no circula por la vía y queda fuera de servicio.</t>
  </si>
  <si>
    <t>1. Local: La captación de corriente se interrumpe por la pérdida de contacto entre el captador y la línea.
2. En el equipo: La energía llega a intervalos al convertidor. La velocidad oscila y el vehículo tiene tirones.
3. General: El vehículo no circula de forma continua por la vía.</t>
  </si>
  <si>
    <t>Resistencia anormal o pérdida de continuidad de la captación de corriente. Se detecta con: medición de continuidad; inspección de conexiones.</t>
  </si>
  <si>
    <t>Circula por la vía por debajo de 40 km/h. Estándar: hasta 40 km/h (fabricante: Manual de Mantenimiento DR1227 Plasser &amp; Theurer DIC-40 (WS6761) – p.47). Se verifica con: velocímetro.</t>
  </si>
  <si>
    <t>1. Local: La protección térmica del motor de tracción se dispara y desconecta el motor.
2. En el equipo: El vehículo pierde el par de ese motor. El vehículo no alcanza la velocidad máxima.
3. General: El vehículo circula por debajo de 40 km/h.</t>
  </si>
  <si>
    <t>No entrega potencia mecánica. La función se pierde por completo: no se cumple ningún punto del estándar. Estándar: de _____ kW (valor por confirmar; fabricante). Se verifica con: placa del motor.</t>
  </si>
  <si>
    <t>Entrega potencia mecánica por debajo de la nominal. Estándar: de _____ kW (valor por confirmar; fabricante). Se verifica con: placa del motor.</t>
  </si>
  <si>
    <t>No distribuye el par entre ejes. La función se pierde por completo: no se cumple ningún punto del estándar. Estándar: hasta _____ N·m (valor por confirmar; fabricante). Se verifica con: prueba de tracción / termografía y ruido.</t>
  </si>
  <si>
    <t>Distribuye el par entre ejes de forma desigual. Estándar: hasta _____ N·m (valor por confirmar; fabricante). Se verifica con: prueba de tracción / termografía y ruido.</t>
  </si>
  <si>
    <t>No soporta la carga por eje. La función se pierde por completo: no se cumple ningún punto del estándar. Estándar: hasta _____ t (valor por confirmar; fabricante). Se verifica con: pesaje.</t>
  </si>
  <si>
    <t>1. Local: El eje se fractura por fatiga del material y se separa en dos partes.
2. En el equipo: La rueda deja de estar unida a su par y pierde el apoyo del eje. No se nota en servicio; se descubre en la ultrasonografía o por ruido intenso en rodadura.
3. General: El eje ya no soporta la carga y el vehículo debe salir de servicio.</t>
  </si>
  <si>
    <t>1. Local: El rodamiento de la caja de grasa se casca por fatiga; sus pistas y rodillos se desprenden.
2. En el equipo: El eje gira con rozamiento y juego. No se nota en servicio; se descubre en la ultrasonografía o por ruido intenso en rodadura.
3. General: El eje ya no soporta la carga de forma segura y el vehículo debe salir de servicio.</t>
  </si>
  <si>
    <t>Soporta la carga por eje con capacidad reducida. Estándar: hasta _____ t (valor por confirmar; fabricante). Se verifica con: pesaje.</t>
  </si>
  <si>
    <t>1. Local: El eje se fisura por corrosión bajo fatiga y pierde sección resistente.
2. En el equipo: La fisura crece con cada ciclo de carga. Los ensayos END detectan fisuras que reducen la capacidad del eje.
3. General: El eje soporta una carga menor a 16 t y el vehículo debe operar restringido.</t>
  </si>
  <si>
    <t>1. Local: La caja de grasa se recalienta porque se pierde la película lubricante del rodamiento.
2. En el equipo: El rodamiento se desgasta y se calienta. Los ensayos END detectan fisuras que reducen la capacidad del eje; la temperatura de la caja de grasa es más alta que la normal.
3. General: El eje soporta una carga menor a 16 t y el vehículo debe operar restringido.</t>
  </si>
  <si>
    <t>No guía el eje. La función se pierde por completo: no se cumple ningún punto del estándar. Estándar: con pestaña de _____ mm (valor por confirmar; fabricante). Se verifica con: galga de perfil.</t>
  </si>
  <si>
    <t>1. Local: La pestaña de la rueda se fractura por fatiga y pierde parte de su espesor.
2. En el equipo: La rueda no cuenta con la pestaña completa para guiarse. No se nota en servicio; se descubre en la medición de perfil.
3. General: El eje no cuenta con el espesor de pestaña requerido para guiarse en el riel.</t>
  </si>
  <si>
    <t>Guía el eje por debajo del espesor mínimo. Estándar: con pestaña de _____ mm (valor por confirmar; fabricante). Se verifica con: galga de perfil.</t>
  </si>
  <si>
    <t>1. Local: La pestaña se desgasta por el contacto con el riel sin lubricación y su espesor disminuye.
2. En el equipo: La pestaña queda más delgada que el mínimo. La galga marca espesor menor al mínimo.
3. General: El eje se guía con una pestaña de espesor menor al mínimo.</t>
  </si>
  <si>
    <t>1. Local: La boquilla de engrase de la pestaña se obstruye con grasa endurecida y no lubrica el contacto con el riel.
2. En el equipo: La pestaña se desgasta más rápido. La galga marca espesor menor al mínimo.
3. General: El eje se guía con una pestaña de espesor menor al mínimo.</t>
  </si>
  <si>
    <t>No recorre curvas de radio 90 m mínimo. La función se pierde por completo: no se cumple ningún punto del estándar. Estándar: con radio mínimo de 90 m (fabricante: Manual de Mantenimiento DR1227 Plasser &amp; Theurer DIC-40 (WS6761) – p.47). Se verifica con: prueba en curva.</t>
  </si>
  <si>
    <t>Recorre curvas solo de radio mayor a 90 m. Estándar: con radio mínimo de 90 m (fabricante: Manual de Mantenimiento DR1227 Plasser &amp; Theurer DIC-40 (WS6761) – p.47). Se verifica con: prueba en curva.</t>
  </si>
  <si>
    <t>No evita el vuelco de la máquina en izaje. La función se pierde por completo: no se cumple ningún punto del estándar. Estándar: con momento de _____ kN·m (valor por confirmar; fabricante). Se verifica con: prueba funcional.</t>
  </si>
  <si>
    <t>Evita el vuelco de la máquina en izaje con apoyo insuficiente. Estándar: con momento de _____ kN·m (valor por confirmar; fabricante). Se verifica con: prueba funcional.</t>
  </si>
  <si>
    <t>No acopla vehículos. La función se pierde por completo: no se cumple ningún punto del estándar. Estándar: con tracción de _____ kN (valor por confirmar; fabricante). Se verifica con: prueba de acople.</t>
  </si>
  <si>
    <t>1. Local: La cabeza del enganche se traba por un impacto mecánico y no engancha con el otro vehículo.
2. En el equipo: Los dos enganches no se unen al encontrarse. Los vehículos no se enganchan al empujar uno contra otro.
3. General: Los vehículos no quedan acoplados.</t>
  </si>
  <si>
    <t>No hay una condición detectable que avise con anticipación: la cabeza del enganche queda afectada por un evento súbito de impacto. Se detecta con: inspección visual después de cada evento; registro de eventos y alarmas del equipo.</t>
  </si>
  <si>
    <t>1. Local: El mecanismo de acople se traba por pérdida de la película de lubricante y no completa su recorrido.
2. En el equipo: El pestillo no cierra. Los vehículos no se enganchan al empujar uno contra otro.
3. General: Los vehículos no quedan acoplados.</t>
  </si>
  <si>
    <t>Respuesta más lenta o movimiento duro del mecanismo de acople antes de quedar trabado. Se detecta con: prueba funcional; medición de tiempos de ciclo.</t>
  </si>
  <si>
    <t>1. Local: El pestillo del enganche se desgasta al final de su vida útil y no siempre engancha.
2. En el equipo: El acople se completa en algunos intentos. El acople funciona a veces y otras no.
3. General: Los vehículos quedan acoplados de forma incierta.</t>
  </si>
  <si>
    <t>Pérdida progresiva de material del pestillo del enganche hasta acercarse al límite de desgaste. Se detecta con: medición con calibre, galga o micrómetro; inspección visual.</t>
  </si>
  <si>
    <t>Acopla vehículos de forma incompleta. Estándar: con tracción de _____ kN (valor por confirmar; fabricante). Se verifica con: prueba de acople.</t>
  </si>
  <si>
    <t>1. Local: El resorte de enclavamiento se debilita por fatiga y no mantiene el pestillo en posición.
2. En el equipo: El enganche queda con holgura y no confirma el acople. El indicador de acople no confirma y hay holgura.
3. General: Los vehículos quedan acoplados de forma incompleta.</t>
  </si>
  <si>
    <t>Pérdida de altura libre o de carga del resorte de enclavamiento. Se detecta con: medición de altura libre y de carga en banco de pruebas; inspección visual.</t>
  </si>
  <si>
    <t>No mantiene la altura del enganche. La función se pierde por completo: no se cumple ningún punto del estándar. Estándar: entre _____ y _____ mm (valor por confirmar; fabricante). Se verifica con: medición cada 500 h (DR1227 pág. 77).</t>
  </si>
  <si>
    <t>1. Local: El soporte del enganche se rompe por fatiga y el enganche cae.
2. En el equipo: El enganche pierde su altura de referencia. El enganche cae y no centra con el otro vehículo.
3. General: El enganche no se mantiene a la altura requerida y no se puede acoplar.</t>
  </si>
  <si>
    <t>Fisura, deformación o marca de rotura incipiente del soporte del enganche. Se detecta con: inspección visual y ensayos no destructivos (líquidos penetrantes o partículas magnéticas).</t>
  </si>
  <si>
    <t>Mantiene la altura del enganche por debajo de la nominal. Estándar: entre _____ y _____ mm (valor por confirmar; fabricante). Se verifica con: medición cada 500 h (DR1227 pág. 77).</t>
  </si>
  <si>
    <t>1. Local: El resorte de suspensión del enganche se asienta por fatiga y pierde altura libre.
2. En el equipo: El enganche baja respecto a su altura nominal. El enganche queda más bajo que el del otro vehículo.
3. General: La altura del enganche queda por debajo de la nominal y el acople se hace con dificultad.</t>
  </si>
  <si>
    <t>Pérdida progresiva de material del resorte de suspensión del enganche hasta acercarse al límite de desgaste. Se detecta con: medición con calibre, galga o micrómetro; inspección visual.</t>
  </si>
  <si>
    <t>Mantiene la altura del enganche por encima de la nominal. Estándar: entre _____ y _____ mm (valor por confirmar; fabricante). Se verifica con: medición cada 500 h (DR1227 pág. 77).</t>
  </si>
  <si>
    <t>1. Local: El soporte del enganche se desplaza por un impacto mecánico y el enganche queda más alto.
2. En el equipo: El enganche sube respecto a su altura nominal. El enganche queda más alto que el del otro vehículo.
3. General: La altura del enganche queda por encima de la nominal y el acople se hace con dificultad.</t>
  </si>
  <si>
    <t>No hay una condición detectable que avise con anticipación: el soporte del enganche queda afectado por un evento súbito de impacto. Se detecta con: inspección visual después de cada evento; registro de eventos y alarmas del equipo.</t>
  </si>
  <si>
    <t>No remolca trenes de trabajo. La función se pierde por completo: no se cumple ningún punto del estándar. Estándar: hasta _____ t (valor por confirmar; fabricante). Se verifica con: prueba de arrastre.</t>
  </si>
  <si>
    <t>Remolca trenes de trabajo con esfuerzo insuficiente. Estándar: hasta _____ t (valor por confirmar; fabricante). Se verifica con: prueba de arrastre.</t>
  </si>
  <si>
    <t>No suministra aire. La función se pierde por completo: no se cumple ningún punto del estándar. Estándar: de _____ L/min (valor por confirmar; fabricante). Se verifica con: tiempo de llenado de calderines.</t>
  </si>
  <si>
    <t>Suministra aire por debajo del caudal nominal. Estándar: de _____ L/min (valor por confirmar; fabricante). Se verifica con: tiempo de llenado de calderines.</t>
  </si>
  <si>
    <t>No conduce el aceite hidráulico. La función se pierde por completo: no se cumple ningún punto del estándar. Estándar: a presión máxima de _____ bar (valor por confirmar; fabricante: Manual de Mantenimiento DR1227 Plasser &amp; Theurer DIC-40 (WS6761) – p.57). Se verifica con: inspección diaria.</t>
  </si>
  <si>
    <t>1. Local: La manguera hidráulica se revienta por la fatiga de su malla y el aceite sale a chorro.
2. En el equipo: El circuito pierde presión y caudal. Sale aceite a chorro y la presión cae a cero. Además, hay derrame de aceite sobre la vía.
3. General: La máquina no ejecuta los movimientos hidráulicos y queda fuera de servicio.</t>
  </si>
  <si>
    <t>1. Local: La tubería hidráulica se rompe por la vibración y el aceite sale por la rotura.
2. En el equipo: El circuito pierde presión y caudal. Sale aceite a chorro y la presión cae a cero.
3. General: La máquina no ejecuta los movimientos hidráulicos y queda fuera de servicio.</t>
  </si>
  <si>
    <t>Fisura, deformación o marca de rotura incipiente de la tubería hidráulica. Se detecta con: inspección visual y ensayos no destructivos (líquidos penetrantes o partículas magnéticas).</t>
  </si>
  <si>
    <t>Conduce el aceite hidráulico con caudal restringido. Estándar: a presión máxima de _____ bar (valor por confirmar; fabricante: Manual de Mantenimiento DR1227 Plasser &amp; Theurer DIC-40 (WS6761) – p.57). Se verifica con: inspección diaria.</t>
  </si>
  <si>
    <t>1. Local: La manguera hidráulica se aplasta por un impacto mecánico y reduce su sección de paso.
2. En el equipo: El aceite pasa con restricción y se calienta. La máquina trabaja lenta y el aceite se calienta.
3. General: Los movimientos hidráulicos se hacen más lentos.</t>
  </si>
  <si>
    <t>No hay una condición detectable que avise con anticipación: la manguera hidráulica queda afectada por un evento súbito de impacto. Se detecta con: inspección visual después de cada evento; registro de eventos y alarmas del equipo.</t>
  </si>
  <si>
    <t>1. Local: El racor hidráulico se obstruye por suciedad y reduce el paso de aceite.
2. En el equipo: El caudal hacia el actuador baja. La máquina trabaja lenta y el aceite se calienta.
3. General: Los movimientos hidráulicos se hacen más lentos.</t>
  </si>
  <si>
    <t>Aumento de la presión diferencial o caída del caudal por acumulación de suciedad del racor hidráulico. Se detecta con: lectura de manómetros y diferencial de presión; medición de caudal; inspección visual.</t>
  </si>
  <si>
    <t>Conduce el aceite hidráulico con fugas. Estándar: a presión máxima de _____ bar (valor por confirmar; fabricante: Manual de Mantenimiento DR1227 Plasser &amp; Theurer DIC-40 (WS6761) – p.57). Se verifica con: inspección diaria.</t>
  </si>
  <si>
    <t>1. Local: El racor hidráulico se afloja por vibración y deja salir aceite por la unión.
2. En el equipo: Hay goteo de aceite en la conexión. Hay goteo en racores y mangueras.
3. General: El circuito conduce el aceite con fugas y baja el nivel del depósito.</t>
  </si>
  <si>
    <t>Pérdida de apriete, holgura o marcas de testigo desalineadas del racor hidráulico. Se detecta con: control de torque con llave; inspección visual de marcas de testigo.</t>
  </si>
  <si>
    <t>1. Local: La manguera hidráulica se vuelve porosa por el envejecimiento y el aceite suda a través de su pared.
2. En el equipo: Hay goteo de aceite en la manguera. Hay goteo en racores y mangueras.
3. General: El circuito conduce el aceite con fugas y baja el nivel del depósito.</t>
  </si>
  <si>
    <t>Sudoración, humedad, resequedad o rozaduras visibles de la manguera hidráulica. Se detecta con: inspección visual; prueba de estanqueidad.</t>
  </si>
  <si>
    <t>No entrega esfuerzo de tracción. La función se pierde por completo: no se cumple ningún punto del estándar. Estándar: de _____ kN (valor por confirmar; fabricante). Se verifica con: prueba de tracción.</t>
  </si>
  <si>
    <t>1. Local: El motor de tracción se quema por sobrecalentamiento y su devanado se interrumpe.
2. En el equipo: El motor no genera par. El vehículo no se mueve al aplicar tracción.
3. General: El vehículo no entrega esfuerzo de tracción y queda fuera de servicio.</t>
  </si>
  <si>
    <t>Entrega esfuerzo de tracción por debajo del nominal. Estándar: de _____ kN (valor por confirmar; fabricante). Se verifica con: prueba de tracción.</t>
  </si>
  <si>
    <t>1. Local: El disco del embrague se gasta y patina bajo carga.
2. En el equipo: Parte del par del motor se pierde por deslizamiento. El vehículo pierde fuerza en rampas.
3. General: El vehículo entrega un esfuerzo de tracción menor al nominal.</t>
  </si>
  <si>
    <t>1. Local: Las escobillas del motor se desgastan al final de su vida útil y el contacto con el colector es deficiente.
2. En el equipo: El motor recibe menos corriente y genera menos par. El vehículo pierde fuerza en rampas.
3. General: El vehículo entrega un esfuerzo de tracción menor al nominal.</t>
  </si>
  <si>
    <t>No soporta la carga vertical. La función se pierde por completo: no se cumple ningún punto del estándar. Estándar: hasta _____ t (valor por confirmar; fabricante). Se verifica con: pesaje.</t>
  </si>
  <si>
    <t>Soporta la carga vertical con altura de caja menor a la nominal. Estándar: hasta _____ t (valor por confirmar; fabricante). Se verifica con: pesaje.</t>
  </si>
  <si>
    <t>No transmite el par motriz. La función se pierde por completo: no se cumple ningún punto del estándar. Estándar: hasta _____ N·m (valor por confirmar; fabricante). Se verifica con: prueba de tracción.</t>
  </si>
  <si>
    <t>Transmite el par motriz con par menor al requerido. Estándar: hasta _____ N·m (valor por confirmar; fabricante). Se verifica con: prueba de tracción.</t>
  </si>
  <si>
    <t>No eleva las cargas. La función se pierde por completo: no se cumple ningún punto del estándar. Estándar: con momento de _____ kN·m (valor por confirmar; fabricante). Se verifica con: placa / diagrama de cargas.</t>
  </si>
  <si>
    <t>1. Local: La bomba hidráulica de la grúa se traba (se gripa) porque el aceite contaminado daña sus superficies internas.
2. En el equipo: La bomba no mueve aceite hacia el circuito de elevación. La pluma no levanta la carga al accionar el mando.
3. General: La grúa no eleva la carga.</t>
  </si>
  <si>
    <t>Movimiento duro, ruido o calentamiento anormal de la bomba hidráulica de la grúa antes de trabarse. Se detecta con: análisis de vibraciones; termografía; análisis de partículas en el aceite.</t>
  </si>
  <si>
    <t>Eleva las cargas por debajo de la capacidad nominal. Estándar: con momento de _____ kN·m (valor por confirmar; fabricante). Se verifica con: placa / diagrama de cargas.</t>
  </si>
  <si>
    <t>1. Local: El resorte de la válvula de alivio se asienta y la válvula abre a una presión menor a la de trabajo.
2. En el equipo: Parte del aceite se desvía al tanque. La grúa levanta menos de lo previsto.
3. General: La grúa eleva por debajo de su capacidad nominal.</t>
  </si>
  <si>
    <t>1. Local: El sello del cilindro se desgasta al final de su vida útil y deja pasar aceite entre cámaras.
2. En el equipo: El cilindro pierde fuerza de elevación. La grúa levanta menos de lo previsto.
3. General: La grúa eleva por debajo de su capacidad nominal.</t>
  </si>
  <si>
    <t>Sudoración, humedad, resequedad o rozaduras visibles del sello del cilindro. Se detecta con: inspección visual; prueba de estanqueidad.</t>
  </si>
  <si>
    <t>Eleva las cargas por encima de la capacidad nominal. Estándar: con momento de _____ kN·m (valor por confirmar; fabricante). Se verifica con: placa / diagrama de cargas.</t>
  </si>
  <si>
    <t>1. Local: El limitador de carga se descalibra por deriva y no detecta que se alcanzó el límite.
2. En el equipo: La grúa continúa elevando sin alarma ni corte del movimiento. La grúa levanta más de lo permitido sin alarma; además, la estructura de la grúa soporta una sobrecarga.
3. General: La grúa eleva por encima de su capacidad nominal.</t>
  </si>
  <si>
    <t>Deriva del limitador de carga frente al valor patrón, con lecturas o ajustes que se van corriendo. Se detecta con: verificación contra patrón calibrado; lectura de parámetros; medición de alineación o vibración.</t>
  </si>
  <si>
    <t>Presuriza los cilindros de freno con una presión que oscila fuera del rango de 3,7 a 3,9 bar. Estándar: entre 3,7 y 3,9 bar (norma: UIC 540). Se verifica con: manómetro en toma de prueba.</t>
  </si>
  <si>
    <t>No inmoviliza la máquina estacionada. La función se pierde por completo: no se cumple ningún punto del estándar. Estándar: en pendiente de _____ % (valor por confirmar; fabricante). Se verifica con: prueba en pendiente.</t>
  </si>
  <si>
    <t>1. Local: El resorte del freno de estacionamiento se rompe por fatiga y no entrega fuerza de aplicación.
2. En el equipo: Las zapatas de estacionamiento no se presionan contra la rueda. La máquina se desplaza estando estacionada.
3. General: La máquina no queda inmovilizada cuando está estacionada.</t>
  </si>
  <si>
    <t>Pérdida de altura libre o de carga del resorte del freno de estacionamiento. Se detecta con: medición de altura libre y de carga en banco de pruebas; inspección visual.</t>
  </si>
  <si>
    <t>1. Local: El vástago del cilindro de estacionamiento se corroe y el cilindro se traba sin completar su recorrido.
2. En el equipo: El freno de estacionamiento no se aplica por completo. La máquina se desplaza estando estacionada.
3. General: La máquina no queda inmovilizada cuando está estacionada.</t>
  </si>
  <si>
    <t>Movimiento duro, ruido o calentamiento anormal del cilindro de estacionamiento antes de trabarse. Se detecta con: análisis de vibraciones; termografía; análisis de partículas en el aceite.</t>
  </si>
  <si>
    <t>Inmoviliza la máquina estacionada con fuerza insuficiente. Estándar: en pendiente de _____ % (valor por confirmar; fabricante). Se verifica con: prueba en pendiente.</t>
  </si>
  <si>
    <t>1. Local: Las zapatas de estacionamiento se desgastan al final de su vida útil y pierden fricción.
2. En el equipo: La fuerza de retención sobre la rueda es menor a la necesaria. La máquina se mueve en rampa.
3. General: La máquina queda retenida con una fuerza inferior a la requerida.</t>
  </si>
  <si>
    <t>Pérdida progresiva de material de las zapatas de estacionamiento hasta acercarse al límite de desgaste. Se detecta con: medición con calibre, galga o micrómetro; inspección visual.</t>
  </si>
  <si>
    <t>No frena la locomotora. La función se pierde por completo: no se cumple ningún punto del estándar. Estándar: en una distancia máxima de _____ m (valor por confirmar; fabricante). Se verifica con: prueba de frenado.</t>
  </si>
  <si>
    <t>1. Local: La válvula del freno directo se atasca por contaminación y no deja pasar aire a los cilindros.
2. En el equipo: Los cilindros de freno no se presurizan. Al aplicar el freno directo el manómetro no sube.
3. General: La locomotora no se frena con su freno directo.</t>
  </si>
  <si>
    <t>Respuesta más lenta o movimiento duro de la válvula del freno directo antes de quedar trabado. Se detecta con: prueba funcional; medición de tiempos de ciclo.</t>
  </si>
  <si>
    <t>1. Local: La válvula del freno directo se pega por la grasa endurecida y responde con retardo o no responde.
2. En el equipo: Los cilindros se presurizan tarde o no se presurizan. El freno responde con retardo y a ratos no responde.
3. General: La locomotora no se frena en cada aplicación.</t>
  </si>
  <si>
    <t>Frena la locomotora con fuerza insuficiente (distancia de frenado mayor a la máxima). Estándar: en una distancia máxima de _____ m (valor por confirmar; fabricante). Se verifica con: prueba de frenado.</t>
  </si>
  <si>
    <t>1. Local: La válvula reductora se descalibra por deriva y entrega una presión menor a la ajustada.
2. En el equipo: Los cilindros de freno quedan con menor presión. El freno es débil y la distancia de parada es larga.
3. General: La locomotora frena con menos fuerza y la distancia de frenado supera la máxima.</t>
  </si>
  <si>
    <t>Deriva de la válvula reductora frente al valor patrón, con lecturas o ajustes que se van corriendo. Se detecta con: verificación contra patrón calibrado; lectura de parámetros; medición de alineación o vibración.</t>
  </si>
  <si>
    <t>1. Local: El sello del cilindro de freno se desgasta al final de su vida útil y deja pasar aire.
2. En el equipo: El cilindro no sostiene la presión de frenado. El freno es débil y la distancia de parada es larga.
3. General: La locomotora frena con menos fuerza y la distancia de frenado supera la máxima.</t>
  </si>
  <si>
    <t>Frena la locomotora con fuerza excesiva (ruedas bloqueadas). Estándar: en una distancia máxima de _____ m (valor por confirmar; fabricante). Se verifica con: prueba de frenado.</t>
  </si>
  <si>
    <t>1. Local: La válvula reductora se atasca por contaminación y entrega más presión de la ajustada.
2. En el equipo: Los cilindros aplican las zapatas con una fuerza mayor a la prevista. Las ruedas patinan al frenar.
3. General: La locomotora frena con una fuerza excesiva y las ruedas se bloquean.</t>
  </si>
  <si>
    <t>Movimiento duro, ruido o calentamiento anormal de la válvula reductora antes de trabarse. Se detecta con: análisis de vibraciones; termografía; análisis de partículas en el aceite.</t>
  </si>
  <si>
    <t>No frena el tren de trabajo. La función se pierde por completo: no se cumple ningún punto del estándar. Estándar: en una distancia máxima de _____ m (valor por confirmar; fabricante). Se verifica con: prueba de frenado.</t>
  </si>
  <si>
    <t>1. Local: La válvula distribuidora se atasca por contaminación y no aplica los cilindros cuando baja la presión del conducto general.
2. En el equipo: Los cilindros no se presurizan. Al reducir el conducto general el freno no actúa.
3. General: El vehículo de trabajo no se frena.</t>
  </si>
  <si>
    <t>Respuesta más lenta o movimiento duro de la válvula distribuidora antes de quedar trabado. Se detecta con: prueba funcional; medición de tiempos de ciclo.</t>
  </si>
  <si>
    <t>1. Local: La manguera del conducto general se rompe por el envejecimiento y el aire se escapa por la rotura.
2. En el equipo: El conducto no mantiene la presión y no transmite la orden de frenado. Al reducir el conducto general el freno no actúa.
3. General: El vehículo de trabajo no se frena.</t>
  </si>
  <si>
    <t>Frena el tren de trabajo con fuerza insuficiente (distancia de frenado mayor a la máxima). Estándar: en una distancia máxima de _____ m (valor por confirmar; fabricante). Se verifica con: prueba de frenado.</t>
  </si>
  <si>
    <t>1. Local: La válvula del maquinista se descalibra por deriva y la reducción de presión del conducto es menor a la ordenada.
2. En el equipo: Los distribuidores aplican los cilindros con menos presión. El freno actúa débil con reducción normal.
3. General: El vehículo de trabajo frena con menos fuerza y la distancia de frenado supera la máxima.</t>
  </si>
  <si>
    <t>Deriva de la válvula del maquinista frente al valor patrón, con lecturas o ajustes que se van corriendo. Se detecta con: verificación contra patrón calibrado; lectura de parámetros; medición de alineación o vibración.</t>
  </si>
  <si>
    <t>1. Local: El distribuidor se pega por la grasa endurecida y responde con retardo y de forma desigual.
2. En el equipo: Los cilindros se presurizan de forma irregular. El freno automático actúa de forma irregular.
3. General: El vehículo de trabajo frena con menos fuerza y la distancia de frenado supera la máxima.</t>
  </si>
  <si>
    <t>Respuesta más lenta o movimiento duro del distribuidor antes de quedar trabado. Se detecta con: prueba funcional; medición de tiempos de ciclo.</t>
  </si>
  <si>
    <t>No acciona los cambios. La función se pierde por completo: no se cumple ningún punto del estándar. Estándar: con presión de mando de _____ bar (valor por confirmar; fabricante). Se verifica con: manómetro.</t>
  </si>
  <si>
    <t>1. Local: El cilindro neumático de cambios se traba por corrosión y no mueve la palanca de la caja.
2. En el equipo: La caja no cambia de marcha. La palanca de cambios no responde y no entra la marcha.
3. General: La máquina no puede cambiar de marcha.</t>
  </si>
  <si>
    <t>Movimiento duro, ruido o calentamiento anormal del cilindro neumático de cambios antes de trabarse. Se detecta con: análisis de vibraciones; termografía; análisis de partículas en el aceite.</t>
  </si>
  <si>
    <t>1. Local: La electroválvula de cambios se quema por sobretensión y su bobina se interrumpe.
2. En el equipo: El aire de mando no llega al cilindro de cambios. La palanca de cambios no responde y no entra la marcha.
3. General: La máquina no puede cambiar de marcha.</t>
  </si>
  <si>
    <t>No hay una condición detectable que avise con anticipación: la electroválvula de cambios deja de funcionar de forma súbita. Se detecta con: prueba funcional programada; registro de eventos y alarmas del equipo.</t>
  </si>
  <si>
    <t>1. Local: La electroválvula de cambios se pega por suciedad y responde de forma irregular.
2. En el equipo: El aire de mando llega al cilindro solo en algunos accionamientos. El cambio entra a veces y a veces no.
3. General: La máquina cambia de marcha de forma intermitente.</t>
  </si>
  <si>
    <t>Respuesta más lenta o movimiento duro de la electroválvula de cambios antes de quedar trabado. Se detecta con: prueba funcional; medición de tiempos de ciclo.</t>
  </si>
  <si>
    <t>Acciona los cambios con respuesta lenta. Estándar: con presión de mando de _____ bar (valor por confirmar; fabricante). Se verifica con: manómetro.</t>
  </si>
  <si>
    <t>1. Local: La línea neumática de cambios pierde presión porque un racor está flojo.
2. En el equipo: El cilindro de cambios recibe aire con menos presión. El cambio de marcha tarda más de lo normal.
3. General: El cambio de marcha se hace con respuesta lenta.</t>
  </si>
  <si>
    <t>Caída gradual de la capacidad, el nivel o la presión de la línea neumática de cambios. Se detecta con: prueba de carga o de capacidad; lectura de nivel, tensión o presión.</t>
  </si>
  <si>
    <t>No transporta al personal. La función se pierde por completo: no se cumple ningún punto del estándar. Estándar: hasta _____ personas (valor por confirmar; fabricante). Se verifica con: prueba de arrastre.</t>
  </si>
  <si>
    <t>1. Local: El bastidor de la dresina se fisura por fatiga del material y pierde rigidez.
2. En el equipo: La plataforma de personal no se mantiene firme sobre el bastidor. La dresina no puede cargar al personal.
3. General: La dresina no transporta al personal.</t>
  </si>
  <si>
    <t>Fisura, deformación o marca de rotura incipiente del bastidor de la dresina. Se detecta con: inspección visual y ensayos no destructivos (líquidos penetrantes o partículas magnéticas).</t>
  </si>
  <si>
    <t>1. Local: El piso de la plataforma se corroe y pierde espesor, de modo que no soporta el peso del personal.
2. En el equipo: El piso se deforma o se perfora en las zonas corroídas. La dresina no puede cargar al personal.
3. General: La dresina no transporta al personal.</t>
  </si>
  <si>
    <t>Óxido, picaduras o sulfatación visibles del piso de la plataforma de personal. Se detecta con: inspección visual; medición de resistencia de contacto o de tensión en bornes.</t>
  </si>
  <si>
    <t>Transporta al personal con capacidad reducida. Estándar: hasta _____ personas (valor por confirmar; fabricante). Se verifica con: prueba de arrastre.</t>
  </si>
  <si>
    <t>1. Local: El asiento de la plataforma se rompe por fatiga del material y queda inutilizable.
2. En el equipo: La plataforma tiene menos plazas disponibles. Se reduce el número de personas que pueden viajar en la dresina.
3. General: La dresina transporta menos personal del requerido.</t>
  </si>
  <si>
    <t>Fisura, deformación o marca de rotura incipiente de los asientos de la plataforma de personal. Se detecta con: inspección visual y ensayos no destructivos (líquidos penetrantes o partículas magnéticas).</t>
  </si>
  <si>
    <t>1. Local: La baranda de la plataforma se afloja por la vibración y deja de ofrecer apoyo firme.
2. En el equipo: Una parte de la plataforma queda sin baranda utilizable. Se reduce el número de personas que pueden viajar en la dresina.
3. General: La dresina transporta menos personal del requerido.</t>
  </si>
  <si>
    <t>Pérdida de apriete, holgura o marcas de testigo desalineadas de las barandas de la plataforma de personal. Se detecta con: control de torque con llave; inspección visual de marcas de testigo.</t>
  </si>
  <si>
    <t>No genera corriente de carga. La función se pierde por completo: no se cumple ningún punto del estándar. Estándar: de _____ A (valor por confirmar; fabricante). Se verifica con: voltímetro.</t>
  </si>
  <si>
    <t>1. Local: El bobinado del alternador se quema por sobrecalentamiento y se interrumpe.
2. En el equipo: El alternador no produce corriente. No hay carga: el voltímetro marca la tensión de la batería.
3. General: La batería no se recarga y se descarga hasta que el equipo no arranca.</t>
  </si>
  <si>
    <t>Aumento de temperatura, de consumo de corriente o caída de la resistencia de aislamiento del bobinado del alternador. Se detecta con: termografía; medición de corriente; prueba de aislamiento (megóhmetro).</t>
  </si>
  <si>
    <t>1. Local: La correa del alternador se rompe por fatiga y el motor deja de arrastrar al alternador.
2. En el equipo: El alternador no gira. No hay carga: el voltímetro marca la tensión de la batería.
3. General: La batería no se recarga y se descarga hasta que el equipo no arranca.</t>
  </si>
  <si>
    <t>Grietas, resequedad, abultamientos o rozaduras visibles de la correa del alternador. Se detecta con: inspección visual.</t>
  </si>
  <si>
    <t>Genera corriente de carga por debajo de la nominal. Estándar: de _____ A (valor por confirmar; fabricante). Se verifica con: voltímetro.</t>
  </si>
  <si>
    <t>1. Local: Las escobillas del alternador se desgastan al final de su vida útil y el contacto con el rotor es deficiente.
2. En el equipo: El alternador entrega menos corriente de carga. La batería no recibe suficiente carga.
3. General: La batería se descarga y el equipo no arranca.</t>
  </si>
  <si>
    <t>Pérdida progresiva de material de las escobillas del alternador hasta acercarse al límite de desgaste. Se detecta con: medición con calibre, galga o micrómetro; inspección visual.</t>
  </si>
  <si>
    <t>1. Local: La correa del alternador se afloja por desgaste y patina sobre la polea.
2. En el equipo: El alternador gira a menos velocidad y entrega menos corriente. La batería no recibe suficiente carga.
3. General: La batería se descarga y el equipo no arranca.</t>
  </si>
  <si>
    <t>Tensión de la correa del alternador por debajo del valor especificado, con chirrido o deslizamiento. Se detecta con: medición de la tensión de la correa; inspección visual del desgaste.</t>
  </si>
  <si>
    <t>Genera corriente de carga con tensión mayor a la de regulación. Estándar: de _____ A (valor por confirmar; fabricante). Se verifica con: voltímetro.</t>
  </si>
  <si>
    <t>1. Local: El regulador de tensión se descalibra por deriva y no limita la tensión del alternador.
2. En el equipo: La tensión del sistema sube por encima de la tensión de regulación. El voltaje sube y se queman lámparas. Además, los equipos electrónicos reciben sobretensión y se dañan.
3. General: La batería se sobrecarga y los equipos alimentados reciben energía por encima de lo previsto.</t>
  </si>
  <si>
    <t>No transmite la fuerza a zapatas. La función se pierde por completo: no se cumple ningún punto del estándar. Estándar: con juego de _____ mm (valor por confirmar; fabricante). Se verifica con: medición de juego.</t>
  </si>
  <si>
    <t>Transmite la fuerza a zapatas con holgura excesiva. Estándar: con juego de _____ mm (valor por confirmar; fabricante). Se verifica con: medición de juego.</t>
  </si>
  <si>
    <t>No transmite potencia auxiliar. La función se pierde por completo: no se cumple ningún punto del estándar. Estándar: hasta _____ kW (valor por confirmar; fabricante). Se verifica con: prueba funcional.</t>
  </si>
  <si>
    <t>1. Local: El eje de la toma de fuerza se rompe por fatiga y se separa del accionamiento.
2. En el equipo: El movimiento del motor no llega a los equipos auxiliares. Los equipos auxiliares no reciben movimiento.
3. General: La máquina no transmite potencia auxiliar.</t>
  </si>
  <si>
    <t>Fisura, deformación o marca de rotura incipiente del eje de toma de fuerza. Se detecta con: inspección visual y ensayos no destructivos (líquidos penetrantes o partículas magnéticas).</t>
  </si>
  <si>
    <t>1. Local: El cilindro neumático del embrague de la toma de fuerza se traba y el embrague queda desacoplado.
2. En el equipo: La toma de fuerza no se acopla al motor. Los equipos auxiliares no reciben movimiento.
3. General: La máquina no transmite potencia auxiliar.</t>
  </si>
  <si>
    <t>Respuesta más lenta o movimiento duro del embrague neumático de la toma de fuerza antes de quedar trabado. Se detecta con: prueba funcional; medición de tiempos de ciclo.</t>
  </si>
  <si>
    <t>Transmite potencia auxiliar por debajo de la requerida. Estándar: hasta _____ kW (valor por confirmar; fabricante). Se verifica con: prueba funcional.</t>
  </si>
  <si>
    <t>1. Local: Los discos del embrague se desgastan al final de su vida útil y patinan.
2. En el equipo: Parte de la potencia se pierde por deslizamiento y el embrague se calienta. El auxiliar trabaja lento y el embrague se calienta.
3. General: La máquina transmite menos potencia auxiliar de la requerida.</t>
  </si>
  <si>
    <t>No arranca el motor diésel. La función se pierde por completo: no se cumple ningún punto del estándar. Estándar: en un máximo de _____ s (valor por confirmar; fabricante). Se verifica con: prueba de arranque / corriente del motor de arranque.</t>
  </si>
  <si>
    <t>1. Local: El motor de arranque se quema por una sobrecorriente y su bobinado se interrumpe.
2. En el equipo: El motor de arranque no gira. Al dar contacto el motor de arranque no gira.
3. General: El motor diésel no arranca.</t>
  </si>
  <si>
    <t>No hay una condición detectable que avise con anticipación: el motor de arranque deja de funcionar de forma súbita. Se detecta con: prueba funcional programada; registro de eventos y alarmas del equipo.</t>
  </si>
  <si>
    <t>1. Local: Los contactos del solenoide de arranque se sueldan entre sí y el solenoide queda pegado.
2. En el equipo: El solenoide no libera o no acciona el piñón del motor de arranque. Al dar contacto el motor de arranque no gira.
3. General: El motor diésel no arranca.</t>
  </si>
  <si>
    <t>Respuesta más lenta o movimiento duro del solenoide de arranque antes de quedar trabado. Se detecta con: prueba funcional; medición de tiempos de ciclo.</t>
  </si>
  <si>
    <t>1. Local: El piñón de arranque se desgasta al final de su vida útil y no engrana con la corona del volante.
2. En el equipo: El motor de arranque gira sin mover el motor diésel. Al dar contacto el motor de arranque no gira.
3. General: El motor diésel no arranca.</t>
  </si>
  <si>
    <t>Pérdida progresiva de material del piñón de arranque hasta acercarse al límite de desgaste. Se detecta con: medición con calibre, galga o micrómetro; inspección visual.</t>
  </si>
  <si>
    <t>1. Local: Los contactos del solenoide se pican por el arco eléctrico y conducen de forma intermitente.
2. En el equipo: El motor de arranque recibe corriente en algunos intentos. El arranque funciona a veces y otras no.
3. General: El motor diésel arranca de forma intermitente.</t>
  </si>
  <si>
    <t>No hay una condición detectable que avise con anticipación: los contactos del solenoide dejan de funcionar de forma súbita. Se detecta con: prueba funcional programada; registro de eventos y alarmas del equipo.</t>
  </si>
  <si>
    <t>Arranca el motor diésel con giro lento. Estándar: en un máximo de _____ s (valor por confirmar; fabricante). Se verifica con: prueba de arranque / corriente del motor de arranque.</t>
  </si>
  <si>
    <t>1. Local: Las escobillas del motor de arranque se desgastan al final de su vida útil y el contacto con el colector es deficiente.
2. En el equipo: El motor de arranque gira con menos par. El motor gira lento y tarda en arrancar.
3. General: El motor diésel arranca con giro lento y supera el tiempo máximo de arranque.</t>
  </si>
  <si>
    <t>Pérdida progresiva de material de las escobillas del motor de arranque hasta acercarse al límite de desgaste. Se detecta con: medición con calibre, galga o micrómetro; inspección visual.</t>
  </si>
  <si>
    <t>1. Local: La batería de arranque se degrada al final de su vida útil y su tensión cae al demandar corriente.
2. En el equipo: El motor de arranque recibe menos tensión. El motor gira lento y tarda en arrancar.
3. General: El motor diésel arranca con giro lento y supera el tiempo máximo de arranque.</t>
  </si>
  <si>
    <t>Caída gradual de la tensión y de la capacidad de la batería de arranque, con tiempos de carga más largos. Se detecta con: prueba de carga; medición de tensión en reposo y bajo carga.</t>
  </si>
  <si>
    <t>No transporta material de vía. La función se pierde por completo: no se cumple ningún punto del estándar. Estándar: hasta _____ t (valor por confirmar; fabricante). Se verifica con: rótulo.</t>
  </si>
  <si>
    <t>1. Local: La estructura de la plataforma se fractura por fatiga y pierde capacidad resistente.
2. En el equipo: La plataforma no sostiene el material de vía. La unidad no sostiene ni descarga el material.
3. General: La unidad no transporta el material de vía.</t>
  </si>
  <si>
    <t>1. Local: La compuerta de la tolva se traba por corrosión y no abre ni cierra.
2. En el equipo: El material no se retiene ni se descarga. La unidad no sostiene ni descarga el material.
3. General: La unidad no transporta el material de vía.</t>
  </si>
  <si>
    <t>Respuesta más lenta o movimiento duro de la compuerta de la tolva antes de quedar trabado. Se detecta con: prueba funcional; medición de tiempos de ciclo.</t>
  </si>
  <si>
    <t>Transporta material de vía con capacidad reducida. Estándar: hasta _____ t (valor por confirmar; fabricante). Se verifica con: rótulo.</t>
  </si>
  <si>
    <t>1. Local: El piso de la plataforma se deforma por sobrecarga y pierde capacidad de soporte.
2. En el equipo: La plataforma admite menos carga que la de diseño. La unidad viaja con carga menor a la prevista.
3. General: La unidad transporta menos material de vía del requerido.</t>
  </si>
  <si>
    <t>Deformación visible o pérdida progresiva de la geometría del piso de la plataforma. Se detecta con: inspección visual; medición de geometría con galga o plantilla.</t>
  </si>
  <si>
    <t>No suministra agua a presión. La función se pierde por completo: no se cumple ningún punto del estándar. Estándar: de _____ bar (valor por confirmar; fabricante). Se verifica con: manómetro.</t>
  </si>
  <si>
    <t>1. Local: La bomba de agua se traba (se gripa) por el desgaste de su sello, que deja entrar agua al cojinete.
2. En el equipo: La bomba no mueve agua. No sale agua al abrir la válvula.
3. General: La unidad no suministra agua a presión.</t>
  </si>
  <si>
    <t>Movimiento duro, ruido o calentamiento anormal de la bomba de agua antes de trabarse. Se detecta con: análisis de vibraciones; termografía; análisis de partículas en el aceite.</t>
  </si>
  <si>
    <t>1. Local: La manguera de agua se revienta por el envejecimiento y el agua sale por la rotura.
2. En el equipo: El circuito pierde presión. No sale agua al abrir la válvula.
3. General: La unidad no suministra agua a presión.</t>
  </si>
  <si>
    <t>Grietas, resequedad, abultamientos o rozaduras visibles de la manguera de agua. Se detecta con: inspección visual.</t>
  </si>
  <si>
    <t>Suministra agua a presión con presión menor a la requerida. Estándar: de _____ bar (valor por confirmar; fabricante). Se verifica con: manómetro.</t>
  </si>
  <si>
    <t>1. Local: El filtro de agua se obstruye con sedimentos y restringe el caudal.
2. En el equipo: La bomba aspira menos agua y la presión de salida baja. El chorro no alcanza la distancia requerida.
3. General: La unidad suministra agua con presión menor a la requerida.</t>
  </si>
  <si>
    <t>Aumento de la presión diferencial o caída del caudal por acumulación de suciedad del filtro de agua. Se detecta con: lectura de manómetros y diferencial de presión; medición de caudal; inspección visual.</t>
  </si>
  <si>
    <t>1. Local: El impulsor de la bomba se desgasta por abrasión y pierde eficiencia.
2. En el equipo: La bomba genera menos presión. El chorro no alcanza la distancia requerida.
3. General: La unidad suministra agua con presión menor a la requerida.</t>
  </si>
  <si>
    <t>Pérdida progresiva de material del impulsor de la bomba hasta acercarse al límite de desgaste. Se detecta con: medición con calibre, galga o micrómetro; inspección visual.</t>
  </si>
  <si>
    <t>No almacena agua contra incendio. La función se pierde por completo: no se cumple ningún punto del estándar. Estándar: de 3.000 L (fuente técnica: Harsco Rail). Se verifica con: placa.</t>
  </si>
  <si>
    <t>1. Local: El tanque de agua se rompe por la corrosión y el agua sale por la rotura.
2. En el equipo: El tanque pierde su contenido. El tanque está vacío o con fuga evidente.
3. General: La unidad no almacena agua contra incendio.</t>
  </si>
  <si>
    <t>Fisura, deformación o marca de rotura incipiente del tanque de agua. Se detecta con: inspección visual y ensayos no destructivos (líquidos penetrantes o partículas magnéticas).</t>
  </si>
  <si>
    <t>Almacena agua contra incendio con volumen menor a 3.000 L. Estándar: de 3.000 L (fuente técnica: Harsco Rail). Se verifica con: placa.</t>
  </si>
  <si>
    <t>1. Local: La soldadura del tanque se agrieta por la corrosión y el agua sale lentamente.
2. En el equipo: El nivel del tanque baja. El visor de nivel muestra menos agua que la requerida.
3. General: La unidad almacena menos de 3.000 L de agua contra incendio.</t>
  </si>
  <si>
    <t>Fisura, deformación o marca de rotura incipiente de la soldadura del tanque. Se detecta con: inspección visual y ensayos no destructivos (líquidos penetrantes o partículas magnéticas).</t>
  </si>
  <si>
    <t>1. Local: La válvula de llenado queda abierta porque su asiento está marcado y no sella.
2. En el equipo: El agua del tanque retorna o se escapa por la válvula. El visor de nivel muestra menos agua que la requerida.
3. General: La unidad almacena menos de 3.000 L de agua contra incendio.</t>
  </si>
  <si>
    <t>Presión de apertura por debajo (o por encima) del tarado, descargas frecuentes o fuga en el asiento de la válvula de llenado. Se detecta con: prueba de tarado en banco; inspección del asiento; lectura de presión.</t>
  </si>
  <si>
    <t>No almacena el aceite hidráulico. La función se pierde por completo: no se cumple ningún punto del estándar. Estándar: hasta _____ L (valor por confirmar; fabricante). Se verifica con: mirilla de nivel.</t>
  </si>
  <si>
    <t>Almacena el aceite hidráulico con nivel por debajo del mínimo. Estándar: hasta _____ L (valor por confirmar; fabricante). Se verifica con: mirilla de nivel.</t>
  </si>
  <si>
    <t>No suministra aceite. La función se pierde por completo: no se cumple ningún punto del estándar. Estándar: de _____ L/min (valor por confirmar; fabricante). Se verifica con: prueba funcional de la bomba de emergencia.</t>
  </si>
  <si>
    <t>Suministra aceite por debajo del requerido en emergencia. Estándar: de _____ L/min (valor por confirmar; fabricante). Se verifica con: prueba funcional de la bomba de emergencia.</t>
  </si>
  <si>
    <t>No enfría el aire de cabina. La función se pierde por completo: no se cumple ningún punto del estándar. Estándar: a temperatura de consigna de _____ °C (valor por confirmar; fabricante). Se verifica con: protocolo C.E8.92.205 Equipo HVAC cabina.</t>
  </si>
  <si>
    <t>1. Local: El compresor del aire acondicionado se traba (se gripa) por falta de aceite.
2. En el equipo: El refrigerante no circula. El aire de la cabina no enfría.
3. General: La cabina no se enfría.</t>
  </si>
  <si>
    <t>1. Local: El fusible del aire acondicionado se abre por una sobrecorriente y corta la alimentación del sistema.
2. En el equipo: El compresor y el ventilador no reciben energía. El aire de la cabina no enfría.
3. General: La cabina no se enfría.</t>
  </si>
  <si>
    <t>No hay una condición detectable que avise con anticipación: el fusible del aire acondicionado deja de funcionar de forma súbita. Se detecta con: prueba funcional programada; registro de eventos y alarmas del equipo.</t>
  </si>
  <si>
    <t>Enfría el aire de cabina por debajo de lo requerido. Estándar: a temperatura de consigna de _____ °C (valor por confirmar; fabricante). Se verifica con: protocolo C.E8.92.205 Equipo HVAC cabina.</t>
  </si>
  <si>
    <t>1. Local: El condensador se obstruye con suciedad y disipa menos calor del refrigerante.
2. En el equipo: La presión de condensación sube y el sistema enfría menos. La cabina enfría poco.
3. General: La cabina se enfría por debajo de lo requerido.</t>
  </si>
  <si>
    <t>Aumento de la presión diferencial o caída del caudal por acumulación de suciedad del condensador. Se detecta con: lectura de manómetros y diferencial de presión; medición de caudal; inspección visual.</t>
  </si>
  <si>
    <t>1. Local: El filtro de aire se satura con polvo y restringe el flujo hacia la cabina.
2. En el equipo: Pasa menos aire por el evaporador. La cabina enfría poco.
3. General: La cabina se enfría por debajo de lo requerido.</t>
  </si>
  <si>
    <t>1. Local: El circuito de refrigerante pierde carga por una fuga.
2. En el equipo: El evaporador recibe menos refrigerante y absorbe menos calor. La cabina enfría poco.
3. General: La cabina se enfría por debajo de lo requerido.</t>
  </si>
  <si>
    <t>Humedad, goteo o pérdida de nivel o de presión alrededor del circuito de refrigerante. Se detecta con: inspección visual; prueba de estanqueidad; lectura de nivel y presión.</t>
  </si>
  <si>
    <t>1. Local: Los contactos del presostato de alta se desgastan y abren y cierran de forma inestable.
2. En el equipo: El compresor se apaga y se enciende sin seguir la presión. El aire acondicionado se apaga y enciende solo.
3. General: La cabina se enfría de forma irregular y por debajo de lo requerido.</t>
  </si>
  <si>
    <t>Lecturas que varían o se pierden al mover o vibrar el conector, con aumento de la resistencia de contacto del presostato de alta. Se detecta con: inspección de conectores; medición de resistencia de contacto; lectura de la señal con equipo de diagnóstico.</t>
  </si>
  <si>
    <t>No extingue los conatos de incendio. La función se pierde por completo: no se cumple ningún punto del estándar. Estándar: con capacidad de _____ L (valor por confirmar; fabricante). Se verifica con: inspección.</t>
  </si>
  <si>
    <t>1. Local: El extintor pierde presión por una fuga y su agente no sale con fuerza.
2. En el equipo: El extintor no descarga cuando se acciona. No se nota en servicio; se descubre en la inspección o en la prueba de descarga.
3. General: El sistema no extingue un conato de incendio.</t>
  </si>
  <si>
    <t>Humedad, goteo o pérdida de nivel o de presión alrededor del extintor. Se detecta con: inspección visual; prueba de estanqueidad; lectura de nivel y presión. Al ser una función oculta no se nota en operación: depende de la inspección o prueba programada.</t>
  </si>
  <si>
    <t>1. Local: La válvula del sistema se traba por corrosión y no abre para descargar el agente.
2. En el equipo: El agente extintor queda retenido. No se nota en servicio; se descubre en la inspección o en la prueba de descarga.
3. General: El sistema no extingue un conato de incendio.</t>
  </si>
  <si>
    <t>Respuesta más lenta o movimiento duro de la válvula del sistema antes de quedar trabado. Se detecta con: prueba funcional; medición de tiempos de ciclo. Al ser una función oculta no se nota en operación: depende de la inspección o prueba programada.</t>
  </si>
  <si>
    <t>1. Local: El detector de incendio se daña por un defecto electrónico y no emite la señal de activación.
2. En el equipo: El sistema no se activa ante la presencia de fuego. No se nota en servicio; se descubre en la inspección o en la prueba de descarga.
3. General: El sistema no extingue un conato de incendio.</t>
  </si>
  <si>
    <t>No hay una condición detectable que avise con anticipación: el detector de incendio deja de funcionar de forma súbita. Se detecta con: prueba funcional programada; registro de eventos y alarmas del equipo. Al ser una función oculta no se nota en operación: depende de la inspección o prueba programada.</t>
  </si>
  <si>
    <t>Extingue los conatos de incendio con descarga insuficiente. Estándar: con capacidad de _____ L (valor por confirmar; fabricante). Se verifica con: inspección.</t>
  </si>
  <si>
    <t>1. Local: La boquilla de descarga se obstruye con polvo y residuos y reduce el paso del agente.
2. En el equipo: El agente sale con menor caudal o en menor área. La inspección muestra presión baja o boquillas parcialmente tapadas.
3. General: El sistema extingue con una descarga insuficiente.</t>
  </si>
  <si>
    <t>Aumento de la presión diferencial o caída del caudal por acumulación de suciedad de la boquilla de descarga. Se detecta con: lectura de manómetros y diferencial de presión; medición de caudal; inspección visual. Al ser una función oculta no se nota en operación: depende de la inspección o prueba programada.</t>
  </si>
  <si>
    <t>1. Local: El agente extintor se degrada por el envejecimiento y pierde su capacidad de extinguir.
2. En el equipo: La descarga tiene menor efecto sobre el fuego. La inspección muestra presión baja o boquillas parcialmente tapadas.
3. General: El sistema extingue con una descarga insuficiente.</t>
  </si>
  <si>
    <t>Caída gradual del rendimiento del agente extintor, con ruido, calentamiento o vibración mayor a la normal. Se detecta con: medición de prestaciones; análisis de vibraciones o termografía. Al ser una función oculta no se nota en operación: depende de la inspección o prueba programada.</t>
  </si>
  <si>
    <t>No retiene el polvo de esmerilado. La función se pierde por completo: no se cumple ningún punto del estándar. Estándar: hasta presión diferencial de _____ Pa (valor por confirmar; fabricante). Se verifica con: manómetro diferencial.</t>
  </si>
  <si>
    <t>1. Local: El motor del ventilador del colector se quema y el ventilador se detiene.
2. En el equipo: El colector no genera succión y el polvo no llega al filtro. Sale polvo visible por las bandejas y el ventilador no funciona.
3. General: El equipo no retiene el polvo de esmerilado y este se dispersa en el entorno.</t>
  </si>
  <si>
    <t>1. Local: La manga filtrante se rompe por desgaste y el polvo atraviesa el filtro.
2. En el equipo: El polvo pasa al aire de salida. Sale polvo visible por las bandejas y el ventilador no funciona.
3. General: El equipo no retiene el polvo de esmerilado y este se dispersa en el entorno.</t>
  </si>
  <si>
    <t>Fisura, deformación o marca de rotura incipiente de la manga filtrante. Se detecta con: inspección visual y ensayos no destructivos (líquidos penetrantes o partículas magnéticas).</t>
  </si>
  <si>
    <t>Retiene el polvo de esmerilado con eficiencia reducida. Estándar: hasta presión diferencial de _____ Pa (valor por confirmar; fabricante). Se verifica con: manómetro diferencial.</t>
  </si>
  <si>
    <t>1. Local: El filtro del colector se satura al final de su vida útil y aumenta la presión diferencial.
2. En el equipo: Pasa menos aire por el colector y se captura menos polvo. Se acumula polvo fuera del colector.
3. General: El equipo retiene el polvo con una eficiencia reducida.</t>
  </si>
  <si>
    <t>Aumento de la presión diferencial o caída del caudal por acumulación de suciedad del filtro del colector. Se detecta con: lectura de manómetros y diferencial de presión; medición de caudal; inspección visual.</t>
  </si>
  <si>
    <t>1. Local: La manga filtrante se desgarra por la abrasión y deja pasar parte del polvo.
2. En el equipo: Parte del polvo atraviesa el filtro. Se acumula polvo fuera del colector.
3. General: El equipo retiene el polvo con una eficiencia reducida.</t>
  </si>
  <si>
    <t>No remueve metal del riel. La función se pierde por completo: no se cumple ningún punto del estándar. Estándar: de _____ mm por pasada (valor por confirmar; fabricante). Se verifica con: medición de perfil.</t>
  </si>
  <si>
    <t>1. Local: El motor de esmerilado se quema por sobrecalentamiento y se detiene.
2. En el equipo: La muela no gira. La muela no gira o se rompe y no se remueve metal.
3. General: El equipo no remueve metal del riel.</t>
  </si>
  <si>
    <t>Aumento de temperatura, de consumo de corriente o caída de la resistencia de aislamiento del motor de esmerilado. Se detecta con: termografía; medición de corriente; prueba de aislamiento (megóhmetro).</t>
  </si>
  <si>
    <t>1. Local: La muela se rompe por el impacto con elementos de la vía.
2. En el equipo: La muela deja de tener superficie abrasiva. La muela no gira o se rompe y no se remueve metal.
3. General: El equipo no remueve metal del riel.</t>
  </si>
  <si>
    <t>No hay una condición detectable que avise con anticipación: la muela queda afectada por un evento súbito de impacto. Se detecta con: inspección visual después de cada evento; registro de eventos y alarmas del equipo.</t>
  </si>
  <si>
    <t>Remueve metal del riel por debajo de lo requerido. Estándar: de _____ mm por pasada (valor por confirmar; fabricante). Se verifica con: medición de perfil.</t>
  </si>
  <si>
    <t>1. Local: La muela se desgasta al final de su vida útil y pierde capacidad de abrasión.
2. En el equipo: Se remueve menos metal en cada pasada. El riel queda con corrugación residual.
3. General: El equipo remueve menos metal del requerido por pasada.</t>
  </si>
  <si>
    <t>Pérdida progresiva de material de la muela hasta acercarse al límite de desgaste. Se detecta con: medición con calibre, galga o micrómetro; inspección visual.</t>
  </si>
  <si>
    <t>1. Local: El sello del cilindro de presión se desgasta y el cilindro no sostiene la fuerza de apoyo de la muela.
2. En el equipo: La muela se apoya con menos fuerza sobre el riel. El riel queda con corrugación residual.
3. General: El equipo remueve menos metal del requerido por pasada.</t>
  </si>
  <si>
    <t>Sudoración, humedad, resequedad o rozaduras visibles del sello del cilindro de presión. Se detecta con: inspección visual; prueba de estanqueidad.</t>
  </si>
  <si>
    <t>1. Local: El variador del motor se vuelve inestable por un defecto electrónico y no mantiene las revoluciones.
2. En el equipo: La muela gira a velocidades variables. El motor del cabezal oscila en revoluciones.
3. General: El equipo remueve menos metal del requerido por pasada y de forma irregular.</t>
  </si>
  <si>
    <t>No hay una condición detectable que avise con anticipación: el variador del motor deja de funcionar de forma súbita. Se detecta con: prueba funcional programada; registro de eventos y alarmas del equipo.</t>
  </si>
  <si>
    <t>Remueve metal del riel por encima de lo requerido. Estándar: de _____ mm por pasada (valor por confirmar; fabricante). Se verifica con: medición de perfil.</t>
  </si>
  <si>
    <t>1. Local: La válvula de presión del cabezal se descalibra por deriva y entrega más presión de apoyo de la muela.
2. En el equipo: La muela presiona con más fuerza sobre el riel y genera más calor. El riel queda con quemaduras azuladas; además, se forma una capa blanca con fisuras en el riel.
3. General: El equipo remueve más metal del requerido por pasada.</t>
  </si>
  <si>
    <t>Deriva de la válvula de presión del cabezal frente al valor patrón, con lecturas o ajustes que se van corriendo. Se detecta con: verificación contra patrón calibrado; lectura de parámetros; medición de alineación o vibración.</t>
  </si>
  <si>
    <t>No gira la muela. La función se pierde por completo: no se cumple ningún punto del estándar. Estándar: a 6.000 rpm (fuente técnica: Harsco Rail). Se verifica con: tacómetro.</t>
  </si>
  <si>
    <t>1. Local: El motor del cabezal se quema por sobrecalentamiento y se detiene.
2. En el equipo: La muela no gira. La muela no gira al accionar el cabezal y no se remueve metal.
3. General: La muela no gira y el esmerilado se suspende.</t>
  </si>
  <si>
    <t>Aumento de temperatura, de consumo de corriente o caída de la resistencia de aislamiento del motor del cabezal. Se detecta con: termografía; medición de corriente; prueba de aislamiento (megóhmetro).</t>
  </si>
  <si>
    <t>1. Local: La correa del cabezal se rompe por fatiga y el motor deja de arrastrar la muela.
2. En el equipo: La muela no gira. La muela no gira al accionar el cabezal y no se remueve metal.
3. General: La muela no gira y el esmerilado se suspende.</t>
  </si>
  <si>
    <t>Grietas, resequedad, abultamientos o rozaduras visibles de la correa del cabezal. Se detecta con: inspección visual.</t>
  </si>
  <si>
    <t>Gira la muela por debajo de 6.000 rpm. Estándar: a 6.000 rpm (fuente técnica: Harsco Rail). Se verifica con: tacómetro.</t>
  </si>
  <si>
    <t>1. Local: La correa del cabezal se afloja por desgaste y patina sobre la polea.
2. En el equipo: La muela recibe menos giro que el del motor. La muela gira más lenta y el esmerilado es pobre.
3. General: La muela gira por debajo de 6.000 rpm y el esmerilado baja de eficiencia.</t>
  </si>
  <si>
    <t>Tensión de la correa del cabezal por debajo del valor especificado, con chirrido o deslizamiento. Se detecta con: medición de la tensión de la correa; inspección visual del desgaste.</t>
  </si>
  <si>
    <t>1. Local: El variador se descalibra por deriva y entrega al motor una frecuencia menor a la ajustada.
2. En el equipo: El motor y la muela giran más despacio. La muela gira más lenta y el esmerilado es pobre.
3. General: La muela gira por debajo de 6.000 rpm y el esmerilado baja de eficiencia.</t>
  </si>
  <si>
    <t>Deriva del variador frente al valor patrón, con lecturas o ajustes que se van corriendo. Se detecta con: verificación contra patrón calibrado; lectura de parámetros; medición de alineación o vibración.</t>
  </si>
  <si>
    <t>Gira la muela por encima de 6.000 rpm. Estándar: a 6.000 rpm (fuente técnica: Harsco Rail). Se verifica con: tacómetro.</t>
  </si>
  <si>
    <t>1. Local: El variador se descalibra por deriva y entrega al motor una frecuencia mayor a la ajustada.
2. En el equipo: El motor y la muela giran más rápido que 6.000 rpm. La muela vibra y suena anormal; además, la muela está sometida a una velocidad mayor a la de diseño.
3. General: La muela gira por encima de 6.000 rpm y se desgasta más rápido.</t>
  </si>
  <si>
    <t>No orienta el cabezal. La función se pierde por completo: no se cumple ningún punto del estándar. Estándar: de 45 (campo) a 75 (trocha) grados (fuente técnica: Harsco Rail). Se verifica con: indicador de ángulo.</t>
  </si>
  <si>
    <t>1. Local: El cilindro de inclinación se bloquea por suciedad y no se mueve.
2. En el equipo: El cabezal no cambia de ángulo. El cabezal no se inclina.
3. General: El equipo no orienta el cabezal.</t>
  </si>
  <si>
    <t>Movimiento duro, ruido o calentamiento anormal del cilindro de inclinación antes de trabarse. Se detecta con: análisis de vibraciones; termografía; análisis de partículas en el aceite.</t>
  </si>
  <si>
    <t>Orienta el cabezal con rango menor al de 45° hacia el lado de campo y 75° hacia el lado de trocha. Estándar: de 45 (campo) a 75 (trocha) grados (fuente técnica: Harsco Rail). Se verifica con: indicador de ángulo.</t>
  </si>
  <si>
    <t>1. Local: El pivote del cabezal se traba por suciedad y limita su giro.
2. En el equipo: El cabezal no alcanza los ángulos extremos. El cabezal no llega a los ángulos extremos.
3. General: El equipo orienta el cabezal con un rango menor al de 45° y 75°.</t>
  </si>
  <si>
    <t>Movimiento duro, ruido o calentamiento anormal del pivote del cabezal antes de trabarse. Se detecta con: análisis de vibraciones; termografía; análisis de partículas en el aceite.</t>
  </si>
  <si>
    <t>1. Local: El sensor de ángulo se descalibra por deriva y entrega una lectura distinta al ángulo real.
2. En el equipo: El control corta el movimiento antes de llegar al ángulo extremo. El cabezal no llega a los ángulos extremos.
3. General: El equipo orienta el cabezal con un rango menor al de 45° y 75°.</t>
  </si>
  <si>
    <t>Deriva del sensor de ángulo frente al valor patrón, con lecturas o ajustes que se van corriendo. Se detecta con: verificación contra patrón calibrado; lectura de parámetros; medición de alineación o vibración.</t>
  </si>
  <si>
    <t>No mide la corrugación del riel. La función se pierde por completo: no se cumple ningún punto del estándar. Estándar: con exactitud de ±_____ mm (valor por confirmar; fabricante). Se verifica con: calibración con patrón.</t>
  </si>
  <si>
    <t>1. Local: El sensor de corrugación se daña por un defecto electrónico y no entrega señal.
2. En el equipo: El equipo no recibe datos de corrugación. No se nota en servicio; se descubre al no tener lectura en el equipo.
3. General: El equipo no mide la corrugación del riel.</t>
  </si>
  <si>
    <t>No hay una condición detectable que avise con anticipación: el sensor de corrugación deja de funcionar de forma súbita. Se detecta con: prueba funcional programada; registro de eventos y alarmas del equipo. Al ser una función oculta no se nota en operación: depende de la inspección o prueba programada.</t>
  </si>
  <si>
    <t>Mide la corrugación del riel con lectura menor a la real. Estándar: con exactitud de ±_____ mm (valor por confirmar; fabricante). Se verifica con: calibración con patrón.</t>
  </si>
  <si>
    <t>1. Local: El sensor de corrugación se descalibra por deriva y entrega valores menores al real.
2. En el equipo: El equipo registra una corrugación inferior a la que existe. Las lecturas están por debajo del valor medido con patrón.
3. General: El equipo mide la corrugación con lectura menor a la real.</t>
  </si>
  <si>
    <t>Deriva del sensor de corrugación frente al valor patrón, con lecturas o ajustes que se van corriendo. Se detecta con: verificación contra patrón calibrado; lectura de parámetros; medición de alineación o vibración. Al ser una función oculta no se nota en operación: depende de la inspección o prueba programada.</t>
  </si>
  <si>
    <t>Mide la corrugación del riel con lectura mayor a la real. Estándar: con exactitud de ±_____ mm (valor por confirmar; fabricante). Se verifica con: calibración con patrón.</t>
  </si>
  <si>
    <t>1. Local: El soporte del sensor se desalinea por vibración y el sensor lee con un ángulo distinto.
2. En el equipo: El sensor registra valores mayores a los reales. Las lecturas están por encima del valor medido con patrón.
3. General: El equipo mide la corrugación con lectura mayor a la real.</t>
  </si>
  <si>
    <t>No mide el perfil del riel. La función se pierde por completo: no se cumple ningún punto del estándar. Estándar: con exactitud de ±_____ mm (valor por confirmar; fabricante). Se verifica con: calibración.</t>
  </si>
  <si>
    <t>1. Local: El sensor de perfil se daña por un defecto electrónico y no entrega señal.
2. En el equipo: El equipo no recibe datos del perfil. No se nota en servicio; se descubre al no tener lectura en el equipo.
3. General: El equipo no mide el perfil del riel.</t>
  </si>
  <si>
    <t>No hay una condición detectable que avise con anticipación: el sensor de perfil deja de funcionar de forma súbita. Se detecta con: prueba funcional programada; registro de eventos y alarmas del equipo. Al ser una función oculta no se nota en operación: depende de la inspección o prueba programada.</t>
  </si>
  <si>
    <t>Mide el perfil del riel con lectura menor a la real. Estándar: con exactitud de ±_____ mm (valor por confirmar; fabricante). Se verifica con: calibración.</t>
  </si>
  <si>
    <t>1. Local: El sensor de perfil se descalibra por deriva y entrega valores menores al real.
2. En el equipo: El equipo registra un perfil distinto al real. Las lecturas están por debajo del valor medido con patrón.
3. General: El equipo mide el perfil del riel con lectura menor a la real.</t>
  </si>
  <si>
    <t>Deriva del sensor de perfil frente al valor patrón, con lecturas o ajustes que se van corriendo. Se detecta con: verificación contra patrón calibrado; lectura de parámetros; medición de alineación o vibración. Al ser una función oculta no se nota en operación: depende de la inspección o prueba programada.</t>
  </si>
  <si>
    <t>Mide el perfil del riel con lectura mayor a la real. Estándar: con exactitud de ±_____ mm (valor por confirmar; fabricante). Se verifica con: calibración.</t>
  </si>
  <si>
    <t>1. Local: El soporte del sensor se desalinea por vibración y el sensor lee con un ángulo distinto.
2. En el equipo: El sensor registra valores mayores a los reales. Las lecturas están por encima del valor medido con patrón.
3. General: El equipo mide el perfil del riel con lectura mayor a la real.</t>
  </si>
  <si>
    <t>No filtra el aire de admisión. La función se pierde por completo: no se cumple ningún punto del estándar. Estándar: con restricción máxima de _____ mbar (valor por confirmar; fabricante). Se verifica con: indicador de mantenimiento del filtro.</t>
  </si>
  <si>
    <t>1. Local: El elemento filtrante se rompe por vibración y deja una abertura sin filtrar.
2. En el equipo: El aire pasa al motor sin filtrar. No se nota en servicio; se descubre en la inspección del elemento filtrante.
3. General: El motor recibe aire con partículas sin retener.</t>
  </si>
  <si>
    <t>Fisura, deformación o marca de rotura incipiente del elemento filtrante. Se detecta con: inspección visual y ensayos no destructivos (líquidos penetrantes o partículas magnéticas). Al ser una función oculta no se nota en operación: depende de la inspección o prueba programada.</t>
  </si>
  <si>
    <t>Filtra el aire de admisión dejando pasar partículas sobre el máximo. Estándar: con restricción máxima de _____ mbar (valor por confirmar; fabricante). Se verifica con: indicador de mantenimiento del filtro.</t>
  </si>
  <si>
    <t>1. Local: El empaque del filtro se desgasta por el envejecimiento y deja pasar aire sin filtrar por el borde.
2. En el equipo: Entran partículas al motor por el borde. El indicador de restricción o el color del humo cambian.
3. General: El motor recibe aire con partículas sobre el máximo permitido.</t>
  </si>
  <si>
    <t>Pérdida progresiva de material del empaque del filtro hasta acercarse al límite de desgaste. Se detecta con: medición con calibre, galga o micrómetro; inspección visual. Al ser una función oculta no se nota en operación: depende de la inspección o prueba programada.</t>
  </si>
  <si>
    <t>1. Local: El elemento filtrante se satura al final de su vida útil y pierde capacidad de retener partículas.
2. En el equipo: Aumenta la restricción y las partículas atraviesan el elemento. El indicador de restricción o el color del humo cambian.
3. General: El motor recibe aire con partículas sobre el máximo permitido.</t>
  </si>
  <si>
    <t>Aumento de la presión diferencial o caída del caudal por acumulación de suciedad del elemento filtrante. Se detecta con: lectura de manómetros y diferencial de presión; medición de caudal; inspección visual. Al ser una función oculta no se nota en operación: depende de la inspección o prueba programada.</t>
  </si>
  <si>
    <t>No disipa el calor del motor. La función se pierde por completo: no se cumple ningún punto del estándar. Estándar: con temperatura máxima del refrigerante de _____ °C (valor por confirmar; fabricante). Se verifica con: termómetro / termografía.</t>
  </si>
  <si>
    <t>1. Local: La bomba de agua del motor se traba (se gripa) por el desgaste de su sello.
2. En el equipo: El refrigerante no circula por el motor. La alarma de temperatura se activa y el motor se apaga.
3. General: El motor no disipa su calor y se detiene.</t>
  </si>
  <si>
    <t>Movimiento duro, ruido o calentamiento anormal de la bomba de agua del motor antes de trabarse. Se detecta con: análisis de vibraciones; termografía; análisis de partículas en el aceite.</t>
  </si>
  <si>
    <t>1. Local: El radiador se rompe por un impacto mecánico y el refrigerante sale por la rotura.
2. En el equipo: El motor pierde refrigerante y no disipa su calor. La alarma de temperatura se activa y el motor se apaga.
3. General: El motor no disipa su calor y se detiene.</t>
  </si>
  <si>
    <t>No hay una condición detectable que avise con anticipación: el radiador queda afectado por un evento súbito de impacto. Se detecta con: inspección visual después de cada evento; registro de eventos y alarmas del equipo.</t>
  </si>
  <si>
    <t>Disipa el calor del motor por debajo de lo requerido. Estándar: con temperatura máxima del refrigerante de _____ °C (valor por confirmar; fabricante). Se verifica con: termómetro / termografía.</t>
  </si>
  <si>
    <t>1. Local: El radiador se tapona con suciedad y disminuye el paso de aire y de refrigerante.
2. En el equipo: El refrigerante cede menos calor. La temperatura del refrigerante supera el valor normal.
3. General: El motor disipa menos calor del requerido y trabaja caliente.</t>
  </si>
  <si>
    <t>Aumento de la presión diferencial o caída del caudal por acumulación de suciedad del radiador. Se detecta con: lectura de manómetros y diferencial de presión; medición de caudal; inspección visual.</t>
  </si>
  <si>
    <t>1. Local: El termostato se atasca por corrosión y no abre para dejar pasar el refrigerante al radiador.
2. En el equipo: El refrigerante no pasa por el radiador. La temperatura del refrigerante supera el valor normal.
3. General: El motor disipa menos calor del requerido y trabaja caliente.</t>
  </si>
  <si>
    <t>1. Local: La correa del ventilador se afloja por desgaste y patina.
2. En el equipo: El ventilador gira a menos velocidad y mueve menos aire. La temperatura del refrigerante supera el valor normal.
3. General: El motor disipa menos calor del requerido y trabaja caliente.</t>
  </si>
  <si>
    <t>Tensión de la correa del ventilador por debajo del valor especificado, con chirrido o deslizamiento. Se detecta con: medición de la tensión de la correa; inspección visual del desgaste.</t>
  </si>
  <si>
    <t>No gira la muela. La función se pierde por completo: no se cumple ningún punto del estándar. Estándar: a _____ rpm (valor por confirmar; fabricante). Se verifica con: tacómetro.</t>
  </si>
  <si>
    <t>1. Local: El motor de amolado se quema por sobrecalentamiento y se detiene.
2. En el equipo: La muela no gira. La muela no gira al accionar el cabezal y no se remueve metal.
3. General: La muela no gira y el esmerilado se suspende.</t>
  </si>
  <si>
    <t>Aumento de temperatura, de consumo de corriente o caída de la resistencia de aislamiento del motor de amolado. Se detecta con: termografía; medición de corriente; prueba de aislamiento (megóhmetro).</t>
  </si>
  <si>
    <t>Gira la muela por debajo de la velocidad requerida. Estándar: a _____ rpm (valor por confirmar; fabricante). Se verifica con: tacómetro.</t>
  </si>
  <si>
    <t>1. Local: La correa de accionamiento se afloja por desgaste y patina sobre la polea.
2. En el equipo: La muela recibe menos giro que el del motor. La muela gira lento y el esmerilado es pobre.
3. General: La muela gira por debajo de la velocidad requerida y el esmerilado baja de eficiencia.</t>
  </si>
  <si>
    <t>Tensión de la correa de accionamiento por debajo del valor especificado, con chirrido o deslizamiento. Se detecta con: medición de la tensión de la correa; inspección visual del desgaste.</t>
  </si>
  <si>
    <t>Gira la muela por encima de la velocidad requerida. Estándar: a _____ rpm (valor por confirmar; fabricante). Se verifica con: tacómetro.</t>
  </si>
  <si>
    <t>1. Local: El variador se descalibra por deriva y entrega al motor una frecuencia mayor a la ajustada.
2. En el equipo: El motor y la muela giran más rápido que lo requerido. La muela vibra y suena anormal; además, la muela está sometida a una velocidad mayor a la de diseño.
3. General: La muela gira por encima de la velocidad requerida y se desgasta más rápido.</t>
  </si>
  <si>
    <t>No circula por la vía. La función se pierde por completo: no se cumple ningún punto del estándar. Estándar: hasta 50 km/h (fabricante: Mercedes-Benz). Se verifica con: ficha / prueba.</t>
  </si>
  <si>
    <t>1. Local: La caja de cambios se bloquea porque un rodamiento se casca y se traba.
2. En el equipo: La caja no transmite el giro. El vehículo no se mueve.
3. General: El vehículo no circula por la vía y queda fuera de servicio.</t>
  </si>
  <si>
    <t>Movimiento duro, ruido o calentamiento anormal de la caja de cambios antes de trabarse. Se detecta con: análisis de vibraciones; termografía; análisis de partículas en el aceite.</t>
  </si>
  <si>
    <t>1. Local: El motor diésel se detiene porque el filtro de combustible se obstruye y no pasa combustible.
2. En el equipo: El motor queda sin combustible. El vehículo no se mueve.
3. General: El vehículo no circula por la vía y queda fuera de servicio.</t>
  </si>
  <si>
    <t>Pérdida de potencia y caída de presión o de caudal en el motor diésel por filtro de combustible obstruido. Se detecta con: lectura de presión y de presión diferencial; inspección del filtro y del circuito.</t>
  </si>
  <si>
    <t>Circula por la vía por debajo de 50 km/h. Estándar: hasta 50 km/h (fabricante: Mercedes-Benz). Se verifica con: ficha / prueba.</t>
  </si>
  <si>
    <t>1. Local: El turbocompresor se desgasta al final de su vida útil y entrega menos aire de sobrealimentación.
2. En el equipo: El motor entrega menos potencia. El vehículo no alcanza la velocidad máxima.
3. General: El vehículo circula por debajo de 50 km/h.</t>
  </si>
  <si>
    <t>1. Local: El disco del embrague se gasta y patina bajo carga.
2. En el equipo: Parte del par del motor se pierde por deslizamiento. El vehículo no alcanza la velocidad máxima.
3. General: El vehículo circula por debajo de 50 km/h.</t>
  </si>
  <si>
    <t>1. Local: El cable del acelerador se desgasta por fricción y transmite el movimiento del pedal con retardo y de forma irregular.
2. En el equipo: El motor recibe órdenes de aceleración irregulares. El vehículo se mueve con tirones.
3. General: El vehículo circula por debajo de 50 km/h y con marcha irregular.</t>
  </si>
  <si>
    <t>Pérdida progresiva de material del cable del acelerador hasta acercarse al límite de desgaste. Se detecta con: medición con calibre, galga o micrómetro; inspección visual.</t>
  </si>
  <si>
    <t>No suministra aceite. La función se pierde por completo: no se cumple ningún punto del estándar. Estándar: de _____ L/min (valor por confirmar; fabricante). Se verifica con: caudalímetro / tiempos de ciclo.</t>
  </si>
  <si>
    <t>Suministra aceite por debajo del caudal nominal. Estándar: de _____ L/min (valor por confirmar; fabricante). Se verifica con: caudalímetro / tiempos de ciclo.</t>
  </si>
  <si>
    <t>No genera presión hidráulica. La función se pierde por completo: no se cumple ningún punto del estándar. Estándar: hasta _____ bar (valor por confirmar; fabricante). Se verifica con: manómetro.</t>
  </si>
  <si>
    <t>Genera presión hidráulica por debajo de la presión de trabajo. Estándar: hasta _____ bar (valor por confirmar; fabricante). Se verifica con: manómetro.</t>
  </si>
  <si>
    <t>Genera presión hidráulica por encima de la presión de trabajo. Estándar: hasta _____ bar (valor por confirmar; fabricante). Se verifica con: manómetro.</t>
  </si>
  <si>
    <t>No soporta la carga sobre carril. La función se pierde por completo: no se cumple ningún punto del estándar. Estándar: hasta _____ t (valor por confirmar; fabricante). Se verifica con: inspección de ruedas guía y cilindros.</t>
  </si>
  <si>
    <t>1. Local: La rueda de guía se fractura por fatiga del material y deja de apoyarse en el riel.
2. En el equipo: El dispositivo de guía pierde su apoyo. El dispositivo de guía cede al bajar sobre el riel.
3. General: El dispositivo no soporta la carga sobre carril.</t>
  </si>
  <si>
    <t>Fisura, deformación o marca de rotura incipiente de la rueda de guía. Se detecta con: inspección visual y ensayos no destructivos (líquidos penetrantes o partículas magnéticas). Al ser una función oculta no se nota en operación: depende de la inspección o prueba programada.</t>
  </si>
  <si>
    <t>Soporta la carga sobre carril por debajo de la nominal. Estándar: hasta _____ t (valor por confirmar; fabricante). Se verifica con: inspección de ruedas guía y cilindros.</t>
  </si>
  <si>
    <t>1. Local: El brazo del dispositivo de guía se deforma por sobrecarga y pierde capacidad resistente.
2. En el equipo: El dispositivo de guía se deforma bajo carga. El dispositivo de guía muestra deformación bajo carga.
3. General: El dispositivo soporta una carga sobre carril menor a la nominal.</t>
  </si>
  <si>
    <t>Deformación visible o pérdida progresiva de la geometría del brazo del dispositivo de guía. Se detecta con: inspección visual; medición de geometría con galga o plantilla. Al ser una función oculta no se nota en operación: depende de la inspección o prueba programada.</t>
  </si>
  <si>
    <t>No guía el vehículo bivial. La función se pierde por completo: no se cumple ningún punto del estándar. Estándar: en trocha de 1.435 mm (fabricante: Mercedes-Benz). Se verifica con: medición entre ruedas guía.</t>
  </si>
  <si>
    <t>1. Local: El brazo de guía se rompe por fatiga del material y se separa del vehículo.
2. En el equipo: Las ruedas de guía pierden su soporte. El vehículo no se mantiene sobre el riel.
3. General: El vehículo bivial no se guía en la trocha de 1.435 mm.</t>
  </si>
  <si>
    <t>Fisura, deformación o marca de rotura incipiente del brazo de guía. Se detecta con: inspección visual y ensayos no destructivos (líquidos penetrantes o partículas magnéticas).</t>
  </si>
  <si>
    <t>Guía el vehículo bivial con trocha menor a 1.435 mm. Estándar: en trocha de 1.435 mm (fabricante: Mercedes-Benz). Se verifica con: medición entre ruedas guía.</t>
  </si>
  <si>
    <t>1. Local: La rueda de guía se desplaza por un impacto mecánico y la trocha de guiado queda menor a 1.435 mm.
2. En el equipo: La rueda de guía roza el lado interior del riel. El vehículo roza la pestaña interior del riel.
3. General: El vehículo bivial se guía con trocha menor a 1.435 mm.</t>
  </si>
  <si>
    <t>No hay una condición detectable que avise con anticipación: la rueda de guía queda afectada por un evento súbito de impacto. Se detecta con: inspección visual después de cada evento; registro de eventos y alarmas del equipo.</t>
  </si>
  <si>
    <t>Guía el vehículo bivial con trocha mayor a 1.435 mm. Estándar: en trocha de 1.435 mm (fabricante: Mercedes-Benz). Se verifica con: medición entre ruedas guía.</t>
  </si>
  <si>
    <t>1. Local: El pasador del brazo de guía se desgasta y el brazo queda desajustado; la trocha de guiado queda mayor a 1.435 mm.
2. En el equipo: La guía queda con holgura lateral sobre el riel. El vehículo se bambolea lateralmente.
3. General: El vehículo bivial se guía con trocha mayor a 1.435 mm.</t>
  </si>
  <si>
    <t>Deriva del brazo de guía frente al valor patrón, con lecturas o ajustes que se van corriendo. Se detecta con: verificación contra patrón calibrado; lectura de parámetros; medición de alineación o vibración.</t>
  </si>
  <si>
    <t>No posiciona el eje guía. La función se pierde por completo: no se cumple ningún punto del estándar. Estándar: con presión de trabajo de _____ bar (valor por confirmar; fabricante). Se verifica con: manómetro.</t>
  </si>
  <si>
    <t>1. Local: El vástago del cilindro del eje guía se corroe y el cilindro se traba.
2. En el equipo: El eje guía no se desplaza hacia arriba ni hacia abajo. El eje guía no baja ni sube.
3. General: El equipo no posiciona el eje guía.</t>
  </si>
  <si>
    <t>Movimiento duro, ruido o calentamiento anormal del cilindro del eje guía antes de trabarse. Se detecta con: análisis de vibraciones; termografía; análisis de partículas en el aceite.</t>
  </si>
  <si>
    <t>1. Local: La válvula direccional se atasca por contaminación y no envía aceite al cilindro del eje guía.
2. En el equipo: El cilindro no recibe presión. El eje guía no baja ni sube.
3. General: El equipo no posiciona el eje guía.</t>
  </si>
  <si>
    <t>Respuesta más lenta o movimiento duro de la válvula direccional antes de quedar trabado. Se detecta con: prueba funcional; medición de tiempos de ciclo.</t>
  </si>
  <si>
    <t>Posiciona el eje guía con cedencia. Estándar: con presión de trabajo de _____ bar (valor por confirmar; fabricante). Se verifica con: manómetro.</t>
  </si>
  <si>
    <t>1. Local: El sello del cilindro se desgasta al final de su vida útil y deja pasar aceite entre cámaras.
2. En el equipo: El cilindro no sostiene su posición. El eje guía baja lentamente solo.
3. General: El equipo posiciona el eje guía, pero este cede con el tiempo.</t>
  </si>
  <si>
    <t>No eleva al personal. La función se pierde por completo: no se cumple ningún punto del estándar. Estándar: hasta _____ kg (valor por confirmar; fabricante). Se verifica con: placa.</t>
  </si>
  <si>
    <t>1. Local: El sello del cilindro de elevación se desgasta y el cilindro se despresuriza.
2. En el equipo: El cilindro no sostiene la presión que eleva la canasta. La canasta no sube o cae.
3. General: El equipo no eleva al personal.</t>
  </si>
  <si>
    <t>Caída gradual de la capacidad, el nivel o la presión del cilindro de elevación. Se detecta con: prueba de carga o de capacidad; lectura de nivel, tensión o presión.</t>
  </si>
  <si>
    <t>1. Local: La válvula de bloqueo queda abierta porque su asiento está marcado y no sella.
2. En el equipo: El aceite del cilindro retorna al tanque. La canasta no sube o cae.
3. General: El equipo no eleva al personal.</t>
  </si>
  <si>
    <t>Presión de apertura por debajo (o por encima) del tarado, descargas frecuentes o fuga en el asiento de la válvula de bloqueo. Se detecta con: prueba de tarado en banco; inspección del asiento; lectura de presión.</t>
  </si>
  <si>
    <t>Eleva al personal con capacidad reducida. Estándar: hasta _____ kg (valor por confirmar; fabricante). Se verifica con: placa.</t>
  </si>
  <si>
    <t>1. Local: Las holguras internas de la bomba hidráulica aumentan por desgaste y el caudal efectivo baja.
2. En el equipo: El sistema de elevación dispone de menos presión y caudal. La canasta sube lenta o cede bajo carga.
3. General: El equipo eleva al personal con una capacidad menor a la nominal.</t>
  </si>
  <si>
    <t>Eleva al personal sobre la capacidad permitida. Estándar: hasta _____ kg (valor por confirmar; fabricante). Se verifica con: placa.</t>
  </si>
  <si>
    <t>1. Local: El limitador de carga se descalibra por deriva y no detecta que se superó la capacidad.
2. En el equipo: La canasta no emite alarma ni limita la carga adicional. El limitador no alarma con sobrecarga; además, la estructura de la canasta soporta una carga mayor a la de diseño.
3. General: El equipo eleva al personal sobre la capacidad permitida.</t>
  </si>
  <si>
    <t>No guía el vehículo bivial. La función se pierde por completo: no se cumple ningún punto del estándar. Estándar: en trocha de 1.435 mm (fabricante: Mercedes-Benz). Se verifica con: medición.</t>
  </si>
  <si>
    <t>Guía el vehículo bivial con trocha menor a 1.435 mm. Estándar: en trocha de 1.435 mm (fabricante: Mercedes-Benz). Se verifica con: medición.</t>
  </si>
  <si>
    <t>Guía el vehículo bivial con trocha mayor a 1.435 mm. Estándar: en trocha de 1.435 mm (fabricante: Mercedes-Benz). Se verifica con: medición.</t>
  </si>
  <si>
    <t>No selecciona la marcha. La función se pierde por completo: no se cumple ningún punto del estándar. Estándar: con relación de transmisión de _____ a 1 (valor por confirmar; fabricante). Se verifica con: prueba funcional.</t>
  </si>
  <si>
    <t>1. Local: El varillaje de cambios se rompe por fatiga y la palanca se desconecta de la caja.
2. En el equipo: El movimiento de la palanca no llega a la caja. La palanca no engrana ninguna marcha.
3. General: La máquina no selecciona la marcha.</t>
  </si>
  <si>
    <t>Fisura, deformación o marca de rotura incipiente del varillaje de cambios. Se detecta con: inspección visual y ensayos no destructivos (líquidos penetrantes o partículas magnéticas).</t>
  </si>
  <si>
    <t>1. Local: El resorte de retención se debilita por fatiga y no sostiene la marcha engranada.
2. En el equipo: La marcha se desengrana durante el trabajo. La marcha se sale sola.
3. General: La máquina no mantiene la marcha seleccionada.</t>
  </si>
  <si>
    <t>Pérdida de altura libre o de carga del resorte de retención. Se detecta con: medición de altura libre y de carga en banco de pruebas; inspección visual.</t>
  </si>
  <si>
    <t>Selecciona la marcha con dificultad. Estándar: con relación de transmisión de _____ a 1 (valor por confirmar; fabricante). Se verifica con: prueba funcional.</t>
  </si>
  <si>
    <t>1. Local: El sincronizador se desgasta al final de su vida útil y no iguala bien las velocidades de los engranajes.
2. En el equipo: La marcha entra con roce entre dientes. La marcha entra con esfuerzo y ruido.
3. General: La máquina selecciona la marcha con dificultad.</t>
  </si>
  <si>
    <t>Pérdida progresiva de material del sincronizador hasta acercarse al límite de desgaste. Se detecta con: medición con calibre, galga o micrómetro; inspección visual.</t>
  </si>
  <si>
    <t>No suministra aire. La función se pierde por completo: no se cumple ningún punto del estándar. Estándar: de _____ L/min (valor por confirmar; fabricante). Se verifica con: tiempo de llenado del depósito principal / caudalímetro.</t>
  </si>
  <si>
    <t>Suministra aire por debajo del caudal nominal. Estándar: de _____ L/min (valor por confirmar; fabricante). Se verifica con: tiempo de llenado del depósito principal / caudalímetro.</t>
  </si>
  <si>
    <t>1. Local: El motor del compresor se quema por sobrecarga eléctrica y deja de girar.
2. En el equipo: El compresor no comprime aire. El compresor no carga y el manómetro no sube.
3. General: El equipo no comprime aire.</t>
  </si>
  <si>
    <t>1. Local: El compresor se traba (se gripa) porque pierde la película de lubricante entre sus piezas móviles.
2. En el equipo: El compresor deja de girar y no comprime aire. El compresor no carga y el manómetro no sube.
3. General: El equipo no comprime aire.</t>
  </si>
  <si>
    <t>1. Local: Las válvulas del compresor se desgastan al final de su vida útil y devuelven parte del aire comprimido.
2. En el equipo: La presión que alcanza el compresor baja. La presión del manómetro sube más lento y no llega a la de trabajo.
3. General: El equipo comprime el aire a una presión menor a la de trabajo.</t>
  </si>
  <si>
    <t>No suministra aire. La función se pierde por completo: no se cumple ningún punto del estándar. Estándar: mínimo de 815 L/min (fabricante: Knorr-Bremse). Se verifica con: tiempo de llenado del depósito principal / caudalímetro.</t>
  </si>
  <si>
    <t>1. Local: El motor del compresor se quema por sobrecarga eléctrica y deja de girar.
2. En el equipo: El compresor no comprime aire. El compresor no carga y el manómetro no sube.
3. General: El equipo no suministra aire.</t>
  </si>
  <si>
    <t>1. Local: El compresor se traba (se gripa) porque pierde la película de lubricante entre sus piezas móviles.
2. En el equipo: El compresor deja de girar y no comprime aire. El compresor no carga y el manómetro no sube.
3. General: El equipo no suministra aire.</t>
  </si>
  <si>
    <t>Suministra aire con caudal menor a 815 L/min. Estándar: mínimo de 815 L/min (fabricante: Knorr-Bremse). Se verifica con: tiempo de llenado del depósito principal / caudalímetro.</t>
  </si>
  <si>
    <t>1. Local: Las válvulas del compresor se desgastan al final de su vida útil y devuelven parte del aire comprimido.
2. En el equipo: El caudal efectivo baja. El tiempo de carga de depósitos es mayor al normal.
3. General: El equipo suministra aire con un caudal menor a 815 L/min.</t>
  </si>
  <si>
    <t>1. Local: El filtro de admisión se obstruye con polvo y restringe el aire que entra al compresor.
2. En el equipo: El compresor aspira menos aire y entrega menos caudal. El tiempo de carga de depósitos es mayor al normal.
3. General: El equipo suministra aire con un caudal menor a 815 L/min.</t>
  </si>
  <si>
    <t>No mantiene la temperatura del aceite del compresor. La función se pierde por completo: no se cumple ningún punto del estándar. Estándar: por debajo de _____ °C (valor por confirmar; fabricante). Se verifica con: termómetro.</t>
  </si>
  <si>
    <t>1. Local: El motor del ventilador del enfriador se quema y el ventilador se detiene.
2. En el equipo: El enfriador no recibe flujo de aire y el aceite no cede su calor. La alarma de temperatura se activa y el compresor se apaga.
3. General: El compresor no mantiene la temperatura del aceite y se detiene.</t>
  </si>
  <si>
    <t>1. Local: El enfriador de aceite se rompe por un impacto mecánico y el aceite sale por la rotura.
2. En el equipo: El compresor pierde aceite y la capacidad de enfriarlo. La alarma de temperatura se activa y el compresor se apaga.
3. General: El compresor no mantiene la temperatura del aceite y se detiene.</t>
  </si>
  <si>
    <t>No hay una condición detectable que avise con anticipación: el enfriador de aceite queda afectado por un evento súbito de impacto. Se detecta con: inspección visual después de cada evento; registro de eventos y alarmas del equipo.</t>
  </si>
  <si>
    <t>Mantiene la temperatura del aceite del compresor por encima de la máxima. Estándar: por debajo de _____ °C (valor por confirmar; fabricante). Se verifica con: termómetro.</t>
  </si>
  <si>
    <t>1. Local: Las aletas del enfriador se cubren de polvo y aceite y disminuye el paso de aire.
2. En el equipo: El enfriador disipa menos calor. La temperatura del aceite supera el valor normal.
3. General: El compresor opera con el aceite por encima de la temperatura máxima.</t>
  </si>
  <si>
    <t>Aumento de la presión diferencial o caída del caudal por acumulación de suciedad de las aletas del enfriador. Se detecta con: lectura de manómetros y diferencial de presión; medición de caudal; inspección visual.</t>
  </si>
  <si>
    <t>1. Local: El termostato de aceite se atasca por corrosión y no abre para enviar el aceite al enfriador.
2. En el equipo: El aceite no pasa por el enfriador y no cede calor. La temperatura del aceite supera el valor normal.
3. General: El compresor opera con el aceite por encima de la temperatura máxima.</t>
  </si>
  <si>
    <t>Respuesta más lenta o movimiento duro del termostato de aceite antes de quedar trabado. Se detecta con: prueba funcional; medición de tiempos de ciclo.</t>
  </si>
  <si>
    <t>No acciona el compresor. La función se pierde por completo: no se cumple ningún punto del estándar. Estándar: con potencia de _____ kW (valor por confirmar; fabricante). Se verifica con: placa / medición de corriente.</t>
  </si>
  <si>
    <t>1. Local: El motor eléctrico del compresor se quema por sobrecarga y su devanado se interrumpe.
2. En el equipo: El motor no gira. El compresor no arranca.
3. General: El compresor no recibe accionamiento y no produce aire.</t>
  </si>
  <si>
    <t>Aumento de temperatura, de consumo de corriente o caída de la resistencia de aislamiento del motor eléctrico del compresor. Se detecta con: termografía; medición de corriente; prueba de aislamiento (megóhmetro).</t>
  </si>
  <si>
    <t>1. Local: Los contactos del contactor del compresor se sueldan entre sí y el contactor queda pegado.
2. En el equipo: El motor del compresor no se desconecta o no se conecta según la orden. El compresor no arranca.
3. General: El compresor no recibe accionamiento de forma controlada.</t>
  </si>
  <si>
    <t>Movimiento duro, ruido o calentamiento anormal del contactor del compresor antes de trabarse. Se detecta con: análisis de vibraciones; termografía; análisis de partículas en el aceite.</t>
  </si>
  <si>
    <t>1. Local: Los contactos del contactor se pican por el arco eléctrico y conducen de forma intermitente.
2. En el equipo: El motor recibe alimentación a intervalos. El compresor arranca y para sin causa.
3. General: El compresor se acciona de forma intermitente.</t>
  </si>
  <si>
    <t>No hay una condición detectable que avise con anticipación: el contactor del compresor deja de funcionar de forma súbita. Se detecta con: prueba funcional programada; registro de eventos y alarmas del equipo.</t>
  </si>
  <si>
    <t>Acciona el compresor con velocidad insuficiente. Estándar: con potencia de _____ kW (valor por confirmar; fabricante). Se verifica con: placa / medición de corriente.</t>
  </si>
  <si>
    <t>1. Local: El rodamiento del motor se casca por fatiga y el rotor gira con roce.
2. En el equipo: El motor gira a menos velocidad y se calienta. El compresor gira lento y calienta.
3. General: El compresor se acciona con una velocidad insuficiente y entrega menos aire.</t>
  </si>
  <si>
    <t>No suministra aire auxiliar. La función se pierde por completo: no se cumple ningún punto del estándar. Estándar: a presión regulada de _____ bar (valor por confirmar; fabricante). Se verifica con: manómetro de prueba en racor.</t>
  </si>
  <si>
    <t>1. Local: La válvula reductora se atasca por contaminación y no deja pasar aire al circuito auxiliar.
2. En el equipo: El circuito auxiliar no recibe aire. Los equipos auxiliares no reciben aire.
3. General: El tren no suministra aire auxiliar.</t>
  </si>
  <si>
    <t>Suministra aire auxiliar con presión insuficiente. Estándar: a presión regulada de _____ bar (valor por confirmar; fabricante). Se verifica con: manómetro de prueba en racor.</t>
  </si>
  <si>
    <t>1. Local: El filtro regulador se obstruye con suciedad y restringe el caudal.
2. En el equipo: El aire llega al circuito auxiliar con menos presión. Los auxiliares trabajan débiles.
3. General: El tren suministra aire auxiliar con una presión insuficiente.</t>
  </si>
  <si>
    <t>Aumento de la presión diferencial o caída del caudal por acumulación de suciedad del filtro regulador. Se detecta con: lectura de manómetros y diferencial de presión; medición de caudal; inspección visual.</t>
  </si>
  <si>
    <t>No retiene las partículas del aire. La función se pierde por completo: no se cumple ningún punto del estándar. Estándar: de tamaño mayor a _____ µm (valor por confirmar; fabricante). Se verifica con: cambio de elemento filtrante.</t>
  </si>
  <si>
    <t>1. Local: El elemento filtrante se rompe por fatiga y deja una abertura sin filtrar.
2. En el equipo: El aire pasa sin ser filtrado. No se nota en servicio; se descubre al abrir y encontrar el elemento roto.
3. General: El aire llega a los equipos con partículas sin retener.</t>
  </si>
  <si>
    <t>Retiene las partículas del aire dejando pasar más del máximo. Estándar: de tamaño mayor a _____ µm (valor por confirmar; fabricante). Se verifica con: cambio de elemento filtrante.</t>
  </si>
  <si>
    <t>1. Local: El elemento filtrante se satura al final de su vida útil y pierde capacidad de retener partículas.
2. En el equipo: Aumenta la restricción y parte de las partículas atraviesa el elemento. El elemento está saturado o sucio al inspeccionar.
3. General: El aire llega a los equipos con más partículas del máximo permitido.</t>
  </si>
  <si>
    <t>No soporta la carga por eje. La función se pierde por completo: no se cumple ningún punto del estándar. Estándar: hasta _____ t (valor por confirmar; fabricante). Se verifica con: pesaje por eje.</t>
  </si>
  <si>
    <t>Soporta la carga por eje con capacidad reducida. Estándar: hasta _____ t (valor por confirmar; fabricante). Se verifica con: pesaje por eje.</t>
  </si>
  <si>
    <t>No conserva el diámetro de rueda. La función se pierde por completo: no se cumple ningún punto del estándar. Estándar: mínimo de 800 mm (contexto operacional: Metro de Medellín). Se verifica con: medición en cada inspección de 30.000 km / torno de foso.</t>
  </si>
  <si>
    <t>1. Local: La rueda se fractura por fatiga térmica del frenado y se rompe o se desprende.
2. En el equipo: El eje queda con una rueda incompleta o sin rueda. La rueda se fractura o se desprende.
3. General: El tren no conserva el diámetro de rueda y debe salir de servicio.</t>
  </si>
  <si>
    <t>Fisura, deformación o marca de rotura incipiente de la rueda. Se detecta con: inspección visual y ensayos no destructivos (líquidos penetrantes o partículas magnéticas).</t>
  </si>
  <si>
    <t>Conserva el diámetro de rueda por debajo de 800 mm. Estándar: mínimo de 800 mm (contexto operacional: Metro de Medellín). Se verifica con: medición en cada inspección de 30.000 km / torno de foso.</t>
  </si>
  <si>
    <t>1. Local: La rueda reduce su diámetro por los reperfilados sucesivos.
2. En el equipo: El diámetro baja de 800 mm. La medición con calibre da menos de 800 mm.
3. General: La rueda queda con un diámetro menor al mínimo y debe retirarse del servicio.</t>
  </si>
  <si>
    <t>Diámetro de la rueda cada vez más cerca del mínimo permitido tras reperfilados sucesivos. Se detecta con: medición del diámetro con calibre o instrumento de rueda; registro de reperfilados.</t>
  </si>
  <si>
    <t>No guía el eje. La función se pierde por completo: no se cumple ningún punto del estándar. Estándar: con pestaña de 25 a 33 mm (norma: TSI LOC&amp;PAS / OTIF UTP LOC&amp;PAS, tablas 1 y 2). Se verifica con: galga de perfil (inspección cada 30.000 km).</t>
  </si>
  <si>
    <t>1. Local: La pestaña de la rueda se fractura por fatiga y pierde parte de su altura.
2. En el equipo: La rueda queda sin pestaña completa para guiarse. No se nota en servicio; se descubre al medir el perfil.
3. General: El eje no cuenta con la pestaña de 25 a 33 mm para guiarse.</t>
  </si>
  <si>
    <t>Guía el eje con pestaña menor a 25 mm. Estándar: con pestaña de 25 a 33 mm (norma: TSI LOC&amp;PAS / OTIF UTP LOC&amp;PAS, tablas 1 y 2). Se verifica con: galga de perfil (inspección cada 30.000 km).</t>
  </si>
  <si>
    <t>1. Local: La pestaña se desgasta por el contacto con el riel sin lubricación y su espesor disminuye.
2. En el equipo: La pestaña queda menor a 25 mm. La galga marca pestaña menor a 25 mm.
3. General: El eje se guía con una pestaña menor al mínimo.</t>
  </si>
  <si>
    <t>Guía el eje con pestaña mayor a 33 mm. Estándar: con pestaña de 25 a 33 mm (norma: TSI LOC&amp;PAS / OTIF UTP LOC&amp;PAS, tablas 1 y 2). Se verifica con: galga de perfil (inspección cada 30.000 km).</t>
  </si>
  <si>
    <t>1. Local: La banda de rodadura se ahueca por el desgaste excesivo y la pestaña queda proporcionalmente más alta.
2. En el equipo: La pestaña supera los 33 mm respecto a la banda de rodadura. La galga marca pestaña mayor a 33 mm.
3. General: El eje se guía con una pestaña mayor al máximo.</t>
  </si>
  <si>
    <t>Pérdida progresiva de material de la banda de rodadura hasta acercarse al límite de desgaste. Se detecta con: medición con calibre, galga o micrómetro; inspección visual. Al ser una función oculta no se nota en operación: depende de la inspección o prueba programada.</t>
  </si>
  <si>
    <t>No limita la altura de pestaña. La función se pierde por completo: no se cumple ningún punto del estándar. Estándar: de 27,5 a 36 mm (norma: TSI LOC&amp;PAS / OTIF UTP LOC&amp;PAS, tablas 1 y 2). Se verifica con: galga de perfil.</t>
  </si>
  <si>
    <t>1. Local: La pestaña de la rueda se fractura por fatiga y pierde parte de su altura.
2. En el equipo: La rueda queda sin pestaña completa. No se nota en servicio; se descubre al medir el perfil.
3. General: La rueda no cuenta con la altura de pestaña de 27,5 a 36 mm.</t>
  </si>
  <si>
    <t>Limita la altura de pestaña por debajo de 27,5 mm. Estándar: de 27,5 a 36 mm (norma: TSI LOC&amp;PAS / OTIF UTP LOC&amp;PAS, tablas 1 y 2). Se verifica con: galga de perfil.</t>
  </si>
  <si>
    <t>1. Local: La pestaña se desgasta por el contacto con el riel sin lubricación y su altura disminuye.
2. En el equipo: La pestaña queda menor a 27,5 mm. La galga marca una altura menor a 27,5 mm.
3. General: La rueda queda con altura de pestaña por debajo del mínimo.</t>
  </si>
  <si>
    <t>Limita la altura de pestaña por encima de 36 mm. Estándar: de 27,5 a 36 mm (norma: TSI LOC&amp;PAS / OTIF UTP LOC&amp;PAS, tablas 1 y 2). Se verifica con: galga de perfil.</t>
  </si>
  <si>
    <t>1. Local: La banda de rodadura se ahueca por el desgaste excesivo y la pestaña queda más alta.
2. En el equipo: La altura de pestaña supera los 36 mm. La galga marca una altura mayor a 36 mm.
3. General: La rueda queda con altura de pestaña por encima del máximo.</t>
  </si>
  <si>
    <t>No mantiene la distancia entre ruedas. La función se pierde por completo: no se cumple ningún punto del estándar. Estándar: de 1.358 a 1.363 mm (norma: TSI LOC&amp;PAS / OTIF UTP LOC&amp;PAS, tablas 1 y 2). Se verifica con: calibre de distancia entre caras internas.</t>
  </si>
  <si>
    <t>1. Local: La rueda se suelta del eje porque pierde el calado (el ajuste a presión sobre el eje).
2. En el equipo: La rueda se mueve axialmente y la distancia entre ruedas ya no se mantiene. No se nota en servicio; se descubre en la medición con calibre.
3. General: El eje no mantiene la distancia entre ruedas de 1.358 a 1.363 mm.</t>
  </si>
  <si>
    <t>Mantiene la distancia entre ruedas por debajo de 1.358 mm. Estándar: de 1.358 a 1.363 mm (norma: TSI LOC&amp;PAS / OTIF UTP LOC&amp;PAS, tablas 1 y 2). Se verifica con: calibre de distancia entre caras internas.</t>
  </si>
  <si>
    <t>1. Local: La rueda se desplaza sobre el eje porque pierde parte del calado.
2. En el equipo: La distancia entre las caras internas de las ruedas disminuye. El calibre marca menos de 1.358 mm.
3. General: El eje queda con la distancia entre ruedas por debajo de lo permitido.</t>
  </si>
  <si>
    <t>Mantiene la distancia entre ruedas por encima de 1.363 mm. Estándar: de 1.358 a 1.363 mm (norma: TSI LOC&amp;PAS / OTIF UTP LOC&amp;PAS, tablas 1 y 2). Se verifica con: calibre de distancia entre caras internas.</t>
  </si>
  <si>
    <t>No mantiene el ancho de llanta. La función se pierde por completo: no se cumple ningún punto del estándar. Estándar: de 133 a 145 mm (norma: TSI LOC&amp;PAS / OTIF UTP LOC&amp;PAS, tablas 1 y 2). Se verifica con: calibre.</t>
  </si>
  <si>
    <t>1. Local: La llanta se fractura por fatiga y pierde parte de su ancho.
2. En el equipo: La rueda queda con la llanta incompleta. No se nota en servicio; se descubre en la medición del perfil.
3. General: La rueda no mantiene el ancho de llanta de 133 a 145 mm.</t>
  </si>
  <si>
    <t>Fisura, deformación o marca de rotura incipiente de la llanta. Se detecta con: inspección visual y ensayos no destructivos (líquidos penetrantes o partículas magnéticas). Al ser una función oculta no se nota en operación: depende de la inspección o prueba programada.</t>
  </si>
  <si>
    <t>Mantiene el ancho de llanta por debajo de 133 mm. Estándar: de 133 a 145 mm (norma: TSI LOC&amp;PAS / OTIF UTP LOC&amp;PAS, tablas 1 y 2). Se verifica con: calibre.</t>
  </si>
  <si>
    <t>1. Local: La llanta reduce su ancho por los reperfilados sucesivos.
2. En el equipo: El ancho baja de 133 mm. La medición da un ancho menor a 133 mm.
3. General: La rueda queda con un ancho de llanta menor al mínimo.</t>
  </si>
  <si>
    <t>Diámetro de la llanta cada vez más cerca del mínimo permitido tras reperfilados sucesivos. Se detecta con: medición del diámetro con calibre o instrumento de rueda; registro de reperfilados. Al ser una función oculta no se nota en operación: depende de la inspección o prueba programada.</t>
  </si>
  <si>
    <t>Mantiene el ancho de llanta por encima de 145 mm. Estándar: de 133 a 145 mm (norma: TSI LOC&amp;PAS / OTIF UTP LOC&amp;PAS, tablas 1 y 2). Se verifica con: calibre.</t>
  </si>
  <si>
    <t>1. Local: La llanta se deforma por el desplazamiento de material en la banda de rodadura.
2. En el equipo: El ancho de llanta supera los 145 mm. La medición da un ancho mayor a 145 mm.
3. General: La rueda queda con un ancho de llanta mayor al máximo.</t>
  </si>
  <si>
    <t>Deformación visible o pérdida progresiva de la geometría de la llanta. Se detecta con: inspección visual; medición de geometría con galga o plantilla. Al ser una función oculta no se nota en operación: depende de la inspección o prueba programada.</t>
  </si>
  <si>
    <t>No iguala el diámetro de ruedas. La función se pierde por completo: no se cumple ningún punto del estándar. Estándar: con diferencia máxima de 0,1 mm (fabricante: Hegenscheidt). Se verifica con: medición del torno de foso U2000-150.</t>
  </si>
  <si>
    <t>1. Local: La rueda se fractura por fatiga y pierde material de la banda de rodadura.
2. En el equipo: El diámetro de la rueda afectada cambia respecto a su par. No se nota en servicio; se descubre al medir el diámetro.
3. General: El eje no iguala el diámetro de las ruedas.</t>
  </si>
  <si>
    <t>Fisura, deformación o marca de rotura incipiente de la rueda. Se detecta con: inspección visual y ensayos no destructivos (líquidos penetrantes o partículas magnéticas). Al ser una función oculta no se nota en operación: depende de la inspección o prueba programada.</t>
  </si>
  <si>
    <t>Iguala el diámetro de ruedas con diferencia mayor a 0,1 mm. Estándar: con diferencia máxima de 0,1 mm (fabricante: Hegenscheidt). Se verifica con: medición del torno de foso U2000-150.</t>
  </si>
  <si>
    <t>1. Local: La rueda se desgasta de forma desigual por el contacto distinto con el riel y su diámetro cambia.
2. En el equipo: Los diámetros de las dos ruedas del eje difieren. La medición muestra más de 0,1 mm de diferencia entre ruedas.
3. General: El eje queda con una diferencia de diámetro mayor a 0,1 mm.</t>
  </si>
  <si>
    <t>Diámetro de la rueda cada vez más cerca del mínimo permitido tras reperfilados sucesivos. Se detecta con: medición del diámetro con calibre o instrumento de rueda; registro de reperfilados. Al ser una función oculta no se nota en operación: depende de la inspección o prueba programada.</t>
  </si>
  <si>
    <t>1. Local: El sistema de medición del torno se descalibra por deriva y reperfila las ruedas con una referencia errada.
2. En el equipo: Las ruedas quedan con diámetros distintos. La medición muestra más de 0,1 mm de diferencia entre ruedas.
3. General: El eje queda con una diferencia de diámetro mayor a 0,1 mm.</t>
  </si>
  <si>
    <t>Deriva del torno de reperfilado frente al valor patrón, con lecturas o ajustes que se van corriendo. Se detecta con: verificación contra patrón calibrado; lectura de parámetros; medición de alineación o vibración. Al ser una función oculta no se nota en operación: depende de la inspección o prueba programada.</t>
  </si>
  <si>
    <t>No separa el agua condensada. La función se pierde por completo: no se cumple ningún punto del estándar. Estándar: con eficiencia de _____ % (valor por confirmar; fabricante). Se verifica con: comprobar funcionamiento (PM-2012 pág. 25).</t>
  </si>
  <si>
    <t>1. Local: El elemento del separador de agua se rompe por fatiga y deja de separar el agua.
2. En el equipo: El agua pasa al circuito sin ser separada. No se nota en servicio; se descubre por agua abundante en la purga.
3. General: El aire llega a los equipos con agua.</t>
  </si>
  <si>
    <t>Fisura, deformación o marca de rotura incipiente del elemento del separador de agua. Se detecta con: inspección visual y ensayos no destructivos (líquidos penetrantes o partículas magnéticas). Al ser una función oculta no se nota en operación: depende de la inspección o prueba programada.</t>
  </si>
  <si>
    <t>Separa el agua condensada dejando pasar agua sobre el máximo. Estándar: con eficiencia de _____ % (valor por confirmar; fabricante). Se verifica con: comprobar funcionamiento (PM-2012 pág. 25).</t>
  </si>
  <si>
    <t>1. Local: La válvula de purga se atasca por suciedad y no expulsa el condensado.
2. En el equipo: El agua se acumula en el separador y pasa al circuito. La purga muestra agua en el circuito.
3. General: El aire llega a los equipos con más agua del máximo permitido.</t>
  </si>
  <si>
    <t>Respuesta más lenta o movimiento duro de la válvula de purga antes de quedar trabado. Se detecta con: prueba funcional; medición de tiempos de ciclo. Al ser una función oculta no se nota en operación: depende de la inspección o prueba programada.</t>
  </si>
  <si>
    <t>1. Local: El elemento coalescente se satura al final de su vida útil y pierde capacidad de separación.
2. En el equipo: Parte del agua atraviesa el elemento. La purga muestra agua en el circuito.
3. General: El aire llega a los equipos con más agua del máximo permitido.</t>
  </si>
  <si>
    <t>Aumento de la presión diferencial o caída del caudal por acumulación de suciedad del elemento coalescente. Se detecta con: lectura de manómetros y diferencial de presión; medición de caudal; inspección visual. Al ser una función oculta no se nota en operación: depende de la inspección o prueba programada.</t>
  </si>
  <si>
    <t>No seca el aire comprimido. La función se pierde por completo: no se cumple ningún punto del estándar. Estándar: con punto de rocío máximo de +3 °C (norma: ISO 8573-1). Se verifica con: medir el punto de condensación (PM-2012 pág. 26).</t>
  </si>
  <si>
    <t>Seca el aire comprimido con punto de rocío mayor a +3 °C. Estándar: con punto de rocío máximo de +3 °C (norma: ISO 8573-1). Se verifica con: medir el punto de condensación (PM-2012 pág. 26).</t>
  </si>
  <si>
    <t>No soporta la carga vertical. La función se pierde por completo: no se cumple ningún punto del estándar. Estándar: hasta _____ t (valor por confirmar; fabricante). Se verifica con: altura bajo carga / presión del resorte.</t>
  </si>
  <si>
    <t>1. Local: La goma del balón de aire se revienta por la fatiga y el aire de la suspensión sale por la rotura.
2. En el equipo: El resorte neumático pierde toda su presión y deja de sostener su parte de la carga. La caja se apoya sobre los topes de la suspensión y baja respecto a su altura nominal.
3. General: El resorte neumático no soporta la carga vertical y el tren debe salir de servicio.</t>
  </si>
  <si>
    <t>Fisura, deformación o marca de rotura incipiente del balón de aire de la suspensión. Se detecta con: inspección visual y ensayos no destructivos (líquidos penetrantes o partículas magnéticas).</t>
  </si>
  <si>
    <t>1. Local: El soporte del balón de aire se fractura por las cargas dinámicas repetidas y el balón pierde su apoyo.
2. En el equipo: El resorte neumático queda sin base de apoyo y no transmite la carga a la caja. La caja pierde el soporte de ese resorte y baja en esa zona.
3. General: El resorte neumático no soporta la carga vertical y el tren debe salir de servicio.</t>
  </si>
  <si>
    <t>Fisura, deformación o marca de rotura incipiente del soporte del balón de aire. Se detecta con: inspección visual y ensayos no destructivos (líquidos penetrantes o partículas magnéticas).</t>
  </si>
  <si>
    <t>Soporta la carga vertical con altura de caja menor a la nominal. Estándar: hasta _____ t (valor por confirmar; fabricante). Se verifica con: altura bajo carga / presión del resorte.</t>
  </si>
  <si>
    <t>Humedad, goteo o pérdida de nivel o de presión alrededor del balón de aire de la suspensión. Se detecta con: inspección visual; prueba de estanqueidad; lectura de nivel y presión.</t>
  </si>
  <si>
    <t>1. Local: Las articulaciones de la válvula de nivelación se desgastan y la válvula queda desajustada.
2. En el equipo: La válvula deja salir aire del resorte neumático y no lo repone a la altura prevista. La caja queda más baja que la altura nominal.
3. General: El resorte neumático soporta la carga vertical con una altura de caja menor a la nominal.</t>
  </si>
  <si>
    <t>Deriva de la válvula de nivelación frente al valor patrón, con lecturas o ajustes que se van corriendo. Se detecta con: verificación contra patrón calibrado; lectura de parámetros; medición de alineación o vibración.</t>
  </si>
  <si>
    <t>No mantiene la altura de la caja. La función se pierde por completo: no se cumple ningún punto del estándar. Estándar: con tolerancia de ±_____ mm (valor por confirmar; fabricante). Se verifica con: comprobar funcionamiento de válvulas L (PM-2012 pág. 29).</t>
  </si>
  <si>
    <t>1. Local: La válvula de nivelación se atasca por contaminación y no corrige la altura de la caja.
2. En el equipo: El aire no entra ni sale de los resortes neumáticos según la carga. No se nota en servicio; se descubre al medir la altura de caja.
3. General: La caja queda sin altura controlada.</t>
  </si>
  <si>
    <t>Respuesta más lenta o movimiento duro de la válvula de nivelación antes de quedar trabado. Se detecta con: prueba funcional; medición de tiempos de ciclo. Al ser una función oculta no se nota en operación: depende de la inspección o prueba programada.</t>
  </si>
  <si>
    <t>Mantiene la altura de la caja por debajo de la mínima. Estándar: con tolerancia de ±_____ mm (valor por confirmar; fabricante). Se verifica con: comprobar funcionamiento de válvulas L (PM-2012 pág. 29).</t>
  </si>
  <si>
    <t>1. Local: La válvula de nivelación se desgasta por el asiento marcado y deja escapar aire de los resortes.
2. En el equipo: Los resortes neumáticos pierden altura. La caja queda baja respecto al andén.
3. General: La caja queda con una altura menor a la mínima.</t>
  </si>
  <si>
    <t>Pérdida progresiva de material de la válvula de nivelación hasta acercarse al límite de desgaste. Se detecta con: medición con calibre, galga o micrómetro; inspección visual. Al ser una función oculta no se nota en operación: depende de la inspección o prueba programada.</t>
  </si>
  <si>
    <t>1. Local: La varilla de nivelación se desajusta por vibración y la válvula regula una altura menor a la correcta.
2. En el equipo: Los resortes neumáticos se mantienen con menos altura. La caja queda baja respecto al andén.
3. General: La caja queda con una altura menor a la mínima.</t>
  </si>
  <si>
    <t>Deriva de la varilla de nivelación frente al valor patrón, con lecturas o ajustes que se van corriendo. Se detecta con: verificación contra patrón calibrado; lectura de parámetros; medición de alineación o vibración. Al ser una función oculta no se nota en operación: depende de la inspección o prueba programada.</t>
  </si>
  <si>
    <t>Mantiene la altura de la caja por encima de la máxima. Estándar: con tolerancia de ±_____ mm (valor por confirmar; fabricante). Se verifica con: comprobar funcionamiento de válvulas L (PM-2012 pág. 29).</t>
  </si>
  <si>
    <t>1. Local: La varilla de nivelación se desajusta por vibración y la válvula regula una altura mayor a la correcta.
2. En el equipo: Los resortes neumáticos se mantienen con más altura. La caja queda alta respecto al andén.
3. General: La caja queda con una altura mayor a la máxima.</t>
  </si>
  <si>
    <t>No iguala la presión de resortes. La función se pierde por completo: no se cumple ningún punto del estándar. Estándar: con diferencia máxima de 1,5 bar (fuente técnica: Indian Railways (IRIMEE)). Se verifica con: manómetros en racores L08.</t>
  </si>
  <si>
    <t>1. Local: La línea de igualación se rompe por vibración y los resortes dejan de estar comunicados.
2. En el equipo: Cada resorte neumático mantiene una presión distinta. No se nota en servicio; se descubre al ver que cada resorte tiene una presión distinta.
3. General: La caja no iguala la presión de los resortes.</t>
  </si>
  <si>
    <t>Fisura, deformación o marca de rotura incipiente de la línea de igualación. Se detecta con: inspección visual y ensayos no destructivos (líquidos penetrantes o partículas magnéticas). Al ser una función oculta no se nota en operación: depende de la inspección o prueba programada.</t>
  </si>
  <si>
    <t>Iguala la presión de resortes con diferencia mayor a 1,5 bar. Estándar: con diferencia máxima de 1,5 bar (fuente técnica: Indian Railways (IRIMEE)). Se verifica con: manómetros en racores L08.</t>
  </si>
  <si>
    <t>1. Local: La válvula de igualación se atasca por contaminación y no comunica los resortes.
2. En el equipo: Los resortes neumáticos quedan con presiones distintas. No se nota en servicio; se descubre al medir la presión de ambos balones.
3. General: Los resortes quedan con una diferencia de presión mayor a 1,5 bar.</t>
  </si>
  <si>
    <t>Respuesta más lenta o movimiento duro de la válvula de igualación antes de quedar trabado. Se detecta con: prueba funcional; medición de tiempos de ciclo. Al ser una función oculta no se nota en operación: depende de la inspección o prueba programada.</t>
  </si>
  <si>
    <t>1. Local: La línea de igualación se obstruye con suciedad y el aire no fluye entre resortes.
2. En el equipo: Los resortes neumáticos quedan con presiones distintas. No se nota en servicio; se descubre al medir la presión de ambos balones.
3. General: Los resortes quedan con una diferencia de presión mayor a 1,5 bar.</t>
  </si>
  <si>
    <t>Aumento de la presión diferencial o caída del caudal por acumulación de suciedad de la línea de igualación. Se detecta con: lectura de manómetros y diferencial de presión; medición de caudal; inspección visual. Al ser una función oculta no se nota en operación: depende de la inspección o prueba programada.</t>
  </si>
  <si>
    <t>No impide el retorno de aire. La función se pierde por completo: no se cumple ningún punto del estándar. Estándar: con presión de apertura de _____ bar (valor por confirmar; derivado técnicamente: Plan de Mantenimiento de trenes Metro de Medellín, Ed. 1 (jun-2012) – p.27 (MM.09.15)). Se verifica con: comprobar funcionamiento con compresor parado.</t>
  </si>
  <si>
    <t>1. Local: La válvula antirretorno queda abierta por un asiento dañado y deja pasar aire en sentido inverso.
2. En el equipo: El aire del depósito retrocede hacia el compresor. No se nota en servicio; se descubre porque la presión cae al parar el compresor.
3. General: El circuito no impide el retorno de aire.</t>
  </si>
  <si>
    <t>Presión de apertura por debajo (o por encima) del tarado, descargas frecuentes o fuga en el asiento de la válvula antirretorno. Se detecta con: prueba de tarado en banco; inspección del asiento; lectura de presión. Al ser una función oculta no se nota en operación: depende de la inspección o prueba programada.</t>
  </si>
  <si>
    <t>Impide el retorno de aire dejando pasar flujo inverso. Estándar: con presión de apertura de _____ bar (valor por confirmar; derivado técnicamente: Plan de Mantenimiento de trenes Metro de Medellín, Ed. 1 (jun-2012) – p.27 (MM.09.15)). Se verifica con: comprobar funcionamiento con compresor parado.</t>
  </si>
  <si>
    <t>1. Local: El resorte de la válvula antirretorno se debilita por fatiga y la válvula cierra con menor fuerza.
2. En el equipo: Parte del aire retrocede lentamente. La presión del depósito cae lentamente con el compresor parado.
3. General: El circuito deja pasar flujo inverso.</t>
  </si>
  <si>
    <t>Pérdida de altura libre o de carga del resorte de la válvula antirretorno. Se detecta con: medición de altura libre y de carga en banco de pruebas; inspección visual. Al ser una función oculta no se nota en operación: depende de la inspección o prueba programada.</t>
  </si>
  <si>
    <t>No conmuta el compresor por presión. La función se pierde por completo: no se cumple ningún punto del estándar. Estándar: entre _____ y _____ bar (valor por confirmar; fabricante). Se verifica con: prueba de presostatos A15–A17 (PM-2012 pág. 27).</t>
  </si>
  <si>
    <t>1. Local: Los contactos del presostato se sueldan y el presostato queda en una posición fija.
2. En el equipo: El compresor recibe siempre la orden de arrancar o de parar. No se nota en servicio; se descubre porque el compresor no arranca o no para.
3. General: El compresor no se regula por presión.</t>
  </si>
  <si>
    <t>Respuesta más lenta o movimiento duro del presostato antes de quedar trabado. Se detecta con: prueba funcional; medición de tiempos de ciclo. Al ser una función oculta no se nota en operación: depende de la inspección o prueba programada.</t>
  </si>
  <si>
    <t>Conmuta el compresor por presión con presión de corte menor a la nominal. Estándar: entre _____ y _____ bar (valor por confirmar; fabricante). Se verifica con: prueba de presostatos A15–A17 (PM-2012 pág. 27).</t>
  </si>
  <si>
    <t>1. Local: El presostato se descalibra por deriva y corta el compresor a una presión menor a la nominal.
2. En el equipo: El compresor para antes de alcanzar la presión de trabajo. El compresor para antes de llenar los depósitos.
3. General: El compresor conmuta con una presión de corte menor a la nominal.</t>
  </si>
  <si>
    <t>Deriva del presostato frente al valor patrón, con lecturas o ajustes que se van corriendo. Se detecta con: verificación contra patrón calibrado; lectura de parámetros; medición de alineación o vibración. Al ser una función oculta no se nota en operación: depende de la inspección o prueba programada.</t>
  </si>
  <si>
    <t>1. Local: Los contactos del presostato se sulfatan y cambian de estado de forma inestable.
2. En el equipo: El compresor arranca y para sin seguir los umbrales de presión. No se nota en servicio; se descubre porque el compresor arranca y para sin patrón.
3. General: El compresor conmuta con una presión de corte menor a la nominal.</t>
  </si>
  <si>
    <t>Conmuta el compresor por presión con presión de corte mayor a la nominal. Estándar: entre _____ y _____ bar (valor por confirmar; fabricante). Se verifica con: prueba de presostatos A15–A17 (PM-2012 pág. 27).</t>
  </si>
  <si>
    <t>1. Local: El presostato se descalibra por deriva y no corta el compresor a la presión prevista.
2. En el equipo: El compresor sigue comprimiendo por encima de la presión nominal. El compresor sigue cargando y descarga por la válvula de seguridad.
3. General: El compresor conmuta con una presión de corte mayor a la nominal.</t>
  </si>
  <si>
    <t>No almacena el aire comprimido. La función se pierde por completo: no se cumple ningún punto del estándar. Estándar: hasta _____ L (valor por confirmar; fabricante). Se verifica con: placa del depósito.</t>
  </si>
  <si>
    <t>1. Local: El depósito de aire se fisura por corrosión interna y el aire sale por la fisura.
2. En el equipo: El depósito pierde la presión almacenada. El depósito se vacía rápido o revienta.
3. General: El tren no almacena aire comprimido.</t>
  </si>
  <si>
    <t>Almacena el aire comprimido con fugas. Estándar: hasta _____ L (valor por confirmar; fabricante). Se verifica con: placa del depósito.</t>
  </si>
  <si>
    <t>1. Local: El asiento de la válvula de purga se daña y la válvula no cierra del todo.
2. En el equipo: El aire sale por la purga de forma continua. Se oye fuga y el compresor arranca con frecuencia.
3. General: El depósito almacena el aire con fugas.</t>
  </si>
  <si>
    <t>1. Local: El racor del depósito se afloja por vibración y deja escapar aire.
2. En el equipo: El depósito pierde presión poco a poco. Se oye fuga y el compresor arranca con frecuencia.
3. General: El depósito almacena el aire con fugas.</t>
  </si>
  <si>
    <t>Pérdida de apriete, holgura o marcas de testigo desalineadas del racor del depósito. Se detecta con: control de torque con llave; inspección visual de marcas de testigo.</t>
  </si>
  <si>
    <t>No alivia la sobrepresión. La función se pierde por completo: no se cumple ningún punto del estándar. Estándar: a presión de tarado de _____ bar (valor por confirmar; fabricante). Se verifica con: ensayar válvula de seguridad SV10 (PM-2012 pág. 25).</t>
  </si>
  <si>
    <t>1. Local: El asiento de la válvula de seguridad se corroe y la válvula se atasca cerrada.
2. En el equipo: La válvula no abre aunque la presión llegue al valor de tarado. No se nota en servicio; se descubre en la prueba de apertura de la válvula.
3. General: El circuito no alivia la sobrepresión.</t>
  </si>
  <si>
    <t>Respuesta más lenta o movimiento duro de la válvula de seguridad antes de quedar trabado. Se detecta con: prueba funcional; medición de tiempos de ciclo. Al ser una función oculta no se nota en operación: depende de la inspección o prueba programada.</t>
  </si>
  <si>
    <t>Alivia la sobrepresión por debajo de la presión de tarado. Estándar: a presión de tarado de _____ bar (valor por confirmar; fabricante). Se verifica con: ensayar válvula de seguridad SV10 (PM-2012 pág. 25).</t>
  </si>
  <si>
    <t>1. Local: El resorte de la válvula de seguridad se debilita y la válvula abre a una presión menor a la de tarado.
2. En el equipo: La válvula descarga aire a presiones normales. La válvula descarga con presiones normales.
3. General: La válvula alivia la presión por debajo de la presión de tarado.</t>
  </si>
  <si>
    <t>Deriva de la válvula de seguridad frente al valor patrón, con lecturas o ajustes que se van corriendo. Se detecta con: verificación contra patrón calibrado; lectura de parámetros; medición de alineación o vibración. Al ser una función oculta no se nota en operación: depende de la inspección o prueba programada.</t>
  </si>
  <si>
    <t>Alivia la sobrepresión por encima de la presión de tarado. Estándar: a presión de tarado de _____ bar (valor por confirmar; fabricante). Se verifica con: ensayar válvula de seguridad SV10 (PM-2012 pág. 25).</t>
  </si>
  <si>
    <t>1. Local: El resorte de la válvula de seguridad se asienta (se endurece) y la válvula abre a una presión mayor a la de tarado.
2. En el equipo: La válvula permanece cerrada por encima de la presión de tarado. La válvula abre con presión más alta que la nominal.
3. General: La válvula alivia la presión por encima de la presión de tarado.</t>
  </si>
  <si>
    <t>No interrumpe la sobrecorriente. La función se pierde por completo: no se cumple ningún punto del estándar. Estándar: con calibre de _____ A (valor por confirmar; fabricante). Se verifica con: control general del dispositivo (PM-2012 pág. 18).</t>
  </si>
  <si>
    <t>1. Local: El fusible se suelda por el arco eléctrico de sobrecorrientes repetidas y su elemento deja de fundirse.
2. En el equipo: El fusible no abre el circuito ante una sobrecorriente. No se nota en servicio; se descubre cuando se daña el cable o el equipo protegido.
3. General: El circuito no interrumpe la sobrecorriente.</t>
  </si>
  <si>
    <t>No hay una condición detectable que avise con anticipación: el fusible deja de funcionar de forma súbita. Se detecta con: prueba funcional programada; registro de eventos y alarmas del equipo. Al ser una función oculta no se nota en operación: depende de la inspección o prueba programada.</t>
  </si>
  <si>
    <t>Impacto a la operación; Seguridad</t>
  </si>
  <si>
    <t>Interrumpe la sobrecorriente antes del valor nominal. Estándar: con calibre de _____ A (valor por confirmar; fabricante). Se verifica con: control general del dispositivo (PM-2012 pág. 18).</t>
  </si>
  <si>
    <t>1. Local: El elemento del fusible se fatiga por los ciclos térmicos y se funde con una corriente menor a la nominal.
2. En el equipo: El fusible abre el circuito sin sobrecorriente. El fusible se funde sin sobrecarga.
3. General: El circuito se interrumpe antes del valor nominal.</t>
  </si>
  <si>
    <t>Deriva en las lecturas, aumento de temperatura o caída del rendimiento del fusible. Se detecta con: medición de parámetros eléctricos; termografía. Al ser una función oculta no se nota en operación: depende de la inspección o prueba programada.</t>
  </si>
  <si>
    <t>Interrumpe la sobrecorriente después del valor nominal. Estándar: con calibre de _____ A (valor por confirmar; fabricante). Se verifica con: control general del dispositivo (PM-2012 pág. 18).</t>
  </si>
  <si>
    <t>1. Local: El elemento del fusible se envejece por oxidación y se funde con una corriente mayor a la nominal.
2. En el equipo: El fusible tarda en abrir el circuito. El cable se calienta antes de que el fusible actúe.
3. General: El circuito se interrumpe después del valor nominal.</t>
  </si>
  <si>
    <t>No deriva las sobretensiones. La función se pierde por completo: no se cumple ningún punto del estándar. Estándar: con tensión de operación continua de _____ V (valor por confirmar; fabricante). Se verifica con: inspección visual (PM-2012 pág. 34) / corriente de fuga.</t>
  </si>
  <si>
    <t>1. Local: El varistor del descargador se degrada por el envejecimiento y deja de conducir las sobretensiones.
2. En el equipo: El descargador no deriva la sobretensión a tierra. No se nota en servicio; se descubre en la inspección del descargador.
3. General: Las sobretensiones no se derivan.</t>
  </si>
  <si>
    <t>Deriva en las lecturas, aumento de temperatura o caída del rendimiento del varistor del descargador. Se detecta con: medición de parámetros eléctricos; termografía. Al ser una función oculta no se nota en operación: depende de la inspección o prueba programada.</t>
  </si>
  <si>
    <t>Deriva las sobretensiones con tensión residual alta. Estándar: con tensión de operación continua de _____ V (valor por confirmar; fabricante). Se verifica con: inspección visual (PM-2012 pág. 34) / corriente de fuga.</t>
  </si>
  <si>
    <t>1. Local: El descargador se perfora por las descargas repetidas y deriva la sobretensión con una tensión residual alta.
2. En el equipo: El equipo protegido recibe una tensión mayor a la prevista. El descargador muestra marcas o corrientes de fuga elevadas.
3. General: Las sobretensiones se derivan con tensión residual alta.</t>
  </si>
  <si>
    <t>Fisura, deformación o marca de rotura incipiente del descargador. Se detecta con: inspección visual y ensayos no destructivos (líquidos penetrantes o partículas magnéticas). Al ser una función oculta no se nota en operación: depende de la inspección o prueba programada.</t>
  </si>
  <si>
    <t>No mantiene la fuerza de contacto. La función se pierde por completo: no se cumple ningún punto del estándar. Estándar: de 60 a 140 N (fuente técnica: Faiveley (Wabtec)). Se verifica con: dinamómetro en altura de trabajo (PM-2012 pág. 33).</t>
  </si>
  <si>
    <t>Mantiene la fuerza de contacto por debajo de 60 N. Estándar: de 60 a 140 N (fuente técnica: Faiveley (Wabtec)). Se verifica con: dinamómetro en altura de trabajo (PM-2012 pág. 33).</t>
  </si>
  <si>
    <t>Mantiene la fuerza de contacto por encima de 140 N. Estándar: de 60 a 140 N (fuente técnica: Faiveley (Wabtec)). Se verifica con: dinamómetro en altura de trabajo (PM-2012 pág. 33).</t>
  </si>
  <si>
    <t>Mantiene la fuerza de contacto con valores que oscilan fuera del rango de 60 a 140 N. Estándar: de 60 a 140 N (fuente técnica: Faiveley (Wabtec)). Se verifica con: dinamómetro en altura de trabajo (PM-2012 pág. 33).</t>
  </si>
  <si>
    <t>No transfiere la corriente de tracción. La función se pierde por completo: no se cumple ningún punto del estándar. Estándar: hasta 300 A en reposo (norma: TSI Energía (Reg. UE 1301/2014)). Se verifica con: registro de corriente de línea.</t>
  </si>
  <si>
    <t>1. Local: El cable flexible del pantógrafo se corta por fatiga del material.
2. En el equipo: La corriente captada no llega al tren. El tren no recibe energía de la catenaria en reposo.
3. General: El tren no transfiere la corriente de tracción.</t>
  </si>
  <si>
    <t>Grietas, resequedad, abultamientos o rozaduras visibles del cable flexible del pantógrafo. Se detecta con: inspección visual.</t>
  </si>
  <si>
    <t>1. Local: La banda de contacto se desprende por fatiga y el pantógrafo pierde la superficie de contacto con el hilo.
2. En el equipo: El pantógrafo no capta corriente. El tren no recibe energía de la catenaria en reposo.
3. General: El tren no transfiere la corriente de tracción.</t>
  </si>
  <si>
    <t>Pérdida de apriete, holgura o marcas de testigo desalineadas de la banda de contacto. Se detecta con: control de torque con llave; inspección visual de marcas de testigo.</t>
  </si>
  <si>
    <t>Transfiere la corriente de tracción con corriente menor a 300 A. Estándar: hasta 300 A en reposo (norma: TSI Energía (Reg. UE 1301/2014)). Se verifica con: registro de corriente de línea.</t>
  </si>
  <si>
    <t>1. Local: La conexión del pantógrafo se afloja por vibración y aumenta la resistencia de la unión.
2. En el equipo: Parte de la tensión se pierde en la conexión y esta se calienta. El cable o la conexión se calientan y hay caída de tensión.
3. General: El tren transfiere una corriente menor a 300 A.</t>
  </si>
  <si>
    <t>Pérdida de apriete, holgura o marcas de testigo desalineadas de la conexión del pantógrafo. Se detecta con: control de torque con llave; inspección visual de marcas de testigo.</t>
  </si>
  <si>
    <t>1. Local: La banda de contacto se desgasta al final de su vida útil y el área de contacto disminuye.
2. En el equipo: La corriente captada es menor y el contacto se calienta. El cable o la conexión se calientan y hay caída de tensión.
3. General: El tren transfiere una corriente menor a 300 A.</t>
  </si>
  <si>
    <t>No baja el pantógrafo. La función se pierde por completo: no se cumple ningún punto del estándar. Estándar: en un máximo de _____ s (valor por confirmar; fabricante). Se verifica con: prueba funcional / gatillo de seguridad.</t>
  </si>
  <si>
    <t>1. Local: El vástago del cilindro del pantógrafo se corroe y el cilindro se traba.
2. En el equipo: El pantógrafo no desciende al ordenar el descenso. No se nota en servicio; se descubre al ordenar el descenso y ver que el pantógrafo no baja.
3. General: El pantógrafo no baja.</t>
  </si>
  <si>
    <t>Movimiento duro, ruido o calentamiento anormal del cilindro del pantógrafo antes de trabarse. Se detecta con: análisis de vibraciones; termografía; análisis de partículas en el aceite. Al ser una función oculta no se nota en operación: depende de la inspección o prueba programada.</t>
  </si>
  <si>
    <t>1. Local: La electroválvula de descenso se atasca por contaminación y no libera el aire del cilindro.
2. En el equipo: El cilindro permanece presurizado. No se nota en servicio; se descubre al ordenar el descenso y ver que el pantógrafo no baja.
3. General: El pantógrafo no baja.</t>
  </si>
  <si>
    <t>Respuesta más lenta o movimiento duro de la electroválvula de descenso antes de quedar trabado. Se detecta con: prueba funcional; medición de tiempos de ciclo. Al ser una función oculta no se nota en operación: depende de la inspección o prueba programada.</t>
  </si>
  <si>
    <t>Baja el pantógrafo con lentitud. Estándar: en un máximo de _____ s (valor por confirmar; fabricante). Se verifica con: prueba funcional / gatillo de seguridad.</t>
  </si>
  <si>
    <t>1. Local: El orificio de escape del pantógrafo se obstruye con suciedad y el aire sale más lento.
2. En el equipo: El cilindro se despresuriza lentamente. El pantógrafo baja con demora respecto al tiempo normal.
3. General: El pantógrafo baja con lentitud.</t>
  </si>
  <si>
    <t>Aumento de la presión diferencial o caída del caudal por acumulación de suciedad del orificio de escape del pantógrafo. Se detecta con: lectura de manómetros y diferencial de presión; medición de caudal; inspección visual. Al ser una función oculta no se nota en operación: depende de la inspección o prueba programada.</t>
  </si>
  <si>
    <t>No distribuye el aire auxiliar. La función se pierde por completo: no se cumple ningún punto del estándar. Estándar: a presión de _____ bar (valor por confirmar; fabricante). Se verifica con: manómetro de prueba.</t>
  </si>
  <si>
    <t>1. Local: La válvula distribuidora auxiliar se atasca por contaminación y no deja pasar aire.
2. En el equipo: El circuito auxiliar no recibe aire. Los equipos auxiliares no reciben aire.
3. General: El tren no distribuye el aire auxiliar.</t>
  </si>
  <si>
    <t>Respuesta más lenta o movimiento duro de la válvula distribuidora auxiliar antes de quedar trabado. Se detecta con: prueba funcional; medición de tiempos de ciclo.</t>
  </si>
  <si>
    <t>Distribuye el aire auxiliar con presión insuficiente. Estándar: a presión de _____ bar (valor por confirmar; fabricante). Se verifica con: manómetro de prueba.</t>
  </si>
  <si>
    <t>1. Local: El filtro regulador se obstruye con suciedad y restringe el caudal.
2. En el equipo: El aire llega al circuito auxiliar con menos presión. Los auxiliares trabajan débiles.
3. General: El tren distribuye el aire auxiliar con presión insuficiente.</t>
  </si>
  <si>
    <t>No disipa la energía de frenado. La función se pierde por completo: no se cumple ningún punto del estándar. Estándar: con potencia de _____ kW (valor por confirmar; fabricante). Se verifica con: inspección (PM-2012 pág. 17).</t>
  </si>
  <si>
    <t>1. Local: La resistencia de frenado se abre por fatiga térmica y su circuito se interrumpe.
2. En el equipo: La energía del freno eléctrico no se disipa en la resistencia. No se nota en servicio; se descubre porque el freno eléctrico no actúa o por medición de resistencia.
3. General: El tren no disipa la energía de frenado eléctrico.</t>
  </si>
  <si>
    <t>Resistencia anormal o pérdida de continuidad de la resistencia de frenado. Se detecta con: medición de continuidad; inspección de conexiones. Al ser una función oculta no se nota en operación: depende de la inspección o prueba programada.</t>
  </si>
  <si>
    <t>Disipa la energía de frenado con capacidad reducida. Estándar: con potencia de _____ kW (valor por confirmar; fabricante). Se verifica con: inspección (PM-2012 pág. 17).</t>
  </si>
  <si>
    <t>1. Local: La resistencia de frenado se degrada por el envejecimiento y disipa menos potencia.
2. En el equipo: La resistencia se sobrecalienta. El freno eléctrico se corta por sobretemperatura.
3. General: El tren disipa la energía de frenado con capacidad reducida.</t>
  </si>
  <si>
    <t>Caída gradual del rendimiento de la resistencia de frenado, con ruido, calentamiento o vibración mayor a la normal. Se detecta con: medición de prestaciones; análisis de vibraciones o termografía. Al ser una función oculta no se nota en operación: depende de la inspección o prueba programada.</t>
  </si>
  <si>
    <t>1. Local: El rodamiento del ventilador de la resistencia se desgasta y el ventilador gira lento.
2. En el equipo: La resistencia se enfría menos. El freno eléctrico se corta por sobretemperatura.
3. General: El tren disipa la energía de frenado con capacidad reducida.</t>
  </si>
  <si>
    <t>Movimiento duro, ruido o calentamiento anormal del ventilador de la resistencia antes de trabarse. Se detecta con: análisis de vibraciones; termografía; análisis de partículas en el aceite. Al ser una función oculta no se nota en operación: depende de la inspección o prueba programada.</t>
  </si>
  <si>
    <t>No transmite el par al eje. La función se pierde por completo: no se cumple ningún punto del estándar. Estándar: de 5.104 N·m (derivado técnicamente: Derivado técnicamente de datos validados (se indica el cálculo en la observación)). Se verifica con: prueba de prestaciones de tracción.</t>
  </si>
  <si>
    <t>1. Local: El acople elástico se rompe por fatiga y desconecta el motor del eje.
2. En el equipo: El giro del motor no llega al eje. El motor gira pero el eje no recibe par.
3. General: El tren no transmite par al eje.</t>
  </si>
  <si>
    <t>Fisura, deformación o marca de rotura incipiente del acople elástico. Se detecta con: inspección visual y ensayos no destructivos (líquidos penetrantes o partículas magnéticas).</t>
  </si>
  <si>
    <t>Transmite el par al eje por debajo de 5.104 N·m. Estándar: de 5.104 N·m (derivado técnicamente: Derivado técnicamente de datos validados (se indica el cálculo en la observación)). Se verifica con: prueba de prestaciones de tracción.</t>
  </si>
  <si>
    <t>1. Local: El estriado del eje se desgasta por la fricción repetida y aparece juego en la unión.
2. En el equipo: El par se transmite con holgura y vibración. El tren pierde par de tracción y se siente vibración.
3. General: El tren transmite al eje un par menor a 5.104 N·m.</t>
  </si>
  <si>
    <t>Pérdida progresiva de material del estriado del eje hasta acercarse al límite de desgaste. Se detecta con: medición con calibre, galga o micrómetro; inspección visual.</t>
  </si>
  <si>
    <t>No distribuye la carga entre ejes. La función se pierde por completo: no se cumple ningún punto del estándar. Estándar: hasta _____ t (valor por confirmar; fabricante). Se verifica con: inspección visual y END.</t>
  </si>
  <si>
    <t>1. Local: El balancín se fractura por fatiga del material y se separa de sus apoyos.
2. En el equipo: La carga no se reparte entre los ejes. No se nota en servicio; se descubre en la inspección del balancín.
3. General: El bogie no distribuye la carga entre ejes.</t>
  </si>
  <si>
    <t>Fisura, deformación o marca de rotura incipiente del balancín. Se detecta con: inspección visual y ensayos no destructivos (líquidos penetrantes o partículas magnéticas). Al ser una función oculta no se nota en operación: depende de la inspección o prueba programada.</t>
  </si>
  <si>
    <t>Distribuye la carga entre ejes de forma desigual. Estándar: hasta _____ t (valor por confirmar; fabricante). Se verifica con: inspección visual y END.</t>
  </si>
  <si>
    <t>1. Local: El casquillo del balancín se desgasta al final de su vida útil y aparece juego.
2. En el equipo: La carga se reparte de forma desigual entre los ejes. La inspección muestra desgaste desigual de ruedas.
3. General: El bogie distribuye la carga entre ejes de forma desigual.</t>
  </si>
  <si>
    <t>Pérdida progresiva de material del casquillo del balancín hasta acercarse al límite de desgaste. Se detecta con: medición con calibre, galga o micrómetro; inspección visual. Al ser una función oculta no se nota en operación: depende de la inspección o prueba programada.</t>
  </si>
  <si>
    <t>No soporta la carga de caja. La función se pierde por completo: no se cumple ningún punto del estándar. Estándar: hasta _____ t (valor por confirmar; fabricante). Se verifica con: ficha del bogie.</t>
  </si>
  <si>
    <t>1. Local: El bastidor del bogie se fractura por fatiga del material y se parte.
2. En el equipo: El bogie pierde su estructura de soporte. No se nota en servicio; se descubre en la inspección END del bastidor.
3. General: El bogie no soporta la carga de la caja.</t>
  </si>
  <si>
    <t>Soporta la carga de caja con capacidad reducida. Estándar: hasta _____ t (valor por confirmar; fabricante). Se verifica con: ficha del bogie.</t>
  </si>
  <si>
    <t>1. Local: El bastidor del bogie se fisura por las cargas dinámicas repetidas.
2. En el equipo: El bastidor pierde sección resistente. Las pruebas END muestran fisuras que reducen la capacidad.
3. General: El bogie soporta la carga de caja con una capacidad reducida.</t>
  </si>
  <si>
    <t>No transmite el esfuerzo de tracción. La función se pierde por completo: no se cumple ningún punto del estándar. Estándar: hasta _____ kN (valor por confirmar; fabricante). Se verifica con: prueba de prestaciones de tracción C.E8.92.301.</t>
  </si>
  <si>
    <t>1. Local: La biela de tracción se rompe por fatiga del material.
2. En el equipo: El esfuerzo del bogie no se transmite a la caja. El motor gira pero el tren no avanza.
3. General: El tren no transmite el esfuerzo de tracción.</t>
  </si>
  <si>
    <t>Fisura, deformación o marca de rotura incipiente de la biela de tracción. Se detecta con: inspección visual y ensayos no destructivos (líquidos penetrantes o partículas magnéticas).</t>
  </si>
  <si>
    <t>Transmite el esfuerzo de tracción con holgura excesiva. Estándar: hasta _____ kN (valor por confirmar; fabricante). Se verifica con: prueba de prestaciones de tracción C.E8.92.301.</t>
  </si>
  <si>
    <t>1. Local: Los casquillos de la biela se desgastan al final de su vida útil y aparece holgura.
2. En el equipo: El esfuerzo se transmite con golpes al arrancar y frenar. Se oyen golpes al arrancar y frenar.
3. General: El tren transmite el esfuerzo de tracción con holgura excesiva.</t>
  </si>
  <si>
    <t>Pérdida progresiva de material de los casquillos de la biela hasta acercarse al límite de desgaste. Se detecta con: medición con calibre, galga o micrómetro; inspección visual.</t>
  </si>
  <si>
    <t>No sella la caja del coche. La función se pierde por completo: no se cumple ningún punto del estándar. Estándar: con 0 filtraciones en prueba de agua (fuente técnica: Plan de Mantenimiento de trenes Metro de Medellín, Ed. 1 (jun-2012) – p.4 (C.E8.92.225)). Se verifica con: protocolo C.E8.92.225 Estanqueidad al agua.</t>
  </si>
  <si>
    <t>1. Local: La cubierta del techo se rompe por fatiga del material y deja una abertura grande.
2. En el equipo: El agua de lluvia entra directamente al interior del coche. Entra agua abundante al coche en lluvia.
3. General: La caja del coche no queda sellada.</t>
  </si>
  <si>
    <t>Grietas, resequedad, abultamientos o rozaduras visibles de la cubierta del techo. Se detecta con: inspección visual.</t>
  </si>
  <si>
    <t>Sella la caja del coche con filtraciones en la prueba de agua. Estándar: con 0 filtraciones en prueba de agua (fuente técnica: Plan de Mantenimiento de trenes Metro de Medellín, Ed. 1 (jun-2012) – p.4 (C.E8.92.225)). Se verifica con: protocolo C.E8.92.225 Estanqueidad al agua.</t>
  </si>
  <si>
    <t>1. Local: El sello de la ventana se reseca por el envejecimiento y se agrieta.
2. En el equipo: El agua entra por las grietas del sello. La prueba de agua o la lluvia muestran goteras.
3. General: La caja del coche presenta filtraciones en la prueba de agua.</t>
  </si>
  <si>
    <t>1. Local: El burlete de la puerta se desgarra por los ciclos repetidos de apertura y cierre y pierde su continuidad.
2. En el equipo: El agua entra por el tramo desgarrado. La prueba de agua o la lluvia muestran goteras.
3. General: La caja del coche presenta filtraciones en la prueba de agua.</t>
  </si>
  <si>
    <t>Grietas, resequedad, abultamientos o rozaduras visibles del burlete de puerta. Se detecta con: inspección visual.</t>
  </si>
  <si>
    <t>1. Local: La cubierta del techo se agrieta por el envejecimiento y deja pasar agua por las grietas.
2. En el equipo: El agua se filtra hacia el interior. La prueba de agua o la lluvia muestran goteras.
3. General: La caja del coche presenta filtraciones en la prueba de agua.</t>
  </si>
  <si>
    <t>No barre el agua del parabrisas. La función se pierde por completo: no se cumple ningún punto del estándar. Estándar: a _____ ciclos/min (valor por confirmar; fabricante). Se verifica con: comprobación de funcionamiento (PM-2012 pág. 7).</t>
  </si>
  <si>
    <t>1. Local: El motor del limpiaparabrisas se quema por la humedad en el bobinado.
2. En el equipo: El brazo no se mueve. El limpiaparabrisas no se mueve al activarlo.
3. General: El parabrisas no se limpia y la visibilidad en lluvia se reduce.</t>
  </si>
  <si>
    <t>Aumento de temperatura, de consumo de corriente o caída de la resistencia de aislamiento del motor del limpiaparabrisas. Se detecta con: termografía; medición de corriente; prueba de aislamiento (megóhmetro).</t>
  </si>
  <si>
    <t>1. Local: El brazo del limpiaparabrisas se rompe por fatiga y se separa del mecanismo.
2. En el equipo: La escobilla no barre el parabrisas. El limpiaparabrisas no se mueve al activarlo.
3. General: El parabrisas no se limpia y la visibilidad en lluvia se reduce.</t>
  </si>
  <si>
    <t>Fisura, deformación o marca de rotura incipiente del brazo del limpiaparabrisas. Se detecta con: inspección visual y ensayos no destructivos (líquidos penetrantes o partículas magnéticas).</t>
  </si>
  <si>
    <t>Barre el agua del parabrisas de forma deficiente. Estándar: a _____ ciclos/min (valor por confirmar; fabricante). Se verifica con: comprobación de funcionamiento (PM-2012 pág. 7).</t>
  </si>
  <si>
    <t>1. Local: La escobilla se desgasta al final de su vida útil y pierde contacto uniforme con el vidrio.
2. En el equipo: El agua no se retira completamente. El parabrisas queda con rayas y zonas sin limpiar.
3. General: El parabrisas se barre de forma deficiente y la visibilidad en lluvia es menor.</t>
  </si>
  <si>
    <t>Pérdida progresiva de material de la escobilla del limpiaparabrisas hasta acercarse al límite de desgaste. Se detecta con: medición con calibre, galga o micrómetro; inspección visual.</t>
  </si>
  <si>
    <t>1. Local: El mecanismo del limpiaparabrisas se traba por corrosión y no completa su recorrido.
2. En el equipo: El brazo se detiene a mitad del barrido. El limpiaparabrisas se detiene a mitad de recorrido.
3. General: El parabrisas se barre de forma deficiente y la visibilidad en lluvia es menor.</t>
  </si>
  <si>
    <t>Respuesta más lenta o movimiento duro del mecanismo del limpiaparabrisas antes de quedar trabado. Se detecta con: prueba funcional; medición de tiempos de ciclo.</t>
  </si>
  <si>
    <t>No respalda los circuitos de mando. La función se pierde por completo: no se cumple ningún punto del estándar. Estándar: durante un mínimo de _____ min (valor por confirmar; fabricante). Se verifica con: ensayo eléctrico de la batería (PM-2012 pág. 32).</t>
  </si>
  <si>
    <t>1. Local: La batería Ni-Cd llega al final de su vida útil y no retiene carga.
2. En el equipo: El circuito de respaldo no recibe tensión cuando se pierde la alimentación principal. No se nota en servicio; se descubre en la prueba de descarga de la batería.
3. General: Los circuitos de mando no tienen respaldo.</t>
  </si>
  <si>
    <t>Caída gradual de la tensión y de la capacidad de la batería Ni-Cd. Se detecta con: prueba de carga; medición de tensión en reposo y bajo carga. Al ser una función oculta no se nota en operación: depende de la inspección o prueba programada.</t>
  </si>
  <si>
    <t>1. Local: Una celda de la batería se cortocircuita por la rotura del separador y deja de aportar tensión.
2. En el equipo: La tensión de la batería cae y no se sostiene. No se nota en servicio; se descubre en la prueba de descarga de la batería.
3. General: Los circuitos de mando no tienen respaldo.</t>
  </si>
  <si>
    <t>No hay una condición detectable que avise con anticipación: la celda de la batería deja de funcionar de forma súbita. Se detecta con: prueba funcional programada; registro de eventos y alarmas del equipo. Al ser una función oculta no se nota en operación: depende de la inspección o prueba programada.</t>
  </si>
  <si>
    <t>Respalda los circuitos de mando con autonomía menor a la requerida. Estándar: durante un mínimo de _____ min (valor por confirmar; fabricante). Se verifica con: ensayo eléctrico de la batería (PM-2012 pág. 32).</t>
  </si>
  <si>
    <t>1. Local: Las celdas de la batería pierden capacidad por los ciclos de carga y descarga.
2. En el equipo: La batería se descarga en menos tiempo. La prueba de capacidad da una autonomía menor a la prevista.
3. General: Los circuitos de mando tienen respaldo por un tiempo menor al requerido.</t>
  </si>
  <si>
    <t>Caída gradual de la tensión y de la capacidad de las celdas de la batería, con tiempos de carga más largos. Se detecta con: prueba de carga; medición de tensión en reposo y bajo carga. Al ser una función oculta no se nota en operación: depende de la inspección o prueba programada.</t>
  </si>
  <si>
    <t>No almacena energía eléctrica. La función se pierde por completo: no se cumple ningún punto del estándar. Estándar: con capacidad de _____ Ah (valor por confirmar; fabricante). Se verifica con: ensayo de capacidad.</t>
  </si>
  <si>
    <t>Almacena energía eléctrica con capacidad menor a _____ Ah. Estándar: con capacidad de _____ Ah (valor por confirmar; fabricante). Se verifica con: ensayo de capacidad.</t>
  </si>
  <si>
    <t>No suministra la energía auxiliar. La función se pierde por completo: no se cumple ningún punto del estándar. Estándar: con potencia de _____ kVA (valor por confirmar; fabricante). Se verifica con: placa.</t>
  </si>
  <si>
    <t>1. Local: El módulo IGBT del convertidor se quema por sobretemperatura y deja de conmutar.
2. En el equipo: El convertidor auxiliar no entrega tensión. Se apagan las luces, el aire acondicionado y la ventilación del tren.
3. General: El tren queda sin energía auxiliar.</t>
  </si>
  <si>
    <t>Aumento de temperatura, de consumo de corriente o caída de la resistencia de aislamiento del módulo IGBT del convertidor. Se detecta con: termografía; medición de corriente; prueba de aislamiento (megóhmetro).</t>
  </si>
  <si>
    <t>1. Local: El convertidor auxiliar supera su temperatura máxima y se dispara por sobretemperatura.
2. En el equipo: El convertidor deja de entregar tensión. Se apagan las luces, el aire acondicionado y la ventilación del tren.
3. General: El tren queda sin energía auxiliar.</t>
  </si>
  <si>
    <t>Aumento de temperatura, de consumo de corriente o caída de la resistencia de aislamiento del convertidor auxiliar. Se detecta con: termografía; medición de corriente; prueba de aislamiento (megóhmetro).</t>
  </si>
  <si>
    <t>1. Local: Las soldaduras de la tarjeta de control se fatigan y pierden contacto de forma intermitente.
2. En el equipo: El convertidor se activa y se desactiva sin causa. Los auxiliares se apagan y encienden sin causa clara.
3. General: El tren recibe energía auxiliar de forma intermitente.</t>
  </si>
  <si>
    <t>Suministra la energía auxiliar con tensión baja. Estándar: con potencia de _____ kVA (valor por confirmar; fabricante). Se verifica con: placa.</t>
  </si>
  <si>
    <t>1. Local: El condensador del filtro se degrada por el envejecimiento y pierde capacidad.
2. En el equipo: La tensión de salida del convertidor queda con más ondulación y menor valor. Las luces bajan de intensidad y los motores auxiliares se calientan.
3. General: El tren recibe energía auxiliar con tensión baja.</t>
  </si>
  <si>
    <t>Deriva en las lecturas, aumento de temperatura o caída del rendimiento del condensador del filtro. Se detecta con: medición de parámetros eléctricos; termografía.</t>
  </si>
  <si>
    <t>No carga la batería. La función se pierde por completo: no se cumple ningún punto del estándar. Estándar: con tensión de carga de _____ V (valor por confirmar; fabricante). Se verifica con: comprobación de la tensión del cargador (PM-2012 pág. 32).</t>
  </si>
  <si>
    <t>1. Local: El cargador de batería supera su temperatura máxima y se dispara.
2. En el equipo: La batería no recibe corriente de carga. La batería queda descargada y no entrega energía de respaldo.
3. General: El tren no carga la batería.</t>
  </si>
  <si>
    <t>Aumento de temperatura, de consumo de corriente o caída de la resistencia de aislamiento del cargador de batería. Se detecta con: termografía; medición de corriente; prueba de aislamiento (megóhmetro).</t>
  </si>
  <si>
    <t>Carga la batería con tensión insuficiente. Estándar: con tensión de carga de _____ V (valor por confirmar; fabricante). Se verifica con: comprobación de la tensión del cargador (PM-2012 pág. 32).</t>
  </si>
  <si>
    <t>1. Local: El regulador de carga se descalibra por deriva y entrega una tensión menor a la ajustada.
2. En el equipo: La batería recibe una carga incompleta. La batería tarda en cargarse y no llega al nivel pleno.
3. General: El tren carga la batería con una tensión insuficiente.</t>
  </si>
  <si>
    <t>Deriva del regulador de carga frente al valor patrón, con lecturas o ajustes que se van corriendo. Se detecta con: verificación contra patrón calibrado; lectura de parámetros; medición de alineación o vibración.</t>
  </si>
  <si>
    <t>Carga la batería con tensión excesiva. Estándar: con tensión de carga de _____ V (valor por confirmar; fabricante). Se verifica con: comprobación de la tensión del cargador (PM-2012 pág. 32).</t>
  </si>
  <si>
    <t>1. Local: El regulador de carga se descalibra por deriva y entrega una tensión mayor a la ajustada.
2. En el equipo: La batería recibe una carga excesiva y se calienta. Las celdas se calientan y pierden electrolito; se acorta la vida de la batería.
3. General: El tren carga la batería con una tensión excesiva.</t>
  </si>
  <si>
    <t>No acopla las unidades. La función se pierde por completo: no se cumple ningún punto del estándar. Estándar: con tracción de 850 kN (fuente técnica: Dellner). Se verifica con: comprobación funcional (PM-2012 pág. 9).</t>
  </si>
  <si>
    <t>1. Local: La cabeza del acople se traba por un impacto mecánico y no engancha.
2. En el equipo: Las unidades no se unen al empujar una contra otra. Las unidades no se acoplan al empujar una contra otra.
3. General: El tren no acopla las unidades.</t>
  </si>
  <si>
    <t>No hay una condición detectable que avise con anticipación: la cabeza del acople queda afectada por un evento súbito de impacto. Se detecta con: inspección visual después de cada evento; registro de eventos y alarmas del equipo.</t>
  </si>
  <si>
    <t>Acopla las unidades con tracción menor a 850 kN. Estándar: con tracción de 850 kN (fuente técnica: Dellner). Se verifica con: comprobación funcional (PM-2012 pág. 9).</t>
  </si>
  <si>
    <t>1. Local: Los pasadores del acople se desgastan por fatiga y el acople se desliza bajo carga.
2. En el equipo: La unión se desplaza o hace ruido durante la tracción. La prueba de tracción muestra deslizamiento o ruido.
3. General: El acople resiste una tracción menor a 850 kN.</t>
  </si>
  <si>
    <t>Pérdida progresiva de material de los pasadores del acople hasta acercarse al límite de desgaste. Se detecta con: medición con calibre, galga o micrómetro; inspección visual.</t>
  </si>
  <si>
    <t>No amortigua los choques. La función se pierde por completo: no se cumple ningún punto del estándar. Estándar: con energía de _____ kJ (valor por confirmar; fabricante). Se verifica con: inspección del dispositivo de tracción.</t>
  </si>
  <si>
    <t>1. Local: El elemento elástico del enganche se rompe por fatiga y deja de absorber el impacto.
2. En el equipo: El enganche transmite el golpe directamente a la estructura. No se nota en servicio; se descubre en la inspección del amortiguador.
3. General: El enganche no amortigua los choques.</t>
  </si>
  <si>
    <t>Fisura, deformación o marca de rotura incipiente del elemento elástico del enganche. Se detecta con: inspección visual y ensayos no destructivos (líquidos penetrantes o partículas magnéticas). Al ser una función oculta no se nota en operación: depende de la inspección o prueba programada.</t>
  </si>
  <si>
    <t>Amortigua los choques con capacidad reducida. Estándar: con energía de _____ kJ (valor por confirmar; fabricante). Se verifica con: inspección del dispositivo de tracción.</t>
  </si>
  <si>
    <t>1. Local: La goma de amortiguación se endurece por el envejecimiento y absorbe menos energía.
2. En el equipo: El amortiguador pierde carrera y presenta fugas. La inspección muestra pérdida de carrera o fugas.
3. General: El enganche amortigua los choques con una capacidad reducida.</t>
  </si>
  <si>
    <t>Pérdida de elasticidad, grietas finas o resequedad de la goma de amortiguación. Se detecta con: inspección visual; medición de prestaciones (presión, caudal). Al ser una función oculta no se nota en operación: depende de la inspección o prueba programada.</t>
  </si>
  <si>
    <t>No amortigua los choques. La función se pierde por completo: no se cumple ningún punto del estándar. Estándar: con energía de _____ kJ (valor por confirmar; fabricante). Se verifica con: inspección del amortiguador.</t>
  </si>
  <si>
    <t>Amortigua los choques con capacidad reducida. Estándar: con energía de _____ kJ (valor por confirmar; fabricante). Se verifica con: inspección del amortiguador.</t>
  </si>
  <si>
    <t>No une los coches. La función se pierde por completo: no se cumple ningún punto del estándar. Estándar: con esfuerzo longitudinal de _____ kN (valor por confirmar; fabricante). Se verifica con: revisión general del enganche semipermanente (PM-2012 pág. 10).</t>
  </si>
  <si>
    <t>1. Local: La barra del enganche se rompe por fatiga del material.
2. En el equipo: Los coches quedan sin unión mecánica. No se nota en servicio; se descubre en la inspección END del enganche.
3. General: Los coches no quedan unidos.</t>
  </si>
  <si>
    <t>Fisura, deformación o marca de rotura incipiente de la barra del enganche. Se detecta con: inspección visual y ensayos no destructivos (líquidos penetrantes o partículas magnéticas). Al ser una función oculta no se nota en operación: depende de la inspección o prueba programada.</t>
  </si>
  <si>
    <t>1. Local: El perno de unión se rompe por fatiga y se pierde la unión entre las partes del enganche.
2. En el equipo: Los coches quedan sin unión mecánica. No se nota en servicio; se descubre en la inspección END del enganche.
3. General: Los coches no quedan unidos.</t>
  </si>
  <si>
    <t>Fisura, deformación o marca de rotura incipiente del perno de unión. Se detecta con: inspección visual y ensayos no destructivos (líquidos penetrantes o partículas magnéticas). Al ser una función oculta no se nota en operación: depende de la inspección o prueba programada.</t>
  </si>
  <si>
    <t>Une los coches con holgura excesiva. Estándar: con esfuerzo longitudinal de _____ kN (valor por confirmar; fabricante). Se verifica con: revisión general del enganche semipermanente (PM-2012 pág. 10).</t>
  </si>
  <si>
    <t>1. Local: El pasador del enganche se desgasta por la fricción repetida y aparece holgura.
2. En el equipo: La unión entre coches se mueve con golpes en cada variación de esfuerzo. Se escuchan golpes al arrancar y frenar.
3. General: Los coches quedan unidos con holgura excesiva.</t>
  </si>
  <si>
    <t>Pérdida progresiva de material del pasador del enganche hasta acercarse al límite de desgaste. Se detecta con: medición con calibre, galga o micrómetro; inspección visual. Al ser una función oculta no se nota en operación: depende de la inspección o prueba programada.</t>
  </si>
  <si>
    <t>No desacopla el enganche. La función se pierde por completo: no se cumple ningún punto del estándar. Estándar: en un máximo de _____ s (valor por confirmar; fabricante). Se verifica con: prueba funcional.</t>
  </si>
  <si>
    <t>1. Local: La válvula del actuador del enganche se atasca por contaminación y no deja pasar aire.
2. En el equipo: El actuador no se mueve. Al ordenar el desacople, las unidades no se separan.
3. General: El enganche no se desacopla.</t>
  </si>
  <si>
    <t>Respuesta más lenta o movimiento duro de la válvula del actuador de enganche antes de quedar trabado. Se detecta con: prueba funcional; medición de tiempos de ciclo.</t>
  </si>
  <si>
    <t>1. Local: La electroválvula del actuador se pega por suciedad y responde de forma irregular.
2. En el equipo: El actuador recibe aire solo en algunos intentos. El desacople funciona a veces y otras no.
3. General: El enganche se desacopla de forma intermitente.</t>
  </si>
  <si>
    <t>Respuesta más lenta o movimiento duro de la electroválvula del actuador antes de quedar trabado. Se detecta con: prueba funcional; medición de tiempos de ciclo.</t>
  </si>
  <si>
    <t>Desacopla el enganche con lentitud. Estándar: en un máximo de _____ s (valor por confirmar; fabricante). Se verifica con: prueba funcional.</t>
  </si>
  <si>
    <t>1. Local: El actuador del enganche pierde presión por una fuga interna y se mueve más lento.
2. En el equipo: El desacople se hace con menos fuerza y velocidad. El desacople tarda más de lo normal.
3. General: El enganche se desacopla con lentitud.</t>
  </si>
  <si>
    <t>Humedad, goteo o pérdida de nivel o de presión alrededor del actuador del enganche. Se detecta con: inspección visual; prueba de estanqueidad; lectura de nivel y presión.</t>
  </si>
  <si>
    <t>No limita el deslizamiento de las ruedas. La función se pierde por completo: no se cumple ningún punto del estándar. Estándar: por debajo de 10 % (fabricante: Knorr-Bremse). Se verifica con: test de antideslizamiento (PM-2012 pág. 28).</t>
  </si>
  <si>
    <t>1. Local: La válvula antideslizante se atasca por contaminación y no modula la presión del freno cuando una rueda patina.
2. En el equipo: El freno se mantiene aplicado aunque la rueda deslice. No se nota en servicio; se descubre en la prueba del equipo antibloqueo.
3. General: El tren no limita el deslizamiento de las ruedas.</t>
  </si>
  <si>
    <t>Respuesta más lenta o movimiento duro de la válvula antideslizante antes de quedar trabado. Se detecta con: prueba funcional; medición de tiempos de ciclo. Al ser una función oculta no se nota en operación: depende de la inspección o prueba programada.</t>
  </si>
  <si>
    <t>1. Local: El sensor de velocidad del eje se desconecta por suciedad o por un cable cortado y no informa el giro de la rueda.
2. En el equipo: El equipo antibloqueo no detecta el deslizamiento. No se nota en servicio; se descubre en la prueba del equipo antibloqueo.
3. General: El tren no limita el deslizamiento de las ruedas.</t>
  </si>
  <si>
    <t>Pérdida de apriete, holgura o marcas de testigo desalineadas del sensor de velocidad de eje. Se detecta con: control de torque con llave; inspección visual de marcas de testigo. Al ser una función oculta no se nota en operación: depende de la inspección o prueba programada.</t>
  </si>
  <si>
    <t>Limita el deslizamiento de las ruedas por encima de 10 %. Estándar: por debajo de 10 % (fabricante: Knorr-Bremse). Se verifica con: test de antideslizamiento (PM-2012 pág. 28).</t>
  </si>
  <si>
    <t>1. Local: La válvula antideslizante se vuelve lenta por suciedad y modula la presión con retardo.
2. En el equipo: La rueda desliza más tiempo antes de recuperar el giro. Se forman calibres planos y el deslizamiento supera el 10 %.
3. General: El tren limita el deslizamiento por encima del 10 %.</t>
  </si>
  <si>
    <t>1. Local: El sensor de velocidad del eje se descalibra por deriva y informa velocidades distintas a las reales.
2. En el equipo: El equipo antibloqueo actúa con retardo o de forma incorrecta. Se forman calibres planos y el deslizamiento supera el 10 %.
3. General: El tren limita el deslizamiento por encima del 10 %.</t>
  </si>
  <si>
    <t>Deriva del sensor de velocidad de eje frente al valor patrón, con lecturas o ajustes que se van corriendo. Se detecta con: verificación contra patrón calibrado; lectura de parámetros; medición de alineación o vibración. Al ser una función oculta no se nota en operación: depende de la inspección o prueba programada.</t>
  </si>
  <si>
    <t>1. Local: El conector del sensor se afloja por vibración y la señal se pierde de forma intermitente.
2. En el equipo: El equipo antibloqueo corrige a intervalos. La corrección actúa en forma irregular.
3. General: El tren limita el deslizamiento de forma irregular.</t>
  </si>
  <si>
    <t>Pérdida de apriete, holgura o marcas de testigo desalineadas del conector del sensor. Se detecta con: control de torque con llave; inspección visual de marcas de testigo. Al ser una función oculta no se nota en operación: depende de la inspección o prueba programada.</t>
  </si>
  <si>
    <t>No ejerce la fuerza de frenado. La función se pierde por completo: no se cumple ningún punto del estándar. Estándar: de _____ kN (valor por confirmar; fabricante). Se verifica con: protocolo C.E8.92.302 Prestaciones de freno.</t>
  </si>
  <si>
    <t>1. Local: La membrana del cilindro de freno se rompe por el envejecimiento y el aire se escapa.
2. En el equipo: El cilindro no genera empuje. El cilindro no empuja la timonería al aplicar el freno.
3. General: El tren no ejerce la fuerza de frenado de ese cilindro.</t>
  </si>
  <si>
    <t>1. Local: El vástago del cilindro se traba por corrosión y no se desplaza.
2. En el equipo: El cilindro no transmite empuje a la timonería. El cilindro no empuja la timonería al aplicar el freno.
3. General: El tren no ejerce la fuerza de frenado de ese cilindro.</t>
  </si>
  <si>
    <t>Movimiento duro, ruido o calentamiento anormal del vástago del cilindro antes de trabarse. Se detecta con: análisis de vibraciones; termografía; análisis de partículas en el aceite.</t>
  </si>
  <si>
    <t>Ejerce la fuerza de frenado por debajo de la nominal. Estándar: de _____ kN (valor por confirmar; fabricante). Se verifica con: protocolo C.E8.92.302 Prestaciones de freno.</t>
  </si>
  <si>
    <t>1. Local: El sello del cilindro de freno se desgasta al final de su vida útil y deja pasar aire entre cámaras.
2. En el equipo: El cilindro empuja con menos fuerza. La prueba de frenado da fuerza menor a la requerida.
3. General: El tren ejerce una fuerza de frenado menor a la nominal.</t>
  </si>
  <si>
    <t>1. Local: El resorte de retorno se debilita por fatiga y el cilindro no vuelve a su posición.
2. En el equipo: Las zapatas quedan parcialmente aplicadas y la fuerza útil baja. La prueba de frenado da fuerza menor a la requerida.
3. General: El tren ejerce una fuerza de frenado menor a la nominal.</t>
  </si>
  <si>
    <t>Pérdida de altura libre o de carga del resorte de retorno. Se detecta con: medición de altura libre y de carga en banco de pruebas; inspección visual.</t>
  </si>
  <si>
    <t>No adhiere el patín al riel. La función se pierde por completo: no se cumple ningún punto del estándar. Estándar: con 76 kN por metro (fuente técnica: Schwarzer). Se verifica con: prueba de freno de emergencia.</t>
  </si>
  <si>
    <t>1. Local: La bobina del patín se quema por sobrecalentamiento y no genera campo magnético.
2. En el equipo: El patín no se adhiere al riel. No se nota en servicio; se descubre en la prueba del freno electromagnético.
3. General: El tren no adhiere el patín al riel.</t>
  </si>
  <si>
    <t>Aumento de temperatura, de consumo de corriente o caída de la resistencia de aislamiento de la bobina del patín. Se detecta con: termografía; medición de corriente; prueba de aislamiento (megóhmetro). Al ser una función oculta no se nota en operación: depende de la inspección o prueba programada.</t>
  </si>
  <si>
    <t>Adhiere el patín al riel con fuerza menor a 76 kN por metro. Estándar: con 76 kN por metro (fuente técnica: Schwarzer). Se verifica con: prueba de freno de emergencia.</t>
  </si>
  <si>
    <t>1. Local: El aislamiento de la bobina del patín se degrada por el envejecimiento y el campo magnético es más débil.
2. En el equipo: El patín se adhiere al riel con menos fuerza. La prueba de adherencia da menos de 76 kN/m.
3. General: El tren adhiere el patín al riel con una fuerza menor a 76 kN por metro.</t>
  </si>
  <si>
    <t>Caída de la resistencia de aislamiento y aumento de la temperatura de operación de la bobina del patín. Se detecta con: prueba de aislamiento con megóhmetro (índice de polarización); termografía. Al ser una función oculta no se nota en operación: depende de la inspección o prueba programada.</t>
  </si>
  <si>
    <t>1. Local: El patín del freno se desgasta al final de su vida útil y aumenta la distancia al riel.
2. En el equipo: El flujo magnético entre patín y riel baja. La prueba de adherencia da menos de 76 kN/m.
3. General: El tren adhiere el patín al riel con una fuerza menor a 76 kN por metro.</t>
  </si>
  <si>
    <t>Pérdida progresiva de material del patín del freno hasta acercarse al límite de desgaste. Se detecta con: medición con calibre, galga o micrómetro; inspección visual. Al ser una función oculta no se nota en operación: depende de la inspección o prueba programada.</t>
  </si>
  <si>
    <t>No ilumina el salón. La función se pierde por completo: no se cumple ningún punto del estándar. Estándar: con un mínimo de 150 lux (norma: UIC 555). Se verifica con: luxómetro a 0,72 m.</t>
  </si>
  <si>
    <t>1. Local: El convertidor de iluminación se quema por sobretemperatura y deja de alimentar las luminarias.
2. En el equipo: Las luminarias no reciben tensión. El salón queda a oscuras.
3. General: El salón queda sin iluminación.</t>
  </si>
  <si>
    <t>Aumento de temperatura, de consumo de corriente o caída de la resistencia de aislamiento del convertidor de iluminación. Se detecta con: termografía; medición de corriente; prueba de aislamiento (megóhmetro).</t>
  </si>
  <si>
    <t>Ilumina el salón con menos de 150 lux. Estándar: con un mínimo de 150 lux (norma: UIC 555). Se verifica con: luxómetro a 0,72 m.</t>
  </si>
  <si>
    <t>1. Local: Los LED de las luminarias se degradan por el envejecimiento y emiten menos luz.
2. En el equipo: El flujo luminoso del salón baja. El luxómetro marca menos de 150 lux.
3. General: El salón se ilumina con menos de 150 lux.</t>
  </si>
  <si>
    <t>Caída gradual del rendimiento de las luminarias, con ruido, calentamiento o vibración mayor a la normal. Se detecta con: medición de prestaciones; análisis de vibraciones o termografía.</t>
  </si>
  <si>
    <t>1. Local: El difusor de la luminaria se opaca por la suciedad y el envejecimiento y deja pasar menos luz.
2. En el equipo: El flujo luminoso que sale al salón baja. El luxómetro marca menos de 150 lux.
3. General: El salón se ilumina con menos de 150 lux.</t>
  </si>
  <si>
    <t>Aumento de la presión diferencial o caída del caudal por acumulación de suciedad del difusor de luminaria. Se detecta con: lectura de manómetros y diferencial de presión; medición de caudal; inspección visual.</t>
  </si>
  <si>
    <t>1. Local: El conector de la luminaria se afloja por vibración y el contacto se vuelve intermitente.
2. En el equipo: La luminaria se apaga y se enciende. Las luces del salón parpadean y los pasajeros lo notan.
3. General: El salón se ilumina con menos de 150 lux de forma intermitente.</t>
  </si>
  <si>
    <t>Pérdida de apriete, holgura o marcas de testigo desalineadas del conector de luminaria. Se detecta con: control de torque con llave; inspección visual de marcas de testigo.</t>
  </si>
  <si>
    <t>No ilumina el salón en emergencia. La función se pierde por completo: no se cumple ningún punto del estándar. Estándar: durante un mínimo de 90 min (norma: UIC 555). Se verifica con: prueba con alimentación de batería.</t>
  </si>
  <si>
    <t>1. Local: La batería de emergencia llega al final de su vida útil y no retiene carga.
2. En el equipo: La luz de emergencia no recibe energía al perderse la alimentación principal. No se nota en servicio; se descubre en la prueba de luz de emergencia.
3. General: El salón queda sin iluminación de emergencia.</t>
  </si>
  <si>
    <t>Ilumina el salón en emergencia con autonomía menor a 90 min. Estándar: durante un mínimo de 90 min (norma: UIC 555). Se verifica con: prueba con alimentación de batería.</t>
  </si>
  <si>
    <t>1. Local: La batería de emergencia se degrada por los ciclos de carga y se descarga en menos tiempo.
2. En el equipo: La luz de emergencia se apaga antes de lo previsto. La prueba de autonomía da menos de 90 min.
3. General: El salón se ilumina en emergencia por menos de 90 min.</t>
  </si>
  <si>
    <t>Caída gradual de la tensión y de la capacidad de la batería de emergencia, con tiempos de carga más largos. Se detecta con: prueba de carga; medición de tensión en reposo y bajo carga. Al ser una función oculta no se nota en operación: depende de la inspección o prueba programada.</t>
  </si>
  <si>
    <t>No difunde los avisos sonoros. La función se pierde por completo: no se cumple ningún punto del estándar. Estándar: con inteligibilidad ≥ 0,50 STI (norma: IEC 60268-16 / EN 50849). Se verifica con: medición STIPA.</t>
  </si>
  <si>
    <t>1. Local: El amplificador de audio se quema por sobrecalentamiento y no entrega señal a los altavoces.
2. En el equipo: Los altavoces no reciben señal. Los altavoces no suenan.
3. General: El tren no difunde los avisos sonoros.</t>
  </si>
  <si>
    <t>Aumento de temperatura, de consumo de corriente o caída de la resistencia de aislamiento del amplificador de audio. Se detecta con: termografía; medición de corriente; prueba de aislamiento (megóhmetro).</t>
  </si>
  <si>
    <t>Difunde los avisos sonoros con inteligibilidad STI menor a 0,50. Estándar: con inteligibilidad ≥ 0,50 STI (norma: IEC 60268-16 / EN 50849). Se verifica con: medición STIPA.</t>
  </si>
  <si>
    <t>1. Local: El cono del altavoz se desgarra por el envejecimiento del material y distorsiona el sonido.
2. En el equipo: El altavoz reproduce el aviso con distorsión. Los pasajeros no entienden los avisos.
3. General: Los avisos se difunden con una inteligibilidad STI menor a 0,50.</t>
  </si>
  <si>
    <t>Fisura, deformación o marca de rotura incipiente del cono del altavoz. Se detecta con: inspección visual y ensayos no destructivos (líquidos penetrantes o partículas magnéticas).</t>
  </si>
  <si>
    <t>1. Local: El cableado del altavoz se afloja por vibración y la señal llega de forma deficiente.
2. En el equipo: El altavoz reproduce el aviso con menor volumen y cortes. Los pasajeros no entienden los avisos.
3. General: Los avisos se difunden con una inteligibilidad STI menor a 0,50.</t>
  </si>
  <si>
    <t>Pérdida de apriete, holgura o marcas de testigo desalineadas del cableado de altavoz. Se detecta con: control de torque con llave; inspección visual de marcas de testigo.</t>
  </si>
  <si>
    <t>1. Local: El conector del altavoz se sulfata por humedad y la señal llega con interferencia.
2. En el equipo: El altavoz reproduce el aviso con cortes y ruido. El sonido se corta o se oye con interferencia.
3. General: Los avisos se difunden con una inteligibilidad STI menor a 0,50.</t>
  </si>
  <si>
    <t>Óxido, picaduras o sulfatación visibles del conector de altavoz. Se detecta con: inspección visual; medición de resistencia de contacto o de tensión en bornes.</t>
  </si>
  <si>
    <t>No cierra la puerta. La función se pierde por completo: no se cumple ningún punto del estándar. Estándar: entre 2 y 3 s (fuente técnica: IFE (Knorr-Bremse)). Se verifica con: protocolo C.E8.92.203.</t>
  </si>
  <si>
    <t>1. Local: El motor de la puerta se quema por sobrecalentamiento y deja de mover la hoja.
2. En el equipo: La puerta se queda en su posición abierta. La puerta no cierra y el panel del conductor indica puerta abierta.
3. General: El tren no cierra la puerta y no puede salir de la estación.</t>
  </si>
  <si>
    <t>Aumento de temperatura, de consumo de corriente o caída de la resistencia de aislamiento del motor de puerta. Se detecta con: termografía; medición de corriente; prueba de aislamiento (megóhmetro).</t>
  </si>
  <si>
    <t>1. Local: La guía de la hoja de puerta se deforma y la hoja se traba en su recorrido.
2. En el equipo: La hoja no completa el cierre. La puerta no cierra y el panel del conductor indica puerta abierta.
3. General: El tren no cierra la puerta y no puede salir de la estación.</t>
  </si>
  <si>
    <t>Cierra la puerta en menos de 2 s. Estándar: entre 2 y 3 s (fuente técnica: IFE (Knorr-Bremse)). Se verifica con: protocolo C.E8.92.203.</t>
  </si>
  <si>
    <t>1. Local: La unidad de control de la puerta se descalibra por deriva y ordena una velocidad mayor a la ajustada.
2. En el equipo: La hoja se mueve más rápido y llega al final del recorrido con golpe. La puerta golpea al cerrar.
3. General: La puerta cierra en menos de 2 s.</t>
  </si>
  <si>
    <t>Deriva de la unidad de control de puerta frente al valor patrón, con lecturas o ajustes que se van corriendo. Se detecta con: verificación contra patrón calibrado; lectura de parámetros; medición de alineación o vibración.</t>
  </si>
  <si>
    <t>Cierra la puerta en más de 3 s. Estándar: entre 2 y 3 s (fuente técnica: IFE (Knorr-Bremse)). Se verifica con: protocolo C.E8.92.203.</t>
  </si>
  <si>
    <t>1. Local: El carro de la puerta se desgasta por la pérdida de la película de lubricante y aumenta la fricción.
2. En el equipo: La hoja se desplaza más lento. La puerta cierra con lentitud.
3. General: La puerta cierra en más de 3 s.</t>
  </si>
  <si>
    <t>Pérdida progresiva de material del carro de la puerta hasta acercarse al límite de desgaste. Se detecta con: medición con calibre, galga o micrómetro; inspección visual.</t>
  </si>
  <si>
    <t>1. Local: Los parámetros de velocidad se desajustan por el reinicio de la DCU y quedan con valores menores a los de diseño.
2. En el equipo: La hoja se mueve más lento de lo ajustado. La puerta cierra con lentitud.
3. General: La puerta cierra en más de 3 s.</t>
  </si>
  <si>
    <t>No hay una condición detectable que avise con anticipación: los parámetros de velocidad dejan de funcionar de forma súbita. Se detecta con: prueba funcional programada; registro de eventos y alarmas del equipo.</t>
  </si>
  <si>
    <t>1. Local: El detector de obstáculo se descalibra por suciedad y detecta obstáculos que no existen.
2. En el equipo: La puerta reabre repetidamente durante el cierre. La puerta cierra a veces y a veces rebota.
3. General: La puerta cierra en más de 3 s por los rebotes.</t>
  </si>
  <si>
    <t>No abre la puerta. La función se pierde por completo: no se cumple ningún punto del estándar. Estándar: entre 2 y 3 s (fuente técnica: IFE (Knorr-Bremse)). Se verifica con: protocolo C.E8.92.203 Puertas de acceso.</t>
  </si>
  <si>
    <t>1. Local: El motor de la puerta se quema por sobrecalentamiento y deja de mover la hoja.
2. En el equipo: La puerta se queda cerrada. La puerta no abre desde cabina ni con el botón del pasajero.
3. General: El tren no abre la puerta y el acceso queda cerrado.</t>
  </si>
  <si>
    <t>1. Local: La cerradura de la puerta se traba por desgaste y no libera la hoja.
2. En el equipo: La hoja no se desplaza. La puerta no abre desde cabina ni con el botón del pasajero.
3. General: El tren no abre la puerta y el acceso queda cerrado.</t>
  </si>
  <si>
    <t>Respuesta más lenta o movimiento duro de la cerradura de puerta antes de quedar trabado. Se detecta con: prueba funcional; medición de tiempos de ciclo.</t>
  </si>
  <si>
    <t>1. Local: El cableado de la puerta se afloja por vibración y la orden de apertura llega de forma intermitente.
2. En el equipo: La puerta recibe la orden en algunos intentos. La puerta abre a veces y a veces no.
3. General: El tren abre la puerta de forma intermitente.</t>
  </si>
  <si>
    <t>Pérdida de apriete, holgura o marcas de testigo desalineadas del cableado de la puerta. Se detecta con: control de torque con llave; inspección visual de marcas de testigo.</t>
  </si>
  <si>
    <t>Abre la puerta en menos de 2 s. Estándar: entre 2 y 3 s (fuente técnica: IFE (Knorr-Bremse)). Se verifica con: protocolo C.E8.92.203 Puertas de acceso.</t>
  </si>
  <si>
    <t>1. Local: La unidad de control de la puerta se descalibra por deriva y ordena una velocidad mayor a la ajustada.
2. En el equipo: La hoja se mueve más rápido y llega al final del recorrido con golpe. La puerta golpea al abrir.
3. General: La puerta abre en menos de 2 s.</t>
  </si>
  <si>
    <t>Abre la puerta en más de 3 s. Estándar: entre 2 y 3 s (fuente técnica: IFE (Knorr-Bremse)). Se verifica con: protocolo C.E8.92.203 Puertas de acceso.</t>
  </si>
  <si>
    <t>1. Local: El carro de la puerta se desgasta por la pérdida de la película de lubricante y aumenta la fricción.
2. En el equipo: La hoja se desplaza más lento. La puerta abre con lentitud.
3. General: La puerta abre en más de 3 s.</t>
  </si>
  <si>
    <t>No limita la fuerza de cierre. La función se pierde por completo: no se cumple ningún punto del estándar. Estándar: a un máximo de 400 N (norma: EN 14752). Se verifica con: medidor de fuerza de cierre.</t>
  </si>
  <si>
    <t>1. Local: El control de fuerza de la puerta se daña por un defecto electrónico y deja de limitar la corriente del motor.
2. En el equipo: El motor aplica una fuerza mayor a la ajustada. No se nota en servicio; se descubre en la medición de fuerza de cierre.
3. General: La puerta cierra sin límite de fuerza.</t>
  </si>
  <si>
    <t>No hay una condición detectable que avise con anticipación: el control de fuerza de la puerta deja de funcionar de forma súbita. Se detecta con: prueba funcional programada; registro de eventos y alarmas del equipo. Al ser una función oculta no se nota en operación: depende de la inspección o prueba programada.</t>
  </si>
  <si>
    <t>Limita la fuerza de cierre por encima de 400 N. Estándar: a un máximo de 400 N (norma: EN 14752). Se verifica con: medidor de fuerza de cierre.</t>
  </si>
  <si>
    <t>1. Local: El sensor de fuerza de la puerta se descalibra por deriva y mide menos de lo real.
2. En el equipo: El control permite una fuerza de cierre mayor a la ajustada. La medición de fuerza de cierre supera 400 N.
3. General: La puerta cierra con una fuerza mayor a 400 N.</t>
  </si>
  <si>
    <t>Deriva del sensor de fuerza de puerta frente al valor patrón, con lecturas o ajustes que se van corriendo. Se detecta con: verificación contra patrón calibrado; lectura de parámetros; medición de alineación o vibración. Al ser una función oculta no se nota en operación: depende de la inspección o prueba programada.</t>
  </si>
  <si>
    <t>1. Local: El motor de la puerta pierde los parámetros configurados y asume valores de fuerza mayores a los de diseño.
2. En el equipo: La hoja cierra con más fuerza. La medición de fuerza de cierre supera 400 N.
3. General: La puerta cierra con una fuerza mayor a 400 N.</t>
  </si>
  <si>
    <t>No hay una condición detectable que avise con anticipación: el motor de puerta deja de funcionar de forma súbita. Se detecta con: prueba funcional programada; registro de eventos y alarmas del equipo. Al ser una función oculta no se nota en operación: depende de la inspección o prueba programada.</t>
  </si>
  <si>
    <t>No reabre la puerta ante obstáculo. La función se pierde por completo: no se cumple ningún punto del estándar. Estándar: en un mínimo de 100 mm (norma: EN 14752). Se verifica con: prueba de detección de obstáculos.</t>
  </si>
  <si>
    <t>1. Local: El sensor de obstáculo se daña por un defecto electrónico y no detecta objetos en el cierre.
2. En el equipo: La puerta no recibe la orden de reabrir. No se nota en servicio; se descubre en la prueba de obstáculo.
3. General: La puerta no reabre ante un obstáculo.</t>
  </si>
  <si>
    <t>No hay una condición detectable que avise con anticipación: el sensor de obstáculo deja de funcionar de forma súbita. Se detecta con: prueba funcional programada; registro de eventos y alarmas del equipo. Al ser una función oculta no se nota en operación: depende de la inspección o prueba programada.</t>
  </si>
  <si>
    <t>Reabre la puerta solo ante obstáculo mayor a 100 mm. Estándar: en un mínimo de 100 mm (norma: EN 14752). Se verifica con: prueba de detección de obstáculos.</t>
  </si>
  <si>
    <t>1. Local: El sensor de obstáculo se descalibra por deriva y solo detecta objetos de mayor tamaño.
2. En el equipo: La puerta no reabre ante obstáculos pequeños. La prueba con obstáculo de 100 mm no reabre la puerta.
3. General: La puerta reabre solo ante obstáculos mayores a 100 mm.</t>
  </si>
  <si>
    <t>Deriva del sensor de obstáculo frente al valor patrón, con lecturas o ajustes que se van corriendo. Se detecta con: verificación contra patrón calibrado; lectura de parámetros; medición de alineación o vibración. Al ser una función oculta no se nota en operación: depende de la inspección o prueba programada.</t>
  </si>
  <si>
    <t>No enclava la puerta en marcha. La función se pierde por completo: no se cumple ningún punto del estándar. Estándar: a partir de _____ km/h (valor por confirmar; fuente técnica: Plan de Mantenimiento de trenes Metro de Medellín, Ed. 1 (jun-2012) – p.20 (MM.07.01)). Se verifica con: comprobación de seguridad.</t>
  </si>
  <si>
    <t>1. Local: El pestillo de enclavamiento se rompe por fatiga del material y no retiene la hoja.
2. En el equipo: La hoja queda sin enclavamiento mecánico. No se nota en servicio; se descubre en la prueba de enclavamiento.
3. General: La puerta no queda enclavada con el tren en marcha.</t>
  </si>
  <si>
    <t>Fisura, deformación o marca de rotura incipiente del pestillo de enclavamiento. Se detecta con: inspección visual y ensayos no destructivos (líquidos penetrantes o partículas magnéticas). Al ser una función oculta no se nota en operación: depende de la inspección o prueba programada.</t>
  </si>
  <si>
    <t>Enclava la puerta en marcha con holgura. Estándar: a partir de _____ km/h (valor por confirmar; fuente técnica: Plan de Mantenimiento de trenes Metro de Medellín, Ed. 1 (jun-2012) – p.20 (MM.07.01)). Se verifica con: comprobación de seguridad.</t>
  </si>
  <si>
    <t>1. Local: La cerradura de la puerta se desajusta por desgaste y el enclavamiento queda con juego.
2. En el equipo: La hoja se mueve al empujarla. La puerta se mueve al empujar con el tren en marcha.
3. General: La puerta queda enclavada con holgura.</t>
  </si>
  <si>
    <t>Deriva de la cerradura de puerta frente al valor patrón, con lecturas o ajustes que se van corriendo. Se detecta con: verificación contra patrón calibrado; lectura de parámetros; medición de alineación o vibración. Al ser una función oculta no se nota en operación: depende de la inspección o prueba programada.</t>
  </si>
  <si>
    <t>No almacena el aire de reserva. La función se pierde por completo: no se cumple ningún punto del estándar. Estándar: hasta _____ L (valor por confirmar; fabricante). Se verifica con: placa.</t>
  </si>
  <si>
    <t>1. Local: El depósito de reserva de las puertas se fisura por corrosión y el aire sale por la fisura.
2. En el equipo: El depósito pierde la presión almacenada. El depósito se vacía rápido o no mantiene presión.
3. General: El tren no almacena aire de reserva para las puertas.</t>
  </si>
  <si>
    <t>Fisura, deformación o marca de rotura incipiente del depósito de reserva de puertas. Se detecta con: inspección visual y ensayos no destructivos (líquidos penetrantes o partículas magnéticas).</t>
  </si>
  <si>
    <t>Almacena el aire de reserva con fugas. Estándar: hasta _____ L (valor por confirmar; fabricante). Se verifica con: placa.</t>
  </si>
  <si>
    <t>1. Local: La válvula de retención de las puertas queda abierta por un asiento marcado y deja escapar aire.
2. En el equipo: El depósito de reserva pierde presión. Se oye fuga y el compresor arranca con frecuencia.
3. General: El depósito almacena el aire de reserva con fugas.</t>
  </si>
  <si>
    <t>Presión de apertura por debajo (o por encima) del tarado, descargas frecuentes o fuga en el asiento de la válvula de retención de puertas. Se detecta con: prueba de tarado en banco; inspección del asiento; lectura de presión.</t>
  </si>
  <si>
    <t>1. Local: El racor del depósito se afloja por vibración y deja escapar aire.
2. En el equipo: El depósito pierde presión poco a poco. Se oye fuga y el compresor arranca con frecuencia.
3. General: El depósito almacena el aire de reserva con fugas.</t>
  </si>
  <si>
    <t>No transmite la voz por radio. La función se pierde por completo: no se cumple ningún punto del estándar. Estándar: con potencia de 10 W (fabricante: Motorola Solutions). Se verifica con: vatímetro RF / protocolo C.E8.92.304.</t>
  </si>
  <si>
    <t>1. Local: El radio Tetra se daña por un defecto electrónico y deja de emitir y recibir.
2. En el equipo: El equipo no establece comunicación. La radio no transmite ni recibe.
3. General: El tren no transmite la voz por radio.</t>
  </si>
  <si>
    <t>No hay una condición detectable que avise con anticipación: el radio Tetra deja de funcionar de forma súbita. Se detecta con: prueba funcional programada; registro de eventos y alarmas del equipo.</t>
  </si>
  <si>
    <t>1. Local: El cable de la antena se corta por fatiga y la señal no llega a la antena.
2. En el equipo: La radio no emite ni recibe señal. La radio no transmite ni recibe.
3. General: El tren no transmite la voz por radio.</t>
  </si>
  <si>
    <t>Grietas, resequedad, abultamientos o rozaduras visibles del cable de antena. Se detecta con: inspección visual.</t>
  </si>
  <si>
    <t>1. Local: El conector de la antena se afloja por vibración y el contacto se vuelve intermitente.
2. En el equipo: La señal llega a la antena a intervalos. La comunicación se corta y vuelve.
3. General: El tren transmite la voz por radio de forma intermitente.</t>
  </si>
  <si>
    <t>Pérdida de apriete, holgura o marcas de testigo desalineadas del conector de antena. Se detecta con: control de torque con llave; inspección visual de marcas de testigo.</t>
  </si>
  <si>
    <t>Transmite la voz por radio con potencia menor a 10 W. Estándar: con potencia de 10 W (fabricante: Motorola Solutions). Se verifica con: vatímetro RF / protocolo C.E8.92.304.</t>
  </si>
  <si>
    <t>1. Local: La antena se desajusta por vibración y queda mal orientada o mal acoplada.
2. En el equipo: La potencia irradiada baja. La cobertura es corta y se pierde la comunicación.
3. General: El tren transmite la voz por radio con potencia menor a 10 W.</t>
  </si>
  <si>
    <t>Deriva de la antena frente al valor patrón, con lecturas o ajustes que se van corriendo. Se detecta con: verificación contra patrón calibrado; lectura de parámetros; medición de alineación o vibración.</t>
  </si>
  <si>
    <t>1. Local: El cable coaxial se daña por humedad y aumenta la atenuación de la señal.
2. En el equipo: Llega menos potencia a la antena. La cobertura es corta y se pierde la comunicación.
3. General: El tren transmite la voz por radio con potencia menor a 10 W.</t>
  </si>
  <si>
    <t>Aislante deteriorado, marcas de rozamiento o pérdidas de señal en el cable coaxial. Se detecta con: inspección visual; prueba de aislamiento y de continuidad.</t>
  </si>
  <si>
    <t>No recibe la señal de radio. La función se pierde por completo: no se cumple ningún punto del estándar. Estándar: con sensibilidad de −105 dBm (fabricante: Motorola Solutions). Se verifica con: analizador de radio TETRA.</t>
  </si>
  <si>
    <t>1. Local: El receptor de radio se daña por un defecto electrónico y deja de recibir la señal.
2. En el equipo: El equipo no demodula la señal recibida. No se nota en servicio; se descubre en la prueba de comunicación.
3. General: El tren no recibe la señal de radio.</t>
  </si>
  <si>
    <t>No hay una condición detectable que avise con anticipación: el receptor de radio deja de funcionar de forma súbita. Se detecta con: prueba funcional programada; registro de eventos y alarmas del equipo. Al ser una función oculta no se nota en operación: depende de la inspección o prueba programada.</t>
  </si>
  <si>
    <t>Recibe la señal de radio con sensibilidad menor a −105 dBm. Estándar: con sensibilidad de −105 dBm (fabricante: Motorola Solutions). Se verifica con: analizador de radio TETRA.</t>
  </si>
  <si>
    <t>1. Local: La antena se desajusta por vibración y capta menos señal.
2. En el equipo: El receptor recibe señales más débiles. La prueba muestra recepción débil en puntos de baja cobertura.
3. General: El tren recibe la señal con una sensibilidad menor a −105 dBm.</t>
  </si>
  <si>
    <t>Deriva de la antena frente al valor patrón, con lecturas o ajustes que se van corriendo. Se detecta con: verificación contra patrón calibrado; lectura de parámetros; medición de alineación o vibración. Al ser una función oculta no se nota en operación: depende de la inspección o prueba programada.</t>
  </si>
  <si>
    <t>1. Local: El cable coaxial se daña por humedad y aumenta la atenuación de la señal recibida.
2. En el equipo: Llega menos señal al receptor. La prueba muestra recepción débil en puntos de baja cobertura.
3. General: El tren recibe la señal con una sensibilidad menor a −105 dBm.</t>
  </si>
  <si>
    <t>Aislante deteriorado, marcas de rozamiento o pérdidas de señal en el cable coaxial. Se detecta con: inspección visual; prueba de aislamiento y de continuidad. Al ser una función oculta no se nota en operación: depende de la inspección o prueba programada.</t>
  </si>
  <si>
    <t>No comunica al pasajero con el conductor. La función se pierde por completo: no se cumple ningún punto del estándar. Estándar: con inteligibilidad ≥ 0,50 STI (norma: IEC 60268-16 / EN 50849). Se verifica con: prueba del intercomunicador / STIPA.</t>
  </si>
  <si>
    <t>1. Local: El intercomunicador se daña por un defecto electrónico y deja de transmitir.
2. En el equipo: El pasajero y el conductor no establecen comunicación. No se nota en servicio; se descubre en la prueba del intercomunicador.
3. General: El tren no comunica al pasajero con el conductor.</t>
  </si>
  <si>
    <t>No hay una condición detectable que avise con anticipación: el intercomunicador deja de funcionar de forma súbita. Se detecta con: prueba funcional programada; registro de eventos y alarmas del equipo. Al ser una función oculta no se nota en operación: depende de la inspección o prueba programada.</t>
  </si>
  <si>
    <t>Comunica al pasajero con el conductor con inteligibilidad STI menor a 0,50. Estándar: con inteligibilidad ≥ 0,50 STI (norma: IEC 60268-16 / EN 50849). Se verifica con: prueba del intercomunicador / STIPA.</t>
  </si>
  <si>
    <t>1. Local: El micrófono del intercomunicador se deteriora por la humedad y capta la voz distorsionada.
2. En el equipo: La voz llega ininteligible al conductor. La prueba muestra voz ininteligible.
3. General: El tren comunica al pasajero con el conductor con una inteligibilidad STI menor a 0,50.</t>
  </si>
  <si>
    <t>Deriva en las lecturas, aumento de temperatura o caída del rendimiento del micrófono del intercomunicador. Se detecta con: medición de parámetros eléctricos; termografía. Al ser una función oculta no se nota en operación: depende de la inspección o prueba programada.</t>
  </si>
  <si>
    <t>1. Local: El cono del altavoz del intercomunicador se desgarra por el envejecimiento del material y distorsiona el sonido.
2. En el equipo: La voz del conductor llega ininteligible al pasajero. La prueba muestra voz ininteligible.
3. General: El tren comunica al pasajero con el conductor con una inteligibilidad STI menor a 0,50.</t>
  </si>
  <si>
    <t>Fisura, deformación o marca de rotura incipiente del cono del altavoz del intercomunicador. Se detecta con: inspección visual y ensayos no destructivos (líquidos penetrantes o partículas magnéticas). Al ser una función oculta no se nota en operación: depende de la inspección o prueba programada.</t>
  </si>
  <si>
    <t>No detecta el humo. La función se pierde por completo: no se cumple ningún punto del estándar. Estándar: con umbral de _____ dB/m (valor por confirmar; fabricante). Se verifica con: comprobación de la alarma del detector óptico (PM-2012 pág. 38).</t>
  </si>
  <si>
    <t>1. Local: El detector de humo se obstruye con polvo y el humo no llega a su cámara de detección.
2. En el equipo: El detector no emite señal ante el humo. No se nota en servicio; se descubre en la prueba del detector.
3. General: El coche no detecta el humo.</t>
  </si>
  <si>
    <t>Aumento de la presión diferencial o caída del caudal por acumulación de suciedad del detector de humo. Se detecta con: lectura de manómetros y diferencial de presión; medición de caudal; inspección visual. Al ser una función oculta no se nota en operación: depende de la inspección o prueba programada.</t>
  </si>
  <si>
    <t>1. Local: La central de detección se bloquea por un defecto electrónico y no procesa las señales de los detectores.
2. En el equipo: La central no emite alarma. No se nota en servicio; se descubre en la prueba del detector.
3. General: El coche no detecta el humo.</t>
  </si>
  <si>
    <t>No hay una condición detectable que avise con anticipación: la central de detección deja de funcionar de forma súbita. Se detecta con: prueba funcional programada; registro de eventos y alarmas del equipo. Al ser una función oculta no se nota en operación: depende de la inspección o prueba programada.</t>
  </si>
  <si>
    <t>Detecta el humo con sensibilidad reducida. Estándar: con umbral de _____ dB/m (valor por confirmar; fabricante). Se verifica con: comprobación de la alarma del detector óptico (PM-2012 pág. 38).</t>
  </si>
  <si>
    <t>1. Local: La cámara óptica del detector se ensucia con polvo y la luz dispersada por el humo se reduce.
2. En el equipo: El detector necesita más humo para activarse. El detector tarda más de lo normal en la prueba.
3. General: El coche detecta el humo con sensibilidad reducida.</t>
  </si>
  <si>
    <t>Imagen borrosa, opaca u oscurecida por acumulación de suciedad en la cámara óptica del detector. Se detecta con: revisión de la imagen en el monitor; inspección y limpieza de la lente. Al ser una función oculta no se nota en operación: depende de la inspección o prueba programada.</t>
  </si>
  <si>
    <t>Detecta el humo con sensibilidad excesiva. Estándar: con umbral de _____ dB/m (valor por confirmar; fabricante). Se verifica con: comprobación de la alarma del detector óptico (PM-2012 pág. 38).</t>
  </si>
  <si>
    <t>1. Local: El detector se descalibra por el polvo acumulado y se activa con partículas que no son humo.
2. En el equipo: El detector emite alarmas sin que haya humo. El detector da falsas alarmas.
3. General: El coche detecta el humo con sensibilidad excesiva.</t>
  </si>
  <si>
    <t>Deriva del detector de humo frente al valor patrón, con lecturas o ajustes que se van corriendo. Se detecta con: verificación contra patrón calibrado; lectura de parámetros; medición de alineación o vibración. Al ser una función oculta no se nota en operación: depende de la inspección o prueba programada.</t>
  </si>
  <si>
    <t>No detecta el incendio por temperatura. La función se pierde por completo: no se cumple ningún punto del estándar. Estándar: entre 54 y 65 °C (norma: EN 54-5). Se verifica con: prueba de alarma de la sonda (PM-2012 pág. 38).</t>
  </si>
  <si>
    <t>1. Local: El elemento sensible del sensor térmico se fatiga y deja de responder al calor.
2. En el equipo: El sensor no emite señal por temperatura. No se nota en servicio; se descubre en la prueba del sensor térmico.
3. General: El coche no detecta el incendio por temperatura.</t>
  </si>
  <si>
    <t>Deriva o lecturas inestables del sensor térmico. Se detecta con: verificación contra patrón; medición de parámetros eléctricos. Al ser una función oculta no se nota en operación: depende de la inspección o prueba programada.</t>
  </si>
  <si>
    <t>Detecta el incendio por temperatura con activación por debajo de 54 °C. Estándar: entre 54 y 65 °C (norma: EN 54-5). Se verifica con: prueba de alarma de la sonda (PM-2012 pág. 38).</t>
  </si>
  <si>
    <t>1. Local: El sensor térmico se descalibra por deriva y se activa a una temperatura menor a 54 °C.
2. En el equipo: El sistema emite alarma con temperatura normal. El detector se activa con temperatura normal.
3. General: El coche detecta el incendio con activación por debajo de 54 °C.</t>
  </si>
  <si>
    <t>Deriva del sensor térmico frente al valor patrón, con lecturas o ajustes que se van corriendo. Se detecta con: verificación contra patrón calibrado; lectura de parámetros; medición de alineación o vibración. Al ser una función oculta no se nota en operación: depende de la inspección o prueba programada.</t>
  </si>
  <si>
    <t>Detecta el incendio por temperatura con activación por encima de 65 °C. Estándar: entre 54 y 65 °C (norma: EN 54-5). Se verifica con: prueba de alarma de la sonda (PM-2012 pág. 38).</t>
  </si>
  <si>
    <t>1. Local: El sensor térmico se descalibra por deriva y se activa a una temperatura mayor a 65 °C.
2. En el equipo: El sistema emite la alarma con retraso. La prueba de calor activa el detector con retraso.
3. General: El coche detecta el incendio con activación por encima de 65 °C.</t>
  </si>
  <si>
    <t>No lubrica la pestaña de rueda. La función se pierde por completo: no se cumple ningún punto del estándar. Estándar: con dosis de _____ mL por disparo (valor por confirmar; fabricante). Se verifica con: comprobación de la bomba dosificadora DP-P (PM-2012 pág. 15).</t>
  </si>
  <si>
    <t>1. Local: La bomba de engrase de la pestaña se atasca por grasa endurecida y no impulsa grasa.
2. En el equipo: La grasa no llega a la boquilla de la pestaña. No se nota en servicio; se descubre porque las boquillas salen secas.
3. General: La pestaña de la rueda no se lubrica y el desgaste de rueda y riel aumenta.</t>
  </si>
  <si>
    <t>Movimiento duro, ruido o calentamiento anormal de la bomba de engrase de pestaña antes de trabarse. Se detecta con: análisis de vibraciones; termografía; análisis de partículas en el aceite. Al ser una función oculta no se nota en operación: depende de la inspección o prueba programada.</t>
  </si>
  <si>
    <t>1. Local: La boquilla de engrase de la pestaña se obstruye con grasa endurecida y la grasa no sale.
2. En el equipo: La pestaña de la rueda no recibe lubricación. No se nota en servicio; se descubre porque las boquillas salen secas.
3. General: El contacto pestaña-riel se hace sin lubricación y el desgaste de rueda y riel aumenta.</t>
  </si>
  <si>
    <t>Aumento de la presión diferencial o caída del caudal por acumulación de suciedad de la boquilla de engrase. Se detecta con: lectura de manómetros y diferencial de presión; medición de caudal; inspección visual. Al ser una función oculta no se nota en operación: depende de la inspección o prueba programada.</t>
  </si>
  <si>
    <t>1. Local: El depósito de grasa se vacía por una fuga y la bomba no tiene grasa que impulsar.
2. En el equipo: La pestaña de la rueda no recibe lubricación. No se nota en servicio; se descubre porque las boquillas salen secas.
3. General: El contacto pestaña-riel se hace sin lubricación y el desgaste de rueda y riel aumenta.</t>
  </si>
  <si>
    <t>Lubrica la pestaña de rueda con caudal insuficiente. Estándar: con dosis de _____ mL por disparo (valor por confirmar; fabricante). Se verifica con: comprobación de la bomba dosificadora DP-P (PM-2012 pág. 15).</t>
  </si>
  <si>
    <t>1. Local: La bomba de engrase se desgasta al final de su vida útil y entrega menos grasa por ciclo.
2. En el equipo: La pestaña recibe menos grasa que la prevista. La inspección muestra poca grasa en la pestaña.
3. General: La lubricación de la pestaña es deficiente y el desgaste de rueda y riel se acelera.</t>
  </si>
  <si>
    <t>Pérdida progresiva de material de la bomba de engrase de pestaña hasta acercarse al límite de desgaste. Se detecta con: medición con calibre, galga o micrómetro; inspección visual. Al ser una función oculta no se nota en operación: depende de la inspección o prueba programada.</t>
  </si>
  <si>
    <t>1. Local: La boquilla de engrase se desalinea por vibración y la grasa no cae sobre la pestaña.
2. En el equipo: Parte de la grasa se desperdicia fuera del punto de contacto. La inspección muestra poca grasa en la pestaña.
3. General: La lubricación de la pestaña es deficiente y el desgaste de rueda y riel se acelera.</t>
  </si>
  <si>
    <t>Deriva de la boquilla de engrase frente al valor patrón, con lecturas o ajustes que se van corriendo. Se detecta con: verificación contra patrón calibrado; lectura de parámetros; medición de alineación o vibración. Al ser una función oculta no se nota en operación: depende de la inspección o prueba programada.</t>
  </si>
  <si>
    <t>Lubrica la pestaña de rueda en exceso. Estándar: con dosis de _____ mL por disparo (valor por confirmar; fabricante). Se verifica con: comprobación de la bomba dosificadora DP-P (PM-2012 pág. 15).</t>
  </si>
  <si>
    <t>1. Local: El dosificador de grasa se descalibra por deriva y entrega más grasa de la ajustada.
2. En el equipo: Se aplica un exceso de grasa sobre la pestaña. Se ve grasa en la banda de rodadura y el riel.
3. General: La grasa llega a la superficie de rodadura y reduce la adherencia: el tren patina y se forman calibres planos.</t>
  </si>
  <si>
    <t>Deriva del dosificador de grasa frente al valor patrón, con lecturas o ajustes que se van corriendo. Se detecta con: verificación contra patrón calibrado; lectura de parámetros; medición de alineación o vibración. Al ser una función oculta no se nota en operación: depende de la inspección o prueba programada.</t>
  </si>
  <si>
    <t>No graba las imágenes. La función se pierde por completo: no se cumple ningún punto del estándar. Estándar: durante un mínimo de _____ días (valor por confirmar; fabricante). Se verifica con: revisión del grabador.</t>
  </si>
  <si>
    <t>1. Local: La central de CCTV se bloquea por un bloqueo del programa de control y deja de registrar.
2. En el equipo: Las cámaras envían imagen, pero no se almacena. No se nota en servicio; se descubre al intentar recuperar imágenes.
3. General: El sistema no graba las imágenes.</t>
  </si>
  <si>
    <t>No hay una condición detectable que avise con anticipación: la central de CCTV deja de funcionar de forma súbita. Se detecta con: prueba funcional programada; registro de eventos y alarmas del equipo. Al ser una función oculta no se nota en operación: depende de la inspección o prueba programada.</t>
  </si>
  <si>
    <t>Continuidad operacional; Impacto ambiental</t>
  </si>
  <si>
    <t>1. Local: El disco duro de la central se daña por desgaste mecánico y no guarda datos.
2. En el equipo: La central no puede escribir las imágenes. No se nota en servicio; se descubre al intentar recuperar imágenes.
3. General: El sistema no graba las imágenes.</t>
  </si>
  <si>
    <t>Errores de lectura o escritura, lentitud o ruido anormal del disco duro de la central. Se detecta con: diagnóstico del estado del disco; revisión de los registros del equipo. Al ser una función oculta no se nota en operación: depende de la inspección o prueba programada.</t>
  </si>
  <si>
    <t>Graba las imágenes con calidad reducida. Estándar: durante un mínimo de _____ días (valor por confirmar; fabricante). Se verifica con: revisión del grabador.</t>
  </si>
  <si>
    <t>1. Local: El lente de la cámara se cubre de polvo y la imagen pierde nitidez.
2. En el equipo: La central graba imágenes borrosas o con ruido. Las imágenes salen con ruido o con cortes.
3. General: El sistema graba imágenes con calidad reducida.</t>
  </si>
  <si>
    <t>Imagen borrosa, opaca u oscurecida por acumulación de suciedad en la cámara. Se detecta con: revisión de la imagen en el monitor; inspección y limpieza de la lente. Al ser una función oculta no se nota en operación: depende de la inspección o prueba programada.</t>
  </si>
  <si>
    <t>1. Local: El cable de la cámara se afloja por vibración y la señal se interrumpe a ratos.
2. En el equipo: La central recibe la imagen de forma intermitente. Las imágenes se pierden a ratos.
3. General: El sistema graba imágenes con calidad reducida.</t>
  </si>
  <si>
    <t>Pérdida de apriete, holgura o marcas de testigo desalineadas del cable de cámara. Se detecta con: control de torque con llave; inspección visual de marcas de testigo. Al ser una función oculta no se nota en operación: depende de la inspección o prueba programada.</t>
  </si>
  <si>
    <t>No sella la caja del convertidor. La función se pierde por completo: no se cumple ningún punto del estándar. Estándar: con 0 filtraciones en prueba de agua (fuente técnica: Plan de Mantenimiento de trenes Metro de Medellín, Ed. 1 (jun-2012) – p.17 (MM.05.03)). Se verifica con: prueba de agua / inspección de juntas.</t>
  </si>
  <si>
    <t>1. Local: La tapa de la caja del convertidor se desencaja por un impacto mecánico y deja una abertura.
2. En el equipo: El agua entra a la caja y moja los componentes del convertidor. No se nota en servicio; se descubre al abrir la caja y encontrar agua. Además, el agua moja y daña los componentes del convertidor.
3. General: La caja del convertidor no queda sellada.</t>
  </si>
  <si>
    <t>No hay una condición detectable que avise con anticipación: la tapa de la caja del convertidor queda afectada por un evento súbito de impacto. Se detecta con: inspección visual después de cada evento; registro de eventos y alarmas del equipo. Al ser una función oculta no se nota en operación: depende de la inspección o prueba programada.</t>
  </si>
  <si>
    <t>Sella la caja del convertidor con filtraciones en la prueba de agua. Estándar: con 0 filtraciones en prueba de agua (fuente técnica: Plan de Mantenimiento de trenes Metro de Medellín, Ed. 1 (jun-2012) – p.17 (MM.05.03)). Se verifica con: prueba de agua / inspección de juntas.</t>
  </si>
  <si>
    <t>1. Local: La junta de la tapa se reseca por el envejecimiento y deja de sellar.
2. En el equipo: Entra humedad a la caja. La prueba de agua muestra humedad en la caja.
3. General: La caja del convertidor presenta filtraciones en la prueba de agua.</t>
  </si>
  <si>
    <t>Pérdida de elasticidad, grietas finas o resequedad de la junta de la tapa del convertidor. Se detecta con: inspección visual; medición de prestaciones (presión, caudal). Al ser una función oculta no se nota en operación: depende de la inspección o prueba programada.</t>
  </si>
  <si>
    <t>No filtra los armónicos. La función se pierde por completo: no se cumple ningún punto del estándar. Estándar: con inductancia de _____ mH (valor por confirmar; fabricante). Se verifica con: revisión general (PM-2012 pág. 17).</t>
  </si>
  <si>
    <t>1. Local: La bobina de la inductancia se abre por sobrecalentamiento y se interrumpe el circuito.
2. En el equipo: La inductancia deja de filtrar los armónicos. No se nota en servicio; se descubre por mediciones de armónicos o disparos del convertidor.
3. General: El circuito no filtra los armónicos.</t>
  </si>
  <si>
    <t>Resistencia anormal o pérdida de continuidad de la bobina de la inductancia. Se detecta con: medición de continuidad; inspección de conexiones. Al ser una función oculta no se nota en operación: depende de la inspección o prueba programada.</t>
  </si>
  <si>
    <t>Filtra los armónicos con capacidad reducida. Estándar: con inductancia de _____ mH (valor por confirmar; fabricante). Se verifica con: revisión general (PM-2012 pág. 17).</t>
  </si>
  <si>
    <t>1. Local: El aislamiento de la bobina se degrada por el envejecimiento y la inductancia efectiva baja.
2. En el equipo: El filtro atenúa menos los armónicos. Aumenta la distorsión medida.
3. General: El circuito filtra los armónicos con capacidad reducida.</t>
  </si>
  <si>
    <t>Caída de la resistencia de aislamiento y aumento de la temperatura de operación de la bobina de la inductancia. Se detecta con: prueba de aislamiento con megóhmetro (índice de polarización); termografía. Al ser una función oculta no se nota en operación: depende de la inspección o prueba programada.</t>
  </si>
  <si>
    <t>No mantiene la tensión de salida. La función se pierde por completo: no se cumple ningún punto del estándar. Estándar: a _____ ±_____ V (valor por confirmar; fabricante). Se verifica con: medición en salida.</t>
  </si>
  <si>
    <t>1. Local: El módulo de potencia del chopper se quema por sobretemperatura y deja de regular la tensión.
2. En el equipo: No hay tensión en la salida. No se nota en servicio; se descubre porque los equipos alimentados se apagan.
3. General: El chopper no mantiene la tensión de salida.</t>
  </si>
  <si>
    <t>Aumento de temperatura, de consumo de corriente o caída de la resistencia de aislamiento del módulo de potencia del chopper. Se detecta con: termografía; medición de corriente; prueba de aislamiento (megóhmetro). Al ser una función oculta no se nota en operación: depende de la inspección o prueba programada.</t>
  </si>
  <si>
    <t>Mantiene la tensión de salida por debajo del rango. Estándar: a _____ ±_____ V (valor por confirmar; fabricante). Se verifica con: medición en salida.</t>
  </si>
  <si>
    <t>1. Local: El condensador del filtro se degrada por el envejecimiento y pierde capacidad.
2. En el equipo: La tensión de salida baja y tiene más ondulación. Los equipos funcionan débiles y marcan baja tensión.
3. General: El chopper mantiene la tensión de salida por debajo del rango.</t>
  </si>
  <si>
    <t>Deriva en las lecturas, aumento de temperatura o caída del rendimiento del condensador del filtro. Se detecta con: medición de parámetros eléctricos; termografía. Al ser una función oculta no se nota en operación: depende de la inspección o prueba programada.</t>
  </si>
  <si>
    <t>1. Local: Las soldaduras de la tarjeta de control del chopper se fatigan y pierden contacto de forma intermitente.
2. En el equipo: La regulación de la tensión de salida se interrumpe a ratos. La tensión oscila y los equipos se reinician.
3. General: El chopper mantiene la tensión de salida por debajo del rango.</t>
  </si>
  <si>
    <t>Lecturas o comportamiento inestables de la tarjeta de control del chopper al vibrar o calentarse. Se detecta con: inspección visual de las soldaduras; prueba funcional bajo vibración; termografía. Al ser una función oculta no se nota en operación: depende de la inspección o prueba programada.</t>
  </si>
  <si>
    <t>Mantiene la tensión de salida por encima del rango. Estándar: a _____ ±_____ V (valor por confirmar; fabricante). Se verifica con: medición en salida.</t>
  </si>
  <si>
    <t>1. Local: La tarjeta de control del chopper se descalibra por deriva y ordena una tensión de salida mayor a la ajustada.
2. En el equipo: La tensión de salida sube por encima del rango. Las lámparas y equipos se calientan; además, los equipos electrónicos reciben sobretensión.
3. General: El chopper mantiene la tensión de salida por encima del rango.</t>
  </si>
  <si>
    <t>Deriva de la tarjeta de control del chopper frente al valor patrón, con lecturas o ajustes que se van corriendo. Se detecta con: verificación contra patrón calibrado; lectura de parámetros; medición de alineación o vibración. Al ser una función oculta no se nota en operación: depende de la inspección o prueba programada.</t>
  </si>
  <si>
    <t>No limita la ondulación de la tensión de entrada. La función se pierde por completo: no se cumple ningún punto del estándar. Estándar: con capacidad de _____ µF (valor por confirmar; fabricante). Se verifica con: medidor de capacidad.</t>
  </si>
  <si>
    <t>1. Local: El dieléctrico del condensador de red se perfora y el condensador queda en cortocircuito.
2. En el equipo: La entrada del convertidor queda en corto y la protección actúa. No se nota en servicio; se descubre por disparos del convertidor.
3. General: El circuito no limita la ondulación de la tensión de entrada.</t>
  </si>
  <si>
    <t>No hay una condición detectable que avise con anticipación: el condensador de red deja de funcionar de forma súbita. Se detecta con: prueba funcional programada; registro de eventos y alarmas del equipo. Al ser una función oculta no se nota en operación: depende de la inspección o prueba programada.</t>
  </si>
  <si>
    <t>Limita la ondulación de la tensión de entrada con capacidad reducida. Estándar: con capacidad de _____ µF (valor por confirmar; fabricante). Se verifica con: medidor de capacidad.</t>
  </si>
  <si>
    <t>1. Local: El condensador de red pierde capacitancia por el envejecimiento y filtra menos la ondulación.
2. En el equipo: La ondulación de la tensión de entrada aumenta. Se miden más oscilaciones en la entrada.
3. General: El circuito limita la ondulación con una capacidad reducida.</t>
  </si>
  <si>
    <t>Deriva en las lecturas, aumento de temperatura o caída del rendimiento del condensador de red. Se detecta con: medición de parámetros eléctricos; termografía. Al ser una función oculta no se nota en operación: depende de la inspección o prueba programada.</t>
  </si>
  <si>
    <t>No aterriza el circuito de alta tensión. La función se pierde por completo: no se cumple ningún punto del estándar. Estándar: con tensión residual de 0 V (fuente técnica: Plan de Mantenimiento de trenes Metro de Medellín, Ed. 1 (jun-2012) – p.4 (C.E8.92.214)). Se verifica con: protocolo C.E8.92.214 Maniobra de puesta a tierra.</t>
  </si>
  <si>
    <t>1. Local: Los contactos del seccionador de puesta a tierra se oxidan por la humedad y aumentan su resistencia.
2. En el equipo: El circuito no queda conectado a tierra de forma efectiva. No se nota en servicio; se descubre en la prueba del seccionador.
3. General: El circuito de alta tensión no queda aterrizado.</t>
  </si>
  <si>
    <t>Óxido, picaduras o sulfatación visibles de los contactos del seccionador de puesta a tierra. Se detecta con: inspección visual; medición de resistencia de contacto o de tensión en bornes. Al ser una función oculta no se nota en operación: depende de la inspección o prueba programada.</t>
  </si>
  <si>
    <t>Aterriza el circuito de alta tensión con tensión residual mayor a 0 V. Estándar: con tensión residual de 0 V (fuente técnica: Plan de Mantenimiento de trenes Metro de Medellín, Ed. 1 (jun-2012) – p.4 (C.E8.92.214)). Se verifica con: protocolo C.E8.92.214 Maniobra de puesta a tierra.</t>
  </si>
  <si>
    <t>1. Local: El cable de puesta a tierra se afloja por vibración y aumenta la resistencia de la conexión.
2. En el equipo: El circuito queda con una tensión residual respecto a tierra. La medición de tensión residual da un valor mayor a 0 V.
3. General: El circuito de alta tensión queda aterrizado con una tensión residual mayor a 0 V.</t>
  </si>
  <si>
    <t>Pérdida de apriete, holgura o marcas de testigo desalineadas del cable de puesta a tierra. Se detecta con: control de torque con llave; inspección visual de marcas de testigo. Al ser una función oculta no se nota en operación: depende de la inspección o prueba programada.</t>
  </si>
  <si>
    <t>No alimenta el motor de tracción. La función se pierde por completo: no se cumple ningún punto del estándar. Estándar: de 0 a 1.500 V CA (fabricante). Se verifica con: protocolo C.E8.92.201.</t>
  </si>
  <si>
    <t>1. Local: El módulo IGBT del convertidor se quema por sobretemperatura y deja de conmutar.
2. En el equipo: El convertidor no entrega tensión al motor. El tren no recibe par de tracción y aparece el mensaje de alarma del convertidor.
3. General: El tren no alimenta el motor de tracción y pierde tracción.</t>
  </si>
  <si>
    <t>1. Local: El convertidor de tracción se dispara por sobrecorriente y se desconecta.
2. En el equipo: El convertidor deja de entregar tensión al motor. El tren no recibe par de tracción y aparece el mensaje de alarma del convertidor.
3. General: El tren no alimenta el motor de tracción y pierde tracción.</t>
  </si>
  <si>
    <t>1. Local: Las soldaduras de la tarjeta de control del convertidor se fatigan y pierden contacto de forma intermitente.
2. En el equipo: El convertidor se dispara de forma intermitente. El convertidor se dispara a ratos sin causa clara.
3. General: El tren alimenta el motor de tracción de forma intermitente.</t>
  </si>
  <si>
    <t>Lecturas o comportamiento inestables de la tarjeta de control del convertidor al vibrar o calentarse. Se detecta con: inspección visual de las soldaduras; prueba funcional bajo vibración; termografía.</t>
  </si>
  <si>
    <t>Alimenta el motor de tracción con tensión menor a 1.500 V CA. Estándar: de 0 a 1.500 V CA (fabricante). Se verifica con: protocolo C.E8.92.201.</t>
  </si>
  <si>
    <t>1. Local: El condensador del circuito intermedio se degrada por el envejecimiento y la tensión del circuito intermedio baja.
2. En el equipo: El convertidor entrega al motor una tensión menor a 1.500 V CA. El tren recibe menos par de tracción y baja potencia.
3. General: El tren alimenta el motor de tracción con una tensión menor a 1.500 V CA.</t>
  </si>
  <si>
    <t>Deriva en las lecturas, aumento de temperatura o caída del rendimiento del condensador del circuito intermedio. Se detecta con: medición de parámetros eléctricos; termografía.</t>
  </si>
  <si>
    <t>No varía la frecuencia del motor. La función se pierde por completo: no se cumple ningún punto del estándar. Estándar: de 0 a 120 Hz (fabricante). Se verifica con: registro TCU.</t>
  </si>
  <si>
    <t>1. Local: La tarjeta de control del convertidor se bloquea por un bloqueo del programa de control y deja de variar la frecuencia.
2. En el equipo: El motor no recibe consigna de frecuencia. El motor no responde al mando de tracción.
3. General: El tren no varía la frecuencia del motor.</t>
  </si>
  <si>
    <t>No hay una condición detectable que avise con anticipación: la tarjeta de control del convertidor deja de funcionar de forma súbita. Se detecta con: prueba funcional programada; registro de eventos y alarmas del equipo.</t>
  </si>
  <si>
    <t>Varía la frecuencia del motor por debajo de 120 Hz. Estándar: de 0 a 120 Hz (fabricante). Se verifica con: registro TCU.</t>
  </si>
  <si>
    <t>1. Local: El sensor de velocidad del motor se descalibra por deriva y entrega una lectura menor a la real.
2. En el equipo: El control limita la frecuencia por debajo de 120 Hz. El tren no alcanza la velocidad máxima.
3. General: El tren varía la frecuencia del motor por debajo de 120 Hz.</t>
  </si>
  <si>
    <t>Deriva del sensor de velocidad del motor frente al valor patrón, con lecturas o ajustes que se van corriendo. Se detecta con: verificación contra patrón calibrado; lectura de parámetros; medición de alineación o vibración.</t>
  </si>
  <si>
    <t>1. Local: El conector del sensor de velocidad se afloja por vibración y la señal llega de forma inestable.
2. En el equipo: El control varía la frecuencia de forma irregular. La velocidad oscila y el tren tiene tirones.
3. General: El tren varía la frecuencia del motor por debajo de 120 Hz y de forma irregular.</t>
  </si>
  <si>
    <t>Lecturas que varían o se pierden al mover o vibrar el conector, con aumento de la resistencia de contacto del sensor de velocidad del motor. Se detecta con: inspección de conectores; medición de resistencia de contacto; lectura de la señal con equipo de diagnóstico.</t>
  </si>
  <si>
    <t>No interrumpe el cortocircuito. La función se pierde por completo: no se cumple ningún punto del estándar. Estándar: de 0,45 a 3,6 kA (fuente técnica: Sécheron). Se verifica con: prueba de disparo.</t>
  </si>
  <si>
    <t>1. Local: Los contactos del breaker se sueldan entre sí por el arco eléctrico y no se separan.
2. En el equipo: El breaker no abre el circuito ante un cortocircuito. No se nota en servicio; se descubre en la prueba del breaker.
3. General: El circuito no interrumpe el cortocircuito.</t>
  </si>
  <si>
    <t>No hay una condición detectable que avise con anticipación: los contactos del breaker principal dejan de funcionar de forma súbita. Se detecta con: prueba funcional programada; registro de eventos y alarmas del equipo. Al ser una función oculta no se nota en operación: depende de la inspección o prueba programada.</t>
  </si>
  <si>
    <t>1. Local: La bobina de disparo se quema por sobrecalentamiento y no acciona el mecanismo.
2. En el equipo: El breaker no recibe la orden de apertura. No se nota en servicio; se descubre en la prueba del breaker.
3. General: El circuito no interrumpe el cortocircuito.</t>
  </si>
  <si>
    <t>Aumento de temperatura, de consumo de corriente o caída de la resistencia de aislamiento de la bobina de disparo. Se detecta con: termografía; medición de corriente; prueba de aislamiento (megóhmetro). Al ser una función oculta no se nota en operación: depende de la inspección o prueba programada.</t>
  </si>
  <si>
    <t>Interrumpe el cortocircuito con capacidad de corte menor a 3,6 kA. Estándar: de 0,45 a 3,6 kA (fuente técnica: Sécheron). Se verifica con: prueba de disparo.</t>
  </si>
  <si>
    <t>1. Local: La cámara de extinción se erosiona por los arcos repetidos y apaga menos el arco.
2. En el equipo: El breaker interrumpe corrientes menores a las de diseño. El breaker muestra desgaste excesivo de contactos.
3. General: El breaker interrumpe el cortocircuito con una capacidad de corte menor a 3,6 kA.</t>
  </si>
  <si>
    <t>Pérdida progresiva de material de la cámara de extinción del breaker hasta acercarse al límite de desgaste. Se detecta con: medición con calibre, galga o micrómetro; inspección visual. Al ser una función oculta no se nota en operación: depende de la inspección o prueba programada.</t>
  </si>
  <si>
    <t>1. Local: El mecanismo del breaker se desajusta por desgaste y opera de forma irregular.
2. En el equipo: Los contactos se separan o se juntan con tiempos y recorridos irregulares. El breaker abre y cierra de forma errática.
3. General: El breaker interrumpe el cortocircuito con una capacidad de corte menor a 3,6 kA.</t>
  </si>
  <si>
    <t>Deriva del mecanismo del breaker frente al valor patrón, con lecturas o ajustes que se van corriendo. Se detecta con: verificación contra patrón calibrado; lectura de parámetros; medición de alineación o vibración. Al ser una función oculta no se nota en operación: depende de la inspección o prueba programada.</t>
  </si>
  <si>
    <t>No abre el circuito principal. La función se pierde por completo: no se cumple ningún punto del estándar. Estándar: en 5 a 10 ms (fuente técnica: Sécheron). Se verifica con: cronometraje de maniobra.</t>
  </si>
  <si>
    <t>1. Local: El mecanismo del breaker se traba por la pérdida de la película de lubricante y no completa su movimiento de apertura.
2. En el equipo: El breaker no abre. No se nota en servicio; se descubre en la prueba del breaker.
3. General: El circuito principal no se abre.</t>
  </si>
  <si>
    <t>Respuesta más lenta o movimiento duro del mecanismo del breaker antes de quedar trabado. Se detecta con: prueba funcional; medición de tiempos de ciclo. Al ser una función oculta no se nota en operación: depende de la inspección o prueba programada.</t>
  </si>
  <si>
    <t>Abre el circuito principal en más de 10 ms. Estándar: en 5 a 10 ms (fuente técnica: Sécheron). Se verifica con: cronometraje de maniobra.</t>
  </si>
  <si>
    <t>1. Local: El resorte de apertura del breaker se debilita por fatiga y abre con menos velocidad.
2. En el equipo: Los contactos se separan más lento. El tiempo de apertura medido supera 10 ms.
3. General: El circuito principal se abre en más de 10 ms.</t>
  </si>
  <si>
    <t>Pérdida de altura libre o de carga del resorte de apertura del breaker. Se detecta con: medición de altura libre y de carga en banco de pruebas; inspección visual. Al ser una función oculta no se nota en operación: depende de la inspección o prueba programada.</t>
  </si>
  <si>
    <t>1. Local: El mecanismo del breaker se desajusta por desgaste y se retrasa al abrir.
2. En el equipo: Los contactos se separan más lento. El tiempo de apertura medido supera 10 ms.
3. General: El circuito principal se abre en más de 10 ms.</t>
  </si>
  <si>
    <t>No cierra el circuito principal. La función se pierde por completo: no se cumple ningún punto del estándar. Estándar: en un máximo de 70 ms (fuente técnica: Sécheron). Se verifica con: verificación del dispositivo de cierre (PM-2012 pág. 34).</t>
  </si>
  <si>
    <t>1. Local: La bobina de cierre del breaker se quema por sobrecalentamiento y no mueve el mecanismo.
2. En el equipo: El breaker no cierra. Al ordenar el cierre el breaker no cierra.
3. General: El circuito principal no se cierra y el tren no se energiza.</t>
  </si>
  <si>
    <t>Aumento de temperatura, de consumo de corriente o caída de la resistencia de aislamiento de la bobina de cierre del breaker. Se detecta con: termografía; medición de corriente; prueba de aislamiento (megóhmetro).</t>
  </si>
  <si>
    <t>1. Local: El mecanismo del breaker se traba por pérdida de la película de lubricante y no completa su movimiento de cierre.
2. En el equipo: El breaker no cierra. Al ordenar el cierre el breaker no cierra.
3. General: El circuito principal no se cierra y el tren no se energiza.</t>
  </si>
  <si>
    <t>Respuesta más lenta o movimiento duro del mecanismo del breaker antes de quedar trabado. Se detecta con: prueba funcional; medición de tiempos de ciclo.</t>
  </si>
  <si>
    <t>1. Local: El contacto auxiliar del breaker se sulfata por la humedad y la señal de cierre no llega siempre.
2. En el equipo: El breaker cierra solo en algunos intentos. El breaker cierra a veces y otras no.
3. General: El circuito principal se cierra de forma intermitente.</t>
  </si>
  <si>
    <t>Óxido, picaduras o sulfatación visibles del contacto auxiliar del breaker. Se detecta con: inspección visual; medición de resistencia de contacto o de tensión en bornes.</t>
  </si>
  <si>
    <t>Cierra el circuito principal en más de 70 ms. Estándar: en un máximo de 70 ms (fuente técnica: Sécheron). Se verifica con: verificación del dispositivo de cierre (PM-2012 pág. 34).</t>
  </si>
  <si>
    <t>1. Local: El mecanismo del breaker se desajusta por desgaste y cierra con retardo.
2. En el equipo: Los contactos se juntan más lento. El tiempo de cierre medido es mayor a 70 ms.
3. General: El circuito principal se cierra en más de 70 ms.</t>
  </si>
  <si>
    <t>Deriva del mecanismo del breaker frente al valor patrón, con lecturas o ajustes que se van corriendo. Se detecta con: verificación contra patrón calibrado; lectura de parámetros; medición de alineación o vibración.</t>
  </si>
  <si>
    <t>No entrega potencia mecánica. La función se pierde por completo: no se cumple ningún punto del estándar. Estándar: de 190 kW (fabricante: Ficha técnica motor de tracción asíncrono CAF (archivo del equipo, hoja 04_Ficha_tecnica_MTR)). Se verifica con: protocolo C.E8.92.301.</t>
  </si>
  <si>
    <t>1. Local: El bobinado del motor de tracción se quema por sobrecalentamiento y se interrumpe.
2. En el equipo: El motor no genera par. El motor no entrega potencia.
3. General: El tren no recibe potencia de este motor y pierde tracción.</t>
  </si>
  <si>
    <t>Aumento de temperatura, de consumo de corriente o caída de la resistencia de aislamiento del bobinado del motor de tracción. Se detecta con: termografía; medición de corriente; prueba de aislamiento (megóhmetro).</t>
  </si>
  <si>
    <t>Entrega potencia mecánica por debajo de 190 kW. Estándar: de 190 kW (fabricante: Ficha técnica motor de tracción asíncrono CAF (archivo del equipo, hoja 04_Ficha_tecnica_MTR)). Se verifica con: protocolo C.E8.92.301.</t>
  </si>
  <si>
    <t>1. Local: El rodamiento del ventilador del motor se desgasta y el ventilador gira lento.
2. En el equipo: El motor se refrigera menos y reduce su potencia para proteger el devanado. El tren pierde velocidad en rampa.
3. General: El motor entrega menos de 190 kW.</t>
  </si>
  <si>
    <t>Movimiento duro, ruido o calentamiento anormal del ventilador del motor de tracción antes de trabarse. Se detecta con: análisis de vibraciones; termografía; análisis de partículas en el aceite.</t>
  </si>
  <si>
    <t>1. Local: El aislamiento del motor se degrada por el envejecimiento y aparecen pérdidas y calentamiento.
2. En el equipo: El motor entrega menos par del nominal. El tren pierde velocidad en rampa.
3. General: El motor entrega menos de 190 kW.</t>
  </si>
  <si>
    <t>Caída gradual del rendimiento del aislamiento del motor, con ruido, calentamiento o vibración mayor a la normal. Se detecta con: medición de prestaciones; análisis de vibraciones o termografía.</t>
  </si>
  <si>
    <t>No entrega potencia mecánica. La función se pierde por completo: no se cumple ningún punto del estándar. Estándar: de _____ kW (valor por confirmar; fabricante). Se verifica con: placa / C.E8.92.301.</t>
  </si>
  <si>
    <t>Entrega potencia mecánica por debajo de la nominal. Estándar: de _____ kW (valor por confirmar; fabricante). Se verifica con: placa / C.E8.92.301.</t>
  </si>
  <si>
    <t>No alimenta el motor de tracción. La función se pierde por completo: no se cumple ningún punto del estándar. Estándar: de _____ a _____ V CA (valor por confirmar; fabricante). Se verifica con: protocolo C.E8.92.201.</t>
  </si>
  <si>
    <t>1. Local: El módulo IGBT del inversor se quema por sobretemperatura y deja de conmutar.
2. En el equipo: El inversor no entrega tensión al motor. El tren no recibe par de tracción y aparece el mensaje de alarma del inversor.
3. General: El tren no alimenta el motor de tracción y pierde tracción.</t>
  </si>
  <si>
    <t>Aumento de temperatura, de consumo de corriente o caída de la resistencia de aislamiento del módulo IGBT del inversor. Se detecta con: termografía; medición de corriente; prueba de aislamiento (megóhmetro).</t>
  </si>
  <si>
    <t>1. Local: Las soldaduras de la tarjeta de control del inversor se fatigan y pierden contacto de forma intermitente.
2. En el equipo: El inversor se dispara de forma intermitente. El inversor se dispara a ratos.
3. General: El tren alimenta el motor de tracción de forma intermitente.</t>
  </si>
  <si>
    <t>Lecturas o comportamiento inestables de la tarjeta de control del inversor al vibrar o calentarse. Se detecta con: inspección visual de las soldaduras; prueba funcional bajo vibración; termografía.</t>
  </si>
  <si>
    <t>Alimenta el motor de tracción con tensión baja. Estándar: de _____ a _____ V CA (valor por confirmar; fabricante). Se verifica con: protocolo C.E8.92.201.</t>
  </si>
  <si>
    <t>1. Local: El condensador del circuito intermedio se degrada por el envejecimiento y la tensión del circuito baja.
2. En el equipo: El inversor entrega al motor una tensión menor a la requerida. El tren recibe menos par de tracción.
3. General: El tren alimenta el motor de tracción con tensión baja.</t>
  </si>
  <si>
    <t>No varía la frecuencia del motor. La función se pierde por completo: no se cumple ningún punto del estándar. Estándar: de _____ a _____ Hz (valor por confirmar; fabricante). Se verifica con: registro TCU.</t>
  </si>
  <si>
    <t>1. Local: La tarjeta de control del inversor se bloquea por un bloqueo del programa de control y deja de variar la frecuencia.
2. En el equipo: El motor no recibe consigna de frecuencia. El motor no responde al mando.
3. General: El tren no varía la frecuencia del motor.</t>
  </si>
  <si>
    <t>No hay una condición detectable que avise con anticipación: la tarjeta de control del inversor deja de funcionar de forma súbita. Se detecta con: prueba funcional programada; registro de eventos y alarmas del equipo.</t>
  </si>
  <si>
    <t>Varía la frecuencia del motor por debajo de la requerida. Estándar: de _____ a _____ Hz (valor por confirmar; fabricante). Se verifica con: registro TCU.</t>
  </si>
  <si>
    <t>1. Local: El sensor de velocidad del motor se descalibra por deriva y entrega una lectura menor a la real.
2. En el equipo: El control limita la frecuencia a un valor menor al requerido. El tren no alcanza la velocidad máxima.
3. General: El tren varía la frecuencia del motor por debajo de la requerida.</t>
  </si>
  <si>
    <t>1. Local: El conector del sensor de velocidad se afloja por vibración y la señal llega de forma inestable.
2. En el equipo: El control varía la frecuencia de forma irregular. La velocidad oscila y el tren tiene tirones.
3. General: El tren varía la frecuencia del motor de forma irregular.</t>
  </si>
  <si>
    <t>No refrigera el equipo de tracción. La función se pierde por completo: no se cumple ningún punto del estándar. Estándar: con caudal de _____ m³/h (valor por confirmar; fabricante). Se verifica con: anemómetro.</t>
  </si>
  <si>
    <t>1. Local: El motor del ventilador se quema por sobrecarga eléctrica y deja de girar.
2. En el equipo: El equipo de tracción no recibe aire de refrigeración. No se nota en servicio; se descubre porque el equipo se dispara por sobretemperatura.
3. General: El equipo de tracción no se refrigera.</t>
  </si>
  <si>
    <t>Aumento de temperatura, de consumo de corriente o caída de la resistencia de aislamiento del motor del ventilador. Se detecta con: termografía; medición de corriente; prueba de aislamiento (megóhmetro). Al ser una función oculta no se nota en operación: depende de la inspección o prueba programada.</t>
  </si>
  <si>
    <t>1. Local: El aspa del ventilador se rompe por fatiga y deja de mover aire.
2. En el equipo: El equipo de tracción no recibe aire de refrigeración. No se nota en servicio; se descubre porque el equipo se dispara por sobretemperatura.
3. General: El equipo de tracción no se refrigera.</t>
  </si>
  <si>
    <t>Fisura, deformación o marca de rotura incipiente de la aspa del ventilador. Se detecta con: inspección visual y ensayos no destructivos (líquidos penetrantes o partículas magnéticas). Al ser una función oculta no se nota en operación: depende de la inspección o prueba programada.</t>
  </si>
  <si>
    <t>Refrigera el equipo de tracción con caudal insuficiente. Estándar: con caudal de _____ m³/h (valor por confirmar; fabricante). Se verifica con: anemómetro.</t>
  </si>
  <si>
    <t>1. Local: El filtro de aire del equipo se obstruye con polvo y restringe el flujo de refrigeración.
2. En el equipo: El equipo recibe menos aire y se calienta. La temperatura del equipo sube más de lo normal.
3. General: El equipo de tracción se refrigera con un caudal insuficiente.</t>
  </si>
  <si>
    <t>Aumento de la presión diferencial o caída del caudal por acumulación de suciedad del filtro de aire del equipo. Se detecta con: lectura de manómetros y diferencial de presión; medición de caudal; inspección visual. Al ser una función oculta no se nota en operación: depende de la inspección o prueba programada.</t>
  </si>
  <si>
    <t>1. Local: El rodamiento del ventilador se desgasta y el ventilador gira lento.
2. En el equipo: El equipo recibe menos aire y se calienta. La temperatura del equipo sube más de lo normal.
3. General: El equipo de tracción se refrigera con un caudal insuficiente.</t>
  </si>
  <si>
    <t>Movimiento duro, ruido o calentamiento anormal del ventilador del equipo antes de trabarse. Se detecta con: análisis de vibraciones; termografía; análisis de partículas en el aceite. Al ser una función oculta no se nota en operación: depende de la inspección o prueba programada.</t>
  </si>
  <si>
    <t>No renueva el aire del salón. La función se pierde por completo: no se cumple ningún punto del estándar. Estándar: con caudal de _____ m³/h por pasajero (valor por confirmar; fabricante). Se verifica con: medición de caudal.</t>
  </si>
  <si>
    <t>1. Local: El motor del ventilador del salón se quema por sobrecarga eléctrica y deja de girar.
2. En el equipo: No entra aire exterior al salón. No hay flujo de aire en el salón.
3. General: El salón no renueva su aire.</t>
  </si>
  <si>
    <t>Aumento de temperatura, de consumo de corriente o caída de la resistencia de aislamiento del motor del ventilador del salón. Se detecta con: termografía; medición de corriente; prueba de aislamiento (megóhmetro).</t>
  </si>
  <si>
    <t>Renueva el aire del salón con caudal insuficiente. Estándar: con caudal de _____ m³/h por pasajero (valor por confirmar; fabricante). Se verifica con: medición de caudal.</t>
  </si>
  <si>
    <t>1. Local: El filtro de aire del salón se satura con polvo y restringe el flujo.
2. En el equipo: Entra menos aire exterior al salón. El salón se siente caliente y sin aire.
3. General: El salón renueva el aire con un caudal insuficiente.</t>
  </si>
  <si>
    <t>Aumento de la presión diferencial o caída del caudal por acumulación de suciedad del filtro de aire del salón. Se detecta con: lectura de manómetros y diferencial de presión; medición de caudal; inspección visual.</t>
  </si>
  <si>
    <t>1. Local: El aspa del ventilador se desbalancea por suciedad y mueve menos aire.
2. En el equipo: Entra menos aire exterior al salón. El salón se siente caliente y sin aire.
3. General: El salón renueva el aire con un caudal insuficiente.</t>
  </si>
  <si>
    <t>Deriva de la aspa del ventilador frente al valor patrón, con lecturas o ajustes que se van corriendo. Se detecta con: verificación contra patrón calibrado; lectura de parámetros; medición de alineación o vibración.</t>
  </si>
  <si>
    <t>No soporta el coche elevado. La función se pierde por completo: no se cumple ningún punto del estándar. Estándar: hasta _____ t (valor por confirmar; fabricante). Se verifica con: placa.</t>
  </si>
  <si>
    <t>1. Local: El caballete de apoyo se fractura por fatiga del material y pierde su capacidad resistente.
2. En el equipo: El coche elevado pierde uno de sus apoyos. No se nota en servicio; se descubre en la inspección de soldaduras y estructura.
3. General: El apoyo no soporta el coche elevado.</t>
  </si>
  <si>
    <t>Fisura, deformación o marca de rotura incipiente del caballete de apoyo. Se detecta con: inspección visual y ensayos no destructivos (líquidos penetrantes o partículas magnéticas). Al ser una función oculta no se nota en operación: depende de la inspección o prueba programada.</t>
  </si>
  <si>
    <t>Soporta el coche elevado con capacidad reducida. Estándar: hasta _____ t (valor por confirmar; fabricante). Se verifica con: placa.</t>
  </si>
  <si>
    <t>1. Local: La soldadura del caballete se fisura por fatiga y el caballete pierde sección resistente.
2. En el equipo: El caballete soporta menos carga. Las inspecciones muestran deformaciones o fisuras.
3. General: El apoyo soporta el coche elevado con una capacidad reducida.</t>
  </si>
  <si>
    <t>Fisura, deformación o marca de rotura incipiente de la soldadura del caballete. Se detecta con: inspección visual y ensayos no destructivos (líquidos penetrantes o partículas magnéticas). Al ser una función oculta no se nota en operación: depende de la inspección o prueba programada.</t>
  </si>
  <si>
    <t>No eleva los coches del tren. La función se pierde por completo: no se cumple ningún punto del estándar. Estándar: hasta _____ t por punto de elevación (valor por confirmar; fabricante). Se verifica con: placa / prueba de carga.</t>
  </si>
  <si>
    <t>1. Local: El motor de elevación se quema por sobrecalentamiento y no mueve las plataformas.
2. En el equipo: Las plataformas no se desplazan. Las plataformas no suben al accionar el mando.
3. General: El equipo no eleva los coches del tren.</t>
  </si>
  <si>
    <t>Aumento de temperatura, de consumo de corriente o caída de la resistencia de aislamiento del motor de elevación. Se detecta con: termografía; medición de corriente; prueba de aislamiento (megóhmetro).</t>
  </si>
  <si>
    <t>1. Local: El husillo de elevación se traba por la pérdida de la película de lubricante y no gira.
2. En el equipo: La plataforma no se desplaza. Las plataformas no suben al accionar el mando.
3. General: El equipo no eleva los coches del tren.</t>
  </si>
  <si>
    <t>Respuesta más lenta o movimiento duro del husillo de elevación antes de quedar trabado. Se detecta con: prueba funcional; medición de tiempos de ciclo.</t>
  </si>
  <si>
    <t>Eleva los coches del tren con velocidad o altura reducida. Estándar: hasta _____ t por punto de elevación (valor por confirmar; fabricante). Se verifica con: placa / prueba de carga.</t>
  </si>
  <si>
    <t>1. Local: El reductor de elevación se desgasta al final de su vida útil y transmite menos velocidad y movimiento.
2. En el equipo: La plataforma sube más lento o se detiene antes de la altura. La plataforma sube lenta o no llega a la altura.
3. General: El equipo eleva los coches con velocidad o altura reducida.</t>
  </si>
  <si>
    <t>Pérdida progresiva de material del reductor de elevación hasta acercarse al límite de desgaste. Se detecta con: medición con calibre, galga o micrómetro; inspección visual.</t>
  </si>
  <si>
    <t>No sincroniza la elevación. La función se pierde por completo: no se cumple ningún punto del estándar. Estándar: con desnivel máximo de _____ mm (valor por confirmar; fabricante). Se verifica con: medición durante la elevación.</t>
  </si>
  <si>
    <t>1. Local: El sistema de sincronización se bloquea por un bloqueo del programa de control y deja de coordinar los husillos.
2. En el equipo: Cada plataforma sube con su propia velocidad. No se nota en servicio; se descubre al ver el desnivel entre plataformas.
3. General: El equipo no sincroniza la elevación.</t>
  </si>
  <si>
    <t>No hay una condición detectable que avise con anticipación: el sistema de sincronización deja de funcionar de forma súbita. Se detecta con: prueba funcional programada; registro de eventos y alarmas del equipo. Al ser una función oculta no se nota en operación: depende de la inspección o prueba programada.</t>
  </si>
  <si>
    <t>Sincroniza la elevación con desnivel mayor al permitido. Estándar: con desnivel máximo de _____ mm (valor por confirmar; fabricante). Se verifica con: medición durante la elevación.</t>
  </si>
  <si>
    <t>1. Local: El sensor de posición de la plataforma se descalibra por deriva y entrega una altura distinta a la real.
2. En el equipo: El control corrige con una referencia errada. Se mide diferencia de altura entre plataformas.
3. General: El equipo sincroniza la elevación con un desnivel mayor al permitido.</t>
  </si>
  <si>
    <t>Deriva del sensor de posición de la plataforma frente al valor patrón, con lecturas o ajustes que se van corriendo. Se detecta con: verificación contra patrón calibrado; lectura de parámetros; medición de alineación o vibración. Al ser una función oculta no se nota en operación: depende de la inspección o prueba programada.</t>
  </si>
  <si>
    <t>No sostiene el coche elevado. La función se pierde por completo: no se cumple ningún punto del estándar. Estándar: hasta _____ t por plataforma (valor por confirmar; norma). Se verifica con: prueba de retención (EN 1493).</t>
  </si>
  <si>
    <t>1. Local: La tuerca de seguridad del husillo se desgasta por la fricción repetida y pierde sus roscas.
2. En el equipo: La plataforma no tiene respaldo mecánico si se pierde la tuerca principal. No se nota en servicio; se descubre en la prueba de sostenimiento.
3. General: El equipo no sostiene el coche elevado con su respaldo.</t>
  </si>
  <si>
    <t>Pérdida progresiva de material de la tuerca de seguridad del husillo hasta acercarse al límite de desgaste. Se detecta con: medición con calibre, galga o micrómetro; inspección visual. Al ser una función oculta no se nota en operación: depende de la inspección o prueba programada.</t>
  </si>
  <si>
    <t>Sostiene el coche elevado con descenso lento. Estándar: hasta _____ t por plataforma (valor por confirmar; norma). Se verifica con: prueba de retención (EN 1493).</t>
  </si>
  <si>
    <t>1. Local: El freno del motor de elevación se desgasta al final de su vida útil y retiene con menos fuerza.
2. En el equipo: La plataforma desciende lentamente bajo carga. La plataforma baja unos milímetros bajo carga.
3. General: El equipo sostiene el coche elevado con un descenso lento.</t>
  </si>
  <si>
    <t>Pérdida progresiva de material del freno del motor de elevación hasta acercarse al límite de desgaste. Se detecta con: medición con calibre, galga o micrómetro; inspección visual. Al ser una función oculta no se nota en operación: depende de la inspección o prueba programada.</t>
  </si>
  <si>
    <t>No transmite el movimiento de elevación. La función se pierde por completo: no se cumple ningún punto del estándar. Estándar: a velocidad de _____ mm/s (valor por confirmar; fabricante). Se verifica con: cronometraje.</t>
  </si>
  <si>
    <t>1. Local: El engranaje del reductor de elevación se rompe por fatiga y no transmite el giro.
2. En el equipo: El movimiento del motor no llega al husillo. El motor gira pero la plataforma no se mueve.
3. General: El equipo no transmite el movimiento de elevación.</t>
  </si>
  <si>
    <t>Fisura, deformación o marca de rotura incipiente del reductor de elevación. Se detecta con: inspección visual y ensayos no destructivos (líquidos penetrantes o partículas magnéticas).</t>
  </si>
  <si>
    <t>Transmite el movimiento de elevación con holgura. Estándar: a velocidad de _____ mm/s (valor por confirmar; fabricante). Se verifica con: cronometraje.</t>
  </si>
  <si>
    <t>1. Local: El acople del motor se desgasta por la fricción repetida y aparece holgura.
2. En el equipo: El movimiento se transmite con golpes. La plataforma sube con golpes.
3. General: El equipo transmite el movimiento de elevación con holgura.</t>
  </si>
  <si>
    <t>Pérdida progresiva de material del acople del motor hasta acercarse al límite de desgaste. Se detecta con: medición con calibre, galga o micrómetro; inspección visual.</t>
  </si>
  <si>
    <t>No desplaza el tren en el torno. La función se pierde por completo: no se cumple ningún punto del estándar. Estándar: con fuerza de tiro de _____ kN (valor por confirmar; fabricante). Se verifica con: placa.</t>
  </si>
  <si>
    <t>1. Local: El motor del cabrestante se quema por sobrecalentamiento y no gira.
2. En el equipo: El cable no se enrolla. El cabrestante no arrastra el tren.
3. General: El equipo no desplaza el tren en el torno.</t>
  </si>
  <si>
    <t>Aumento de temperatura, de consumo de corriente o caída de la resistencia de aislamiento del motor del cabrestante. Se detecta con: termografía; medición de corriente; prueba de aislamiento (megóhmetro).</t>
  </si>
  <si>
    <t>1. Local: El cable del cabrestante se rompe por fatiga y se suelta del tren.
2. En el equipo: El esfuerzo de tiro no llega al tren. El cabrestante no arrastra el tren.
3. General: El equipo no desplaza el tren en el torno.</t>
  </si>
  <si>
    <t>Hilos rotos visibles, corrosión o reducción del diámetro del cable del cabrestante. Se detecta con: inspección visual por tramos; medición de diámetro con calibre.</t>
  </si>
  <si>
    <t>Desplaza el tren en el torno con fuerza insuficiente. Estándar: con fuerza de tiro de _____ kN (valor por confirmar; fabricante). Se verifica con: placa.</t>
  </si>
  <si>
    <t>1. Local: El freno del cabrestante se pega por la deriva de su ajuste y queda parcialmente aplicado.
2. En el equipo: El cabrestante tiene que vencer el rozamiento del freno. El cabrestante arrastra con dificultad.
3. General: El equipo desplaza el tren en el torno con una fuerza de tiro insuficiente.</t>
  </si>
  <si>
    <t>Respuesta más lenta o movimiento duro del freno del cabrestante antes de quedar trabado. Se detecta con: prueba funcional; medición de tiempos de ciclo.</t>
  </si>
  <si>
    <t>No copia el perfil patrón. La función se pierde por completo: no se cumple ningún punto del estándar. Estándar: con exactitud de ±_____ mm (valor por confirmar; fabricante). Se verifica con: calibración.</t>
  </si>
  <si>
    <t>1. Local: El palpador del carro de copiar se rompe por un impacto mecánico y deja de seguir el perfil patrón.
2. En el equipo: La herramienta de corte no recibe la referencia del perfil. No se nota en servicio; se descubre al medir el perfil final.
3. General: El equipo no copia el perfil patrón.</t>
  </si>
  <si>
    <t>No hay una condición detectable que avise con anticipación: el palpador del carro de copiar queda afectado por un evento súbito de impacto. Se detecta con: inspección visual después de cada evento; registro de eventos y alarmas del equipo. Al ser una función oculta no se nota en operación: depende de la inspección o prueba programada.</t>
  </si>
  <si>
    <t>Copia el perfil patrón con desviación negativa. Estándar: con exactitud de ±_____ mm (valor por confirmar; fabricante). Se verifica con: calibración.</t>
  </si>
  <si>
    <t>1. Local: Las guías del carro de copiar se desgastan por la fricción repetida y el carro se mueve con juego.
2. En el equipo: La herramienta corta con una desviación negativa respecto al patrón. El perfil final queda por debajo del patrón.
3. General: El equipo copia el perfil patrón con desviación negativa.</t>
  </si>
  <si>
    <t>Pérdida progresiva de material de las guías del carro de copiar hasta acercarse al límite de desgaste. Se detecta con: medición con calibre, galga o micrómetro; inspección visual. Al ser una función oculta no se nota en operación: depende de la inspección o prueba programada.</t>
  </si>
  <si>
    <t>Copia el perfil patrón con desviación positiva. Estándar: con exactitud de ±_____ mm (valor por confirmar; fabricante). Se verifica con: calibración.</t>
  </si>
  <si>
    <t>1. Local: El palpador del carro de copiar se descalibra por deriva y lee un perfil mayor al real.
2. En el equipo: La herramienta corta con una desviación positiva respecto al patrón. El perfil final queda por encima del patrón.
3. General: El equipo copia el perfil patrón con desviación positiva.</t>
  </si>
  <si>
    <t>Deriva del palpador del carro de copiar frente al valor patrón, con lecturas o ajustes que se van corriendo. Se detecta con: verificación contra patrón calibrado; lectura de parámetros; medición de alineación o vibración. Al ser una función oculta no se nota en operación: depende de la inspección o prueba programada.</t>
  </si>
  <si>
    <t>No posiciona la herramienta de corte. La función se pierde por completo: no se cumple ningún punto del estándar. Estándar: con precisión de ±_____ mm (valor por confirmar; fabricante). Se verifica con: verificación de posición con comparador.</t>
  </si>
  <si>
    <t>1. Local: El husillo del carro montante se traba por la pérdida de la película de lubricante y no gira.
2. En el equipo: El carro no se desplaza. El carro no se mueve.
3. General: El equipo no posiciona la herramienta de corte.</t>
  </si>
  <si>
    <t>Respuesta más lenta o movimiento duro del husillo del carro montante antes de quedar trabado. Se detecta con: prueba funcional; medición de tiempos de ciclo.</t>
  </si>
  <si>
    <t>Posiciona la herramienta de corte con error. Estándar: con precisión de ±_____ mm (valor por confirmar; fabricante). Se verifica con: verificación de posición con comparador.</t>
  </si>
  <si>
    <t>1. Local: Las guías del carro montante se desgastan por la fricción repetida y el carro se posiciona con juego.
2. En el equipo: La herramienta queda en una posición distinta a la programada. La rueda sale con sobrante de material.
3. General: El equipo posiciona la herramienta de corte con error.</t>
  </si>
  <si>
    <t>Pérdida progresiva de material de las guías del carro montante hasta acercarse al límite de desgaste. Se detecta con: medición con calibre, galga o micrómetro; inspección visual.</t>
  </si>
  <si>
    <t>No posiciona el palpador. La función se pierde por completo: no se cumple ningún punto del estándar. Estándar: con repetibilidad de ±_____ mm (valor por confirmar; fabricante). Se verifica con: verificación de posición con comparador.</t>
  </si>
  <si>
    <t>1. Local: El cilindro del palpador se traba por corrosión y no se desplaza.
2. En el equipo: El palpador no llega a la rueda. El palpador no se mueve.
3. General: El equipo no posiciona el palpador.</t>
  </si>
  <si>
    <t>Movimiento duro, ruido o calentamiento anormal del cilindro del palpador antes de trabarse. Se detecta con: análisis de vibraciones; termografía; análisis de partículas en el aceite.</t>
  </si>
  <si>
    <t>Posiciona el palpador con error. Estándar: con repetibilidad de ±_____ mm (valor por confirmar; fabricante). Se verifica con: verificación de posición con comparador.</t>
  </si>
  <si>
    <t>1. Local: El soporte del palpador se desajusta por un impacto mecánico y el palpador queda en otra posición.
2. En el equipo: El palpador mide o copia desde un punto distinto. El perfil de la rueda sale con desviación.
3. General: El equipo posiciona el palpador con error.</t>
  </si>
  <si>
    <t>No hay una condición detectable que avise con anticipación: el soporte del palpador queda afectado por un evento súbito de impacto. Se detecta con: inspección visual después de cada evento; registro de eventos y alarmas del equipo.</t>
  </si>
  <si>
    <t>No gira el eje montado. La función se pierde por completo: no se cumple ningún punto del estándar. Estándar: de _____ a _____ rpm (valor por confirmar; fabricante). Se verifica con: tacómetro.</t>
  </si>
  <si>
    <t>1. Local: El motor de los rodillos de accionamiento se quema por sobrecalentamiento y los rodillos no giran.
2. En el equipo: El eje montado no recibe giro. Los rodillos no giran el eje.
3. General: El equipo no gira el eje montado.</t>
  </si>
  <si>
    <t>Aumento de temperatura, de consumo de corriente o caída de la resistencia de aislamiento del motor de los rodillos de accionamiento. Se detecta con: termografía; medición de corriente; prueba de aislamiento (megóhmetro).</t>
  </si>
  <si>
    <t>Gira el eje montado con velocidad insuficiente. Estándar: de _____ a _____ rpm (valor por confirmar; fabricante). Se verifica con: tacómetro.</t>
  </si>
  <si>
    <t>1. Local: El rodillo de accionamiento se desgasta por la fricción y transmite menos giro al eje.
2. En el equipo: El eje gira por debajo de la velocidad requerida. El eje gira lento y la viruta sale irregular.
3. General: El equipo gira el eje montado con una velocidad insuficiente.</t>
  </si>
  <si>
    <t>Pérdida progresiva de material del rodillo de accionamiento hasta acercarse al límite de desgaste. Se detecta con: medición con calibre, galga o micrómetro; inspección visual.</t>
  </si>
  <si>
    <t>1. Local: El rodamiento del rodillo se casca por fatiga y el rodillo gira con juego y fricción.
2. En el equipo: El eje gira con irregularidad. El eje gira con tirones y vibración.
3. General: El equipo gira el eje montado con una velocidad insuficiente.</t>
  </si>
  <si>
    <t>Fisura, deformación o marca de rotura incipiente del rodamiento del rodillo. Se detecta con: inspección visual y ensayos no destructivos (líquidos penetrantes o partículas magnéticas).</t>
  </si>
  <si>
    <t>No sujeta el eje montado. La función se pierde por completo: no se cumple ningún punto del estándar. Estándar: con fuerza de _____ kN (valor por confirmar; fabricante). Se verifica con: manómetro hidráulico.</t>
  </si>
  <si>
    <t>1. Local: El dispositivo de carga se rompe por fatiga y no aplica fuerza sobre el eje.
2. En el equipo: El eje montado queda sin sujeción. El eje no queda sujeto en el torno.
3. General: El equipo no sujeta el eje montado.</t>
  </si>
  <si>
    <t>Fisura, deformación o marca de rotura incipiente del dispositivo de carga. Se detecta con: inspección visual y ensayos no destructivos (líquidos penetrantes o partículas magnéticas).</t>
  </si>
  <si>
    <t>Sujeta el eje montado con fuerza insuficiente. Estándar: con fuerza de _____ kN (valor por confirmar; fabricante). Se verifica con: manómetro hidráulico.</t>
  </si>
  <si>
    <t>1. Local: El sello del cilindro de sujeción se desgasta al final de su vida útil y el cilindro pierde presión.
2. En el equipo: El eje se sujeta con menos fuerza. El eje vibra durante el torneado.
3. General: El equipo sujeta el eje montado con una fuerza insuficiente.</t>
  </si>
  <si>
    <t>Sudoración, humedad, resequedad o rozaduras visibles del sello del cilindro de sujeción. Se detecta con: inspección visual; prueba de estanqueidad.</t>
  </si>
  <si>
    <t>No mide el diámetro de rueda. La función se pierde por completo: no se cumple ningún punto del estándar. Estándar: con exactitud de ±_____ mm (valor por confirmar; fabricante). Se verifica con: calibración con patrón.</t>
  </si>
  <si>
    <t>1. Local: El sensor de diámetro se daña por un defecto electrónico y deja de entregar señal.
2. En el equipo: El equipo no recibe datos del diámetro. No se nota en servicio; se descubre al no tener lectura.
3. General: El equipo no mide el diámetro de rueda.</t>
  </si>
  <si>
    <t>No hay una condición detectable que avise con anticipación: el sensor de diámetro deja de funcionar de forma súbita. Se detecta con: prueba funcional programada; registro de eventos y alarmas del equipo. Al ser una función oculta no se nota en operación: depende de la inspección o prueba programada.</t>
  </si>
  <si>
    <t>Mide el diámetro de rueda con lectura menor a la real. Estándar: con exactitud de ±_____ mm (valor por confirmar; fabricante). Se verifica con: calibración con patrón.</t>
  </si>
  <si>
    <t>1. Local: El sensor de diámetro se descalibra por deriva y entrega valores menores al real.
2. En el equipo: El equipo registra un diámetro menor al que existe. La medición manual de control da un valor mayor.
3. General: El equipo mide el diámetro de rueda con lectura menor a la real.</t>
  </si>
  <si>
    <t>Deriva del sensor de diámetro frente al valor patrón, con lecturas o ajustes que se van corriendo. Se detecta con: verificación contra patrón calibrado; lectura de parámetros; medición de alineación o vibración. Al ser una función oculta no se nota en operación: depende de la inspección o prueba programada.</t>
  </si>
  <si>
    <t>Mide el diámetro de rueda con lectura mayor a la real. Estándar: con exactitud de ±_____ mm (valor por confirmar; fabricante). Se verifica con: calibración con patrón.</t>
  </si>
  <si>
    <t>1. Local: El soporte del sensor de diámetro se desalinea por un impacto mecánico y el sensor lee con un ángulo distinto.
2. En el equipo: El equipo registra un diámetro mayor al que existe. La medición manual de control da un valor menor.
3. General: El equipo mide el diámetro de rueda con lectura mayor a la real.</t>
  </si>
  <si>
    <t>No hay una condición detectable que avise con anticipación: el soporte del sensor de diámetro queda afectado por un evento súbito de impacto. Se detecta con: inspección visual después de cada evento; registro de eventos y alarmas del equipo. Al ser una función oculta no se nota en operación: depende de la inspección o prueba programada.</t>
  </si>
  <si>
    <t>No evacúa la viruta. La función se pierde por completo: no se cumple ningún punto del estándar. Estándar: con capacidad de _____ kg/h (valor por confirmar; fabricante). Se verifica con: prueba funcional.</t>
  </si>
  <si>
    <t>1. Local: El motor del extractor se quema por sobrecarga eléctrica y se detiene.
2. En el equipo: La viruta no es arrastrada fuera del foso. La viruta se acumula y el extractor está parado.
3. General: El equipo no evacúa la viruta.</t>
  </si>
  <si>
    <t>Aumento de temperatura, de consumo de corriente o caída de la resistencia de aislamiento del motor del extractor. Se detecta con: termografía; medición de corriente; prueba de aislamiento (megóhmetro).</t>
  </si>
  <si>
    <t>1. Local: La cinta del extractor se rompe por fatiga y deja de arrastrar la viruta.
2. En el equipo: La viruta no es arrastrada fuera del foso. La viruta se acumula y el extractor está parado.
3. General: El equipo no evacúa la viruta.</t>
  </si>
  <si>
    <t>Fisura, deformación o marca de rotura incipiente de la cinta del extractor. Se detecta con: inspección visual y ensayos no destructivos (líquidos penetrantes o partículas magnéticas).</t>
  </si>
  <si>
    <t>Evacúa la viruta con capacidad insuficiente. Estándar: con capacidad de _____ kg/h (valor por confirmar; fabricante). Se verifica con: prueba funcional.</t>
  </si>
  <si>
    <t>1. Local: El ducto del extractor se obstruye con viruta acumulada y reduce el paso.
2. En el equipo: El extractor retira menos viruta por hora. Queda viruta suelta en el foso.
3. General: El equipo evacúa la viruta con una capacidad insuficiente.</t>
  </si>
  <si>
    <t>Aumento de la presión diferencial o caída del caudal por acumulación de suciedad del ducto del extractor. Se detecta con: lectura de manómetros y diferencial de presión; medición de caudal; inspección visual.</t>
  </si>
  <si>
    <t>No presuriza los cilindros de freno. La función se pierde por completo: no se cumple ningún punto del estándar. Estándar: entre 3,7 y 3,9 bar (norma: UIC 540). Se verifica con: prueba de freno con conducto general a 5 bar.</t>
  </si>
  <si>
    <t>1. Local: El émbolo del distribuidor KE se atasca por contaminación y no deja pasar aire a los cilindros.
2. En el equipo: Los cilindros de freno no se presurizan. El manómetro de cilindros queda en cero al aplicar el freno.
3. General: El vehículo no genera fuerza de frenado y sale de servicio.</t>
  </si>
  <si>
    <t>Respuesta más lenta o movimiento duro del distribuidor KE antes de quedar trabado. Se detecta con: prueba funcional; medición de tiempos de ciclo.</t>
  </si>
  <si>
    <t>1. Local: La válvula de control del distribuidor KE se pega por grasa endurecida y responde con retardo o no responde.
2. En el equipo: Los cilindros se presurizan tarde o no se presurizan. El freno responde con retardos y a ratos no responde.
3. General: El vehículo no genera fuerza de frenado en cada aplicación.</t>
  </si>
  <si>
    <t>Respuesta más lenta o movimiento duro de la válvula de control del distribuidor KE antes de quedar trabado. Se detecta con: prueba funcional; medición de tiempos de ciclo.</t>
  </si>
  <si>
    <t>Presuriza los cilindros de freno por debajo de 3,7 bar. Estándar: entre 3,7 y 3,9 bar (norma: UIC 540). Se verifica con: prueba de freno con conducto general a 5 bar.</t>
  </si>
  <si>
    <t>1. Local: La membrana del distribuidor KE se endurece por el envejecimiento y reacciona con menos sensibilidad.
2. En el equipo: El distribuidor entrega una presión menor a 3,7 bar a los cilindros. El manómetro de cilindros marca menos de 3,7 bar y el freno es débil.
3. General: El vehículo frena con menos fuerza y requiere más distancia para detenerse.</t>
  </si>
  <si>
    <t>Pérdida de elasticidad, grietas finas o resequedad de la membrana del distribuidor KE. Se detecta con: inspección visual; medición de prestaciones (presión, caudal).</t>
  </si>
  <si>
    <t>1. Local: El resorte de regulación del distribuidor KE se relaja por fatiga del material y pierde precarga.
2. En el equipo: El distribuidor entrega una presión menor a 3,7 bar a los cilindros. El manómetro de cilindros marca menos de 3,7 bar y el freno es débil.
3. General: El vehículo frena con menos fuerza y requiere más distancia para detenerse.</t>
  </si>
  <si>
    <t>Pérdida de altura libre o de carga del resorte de regulación del distribuidor KE. Se detecta con: medición de altura libre y de carga en banco de pruebas; inspección visual.</t>
  </si>
  <si>
    <t>Presuriza los cilindros de freno por encima de 3,9 bar. Estándar: entre 3,7 y 3,9 bar (norma: UIC 540). Se verifica con: prueba de freno con conducto general a 5 bar.</t>
  </si>
  <si>
    <t>1. Local: Los resortes del distribuidor KE se descalibran por deriva y regulan una presión mayor a la ajustada.
2. En el equipo: Los cilindros se presurizan por encima de 3,9 bar. El manómetro marca más de 3,9 bar y las ruedas tienden a bloquearse, con formación de calibres planos.
3. General: El vehículo frena con más fuerza de la prevista y se desgastan ruedas y riel.</t>
  </si>
  <si>
    <t>Deriva del distribuidor KE frente al valor patrón, con lecturas o ajustes que se van corriendo. Se detecta con: verificación contra patrón calibrado; lectura de parámetros; medición de alineación o vibración.</t>
  </si>
  <si>
    <t>No llena el cilindro de freno. La función se pierde por completo: no se cumple ningún punto del estándar. Estándar: en 3 a 5 s (norma: UIC 540). Se verifica con: cronómetro y manómetro.</t>
  </si>
  <si>
    <t>1. Local: El émbolo del distribuidor KE se atasca por contaminación y no deja pasar aire al cilindro.
2. En el equipo: El cilindro de freno no se llena. El cilindro no se llena al aplicar el freno.
3. General: El vehículo no genera fuerza de frenado y sale de servicio.</t>
  </si>
  <si>
    <t>Llena el cilindro de freno en menos de 3 s. Estándar: en 3 a 5 s (norma: UIC 540). Se verifica con: cronómetro y manómetro.</t>
  </si>
  <si>
    <t>1. Local: El orificio de llenado del distribuidor KE se amplía por la erosión y deja pasar el aire más rápido.
2. En el equipo: El cilindro se llena en menos de 3 s. El freno aplica de golpe y la aplicación es brusca.
3. General: El vehículo frena con aplicación brusca.</t>
  </si>
  <si>
    <t>Aumento progresivo del diámetro del orificio de llenado del distribuidor KE y pérdida de regulación. Se detecta con: medición con calibre o galga; prueba funcional.</t>
  </si>
  <si>
    <t>Llena el cilindro de freno en más de 5 s. Estándar: en 3 a 5 s (norma: UIC 540). Se verifica con: cronómetro y manómetro.</t>
  </si>
  <si>
    <t>1. Local: El orificio de llenado del distribuidor KE se obstruye con suciedad y restringe el paso de aire.
2. En el equipo: El cilindro se llena en más de 5 s. El cilindro se llena lento y el freno responde tarde.
3. General: El vehículo frena con retardo.</t>
  </si>
  <si>
    <t>Aumento de la presión diferencial o caída del caudal por acumulación de suciedad del orificio del distribuidor KE. Se detecta con: lectura de manómetros y diferencial de presión; medición de caudal; inspección visual.</t>
  </si>
  <si>
    <t>No afloja el freno. La función se pierde por completo: no se cumple ningún punto del estándar. Estándar: en 15 a 20 s (norma: UIC 540). Se verifica con: cronómetro y manómetro.</t>
  </si>
  <si>
    <t>1. Local: El émbolo del distribuidor KE se atasca por contaminación y no libera el aire del cilindro.
2. En el equipo: Los cilindros no se vacían. Al soltar el freno los cilindros no se vacían y el vehículo no arranca.
3. General: El vehículo queda con el freno aplicado y sale de servicio.</t>
  </si>
  <si>
    <t>Afloja el freno en menos de 15 s. Estándar: en 15 a 20 s (norma: UIC 540). Se verifica con: cronómetro y manómetro.</t>
  </si>
  <si>
    <t>1. Local: Los resortes del distribuidor KE se descalibran por deriva y el escape del cilindro se abre más rápido de lo ajustado.
2. En el equipo: El cilindro se vacía en menos de 15 s. El freno afloja bruscamente.
3. General: El freno se suelta de golpe y el vehículo arranca con sacudidas.</t>
  </si>
  <si>
    <t>Afloja el freno en más de 20 s. Estándar: en 15 a 20 s (norma: UIC 540). Se verifica con: cronómetro y manómetro.</t>
  </si>
  <si>
    <t>1. Local: El orificio de escape del distribuidor KE se obstruye con suciedad y restringe la salida del aire.
2. En el equipo: El cilindro se vacía en más de 20 s. El freno tarda en soltarse y las zapatas se calientan; además, se calientan las ruedas.
3. General: El freno se suelta lento y el vehículo arranca con el freno arrastrando.</t>
  </si>
  <si>
    <t>Aumento de la presión diferencial o caída del caudal por acumulación de suciedad del orificio de escape del distribuidor KE. Se detecta con: lectura de manómetros y diferencial de presión; medición de caudal; inspección visual.</t>
  </si>
  <si>
    <t>No presuriza los cilindros de freno. La función se pierde por completo: no se cumple ningún punto del estándar. Estándar: entre 3,7 y 3,9 bar (norma: UIC 540). Se verifica con: prueba de freno.</t>
  </si>
  <si>
    <t>Presuriza los cilindros de freno por debajo de 3,7 bar. Estándar: entre 3,7 y 3,9 bar (norma: UIC 540). Se verifica con: prueba de freno.</t>
  </si>
  <si>
    <t>Presuriza los cilindros de freno por encima de 3,9 bar. Estándar: entre 3,7 y 3,9 bar (norma: UIC 540). Se verifica con: prueba de freno.</t>
  </si>
  <si>
    <t>Presuriza los cilindros de freno con una presión que oscila fuera del rango de 3,7 a 3,9 bar. Estándar: entre 3,7 y 3,9 bar (norma: UIC 540). Se verifica con: prueba de freno.</t>
  </si>
  <si>
    <t>No impide el remonte de pestaña. La función se pierde por completo: no se cumple ningún punto del estándar. Estándar: con cota qR ≥ 6,5 mm (norma: TSI LOC&amp;PAS / OTIF UTP LOC&amp;PAS, tablas 1 y 2). Se verifica con: galga.</t>
  </si>
  <si>
    <t>Impide el remonte de pestaña con cota qR menor a 6,5 mm. Estándar: con cota qR ≥ 6,5 mm (norma: TSI LOC&amp;PAS / OTIF UTP LOC&amp;PAS, tablas 1 y 2). Se verifica con: galga.</t>
  </si>
  <si>
    <t>No genera energía trifásica. La función se pierde por completo: no se cumple ningún punto del estándar. Estándar: a 460 V CA (fabricante). Se verifica con: voltímetro.</t>
  </si>
  <si>
    <t>1. Local: El bobinado del generador trifásico se quema por sobrecalentamiento y se interrumpe.
2. En el equipo: El generador no produce tensión. No hay tensión trifásica en el tablero de la máquina.
3. General: La máquina no cuenta con energía trifásica a 460 V CA.</t>
  </si>
  <si>
    <t>Aumento de temperatura, de consumo de corriente o caída de la resistencia de aislamiento del generador trifásico. Se detecta con: termografía; medición de corriente; prueba de aislamiento (megóhmetro).</t>
  </si>
  <si>
    <t>Genera energía trifásica con tensión baja. Estándar: a 460 V CA (fabricante). Se verifica con: voltímetro.</t>
  </si>
  <si>
    <t>1. Local: El regulador automático de tensión se descalibra por deriva y regula una tensión menor a la nominal.
2. En el equipo: El generador entrega una tensión menor a 460 V CA. Los motores trabajan débiles y se calientan.
3. General: La máquina recibe energía trifásica con tensión baja.</t>
  </si>
  <si>
    <t>Deriva del regulador automático de tensión frente al valor patrón, con lecturas o ajustes que se van corriendo. Se detecta con: verificación contra patrón calibrado; lectura de parámetros; medición de alineación o vibración.</t>
  </si>
  <si>
    <t>1. Local: El regulador automático de tensión se vuelve inestable por un defecto electrónico y no mantiene la tensión.
2. En el equipo: La tensión del generador sube y baja. La tensión oscila y los motores vibran.
3. General: La máquina recibe energía trifásica con tensión baja e inestable.</t>
  </si>
  <si>
    <t>No hay una condición detectable que avise con anticipación: el regulador automático de tensión deja de funcionar de forma súbita. Se detecta con: prueba funcional programada; registro de eventos y alarmas del equipo.</t>
  </si>
  <si>
    <t>No entrega potencia mecánica. La función se pierde por completo: no se cumple ningún punto del estándar. Estándar: de _____ kW (valor por confirmar; fabricante). Se verifica con: placa.</t>
  </si>
  <si>
    <t>Entrega potencia mecánica por debajo de la nominal. Estándar: de _____ kW (valor por confirmar; fabricante). Se verifica con: placa.</t>
  </si>
  <si>
    <t>No lava los trenes. La función se pierde por completo: no se cumple ningún punto del estándar. Estándar: a razón de _____ trenes/h (valor por confirmar; fabricante). Se verifica con: ficha / prueba.</t>
  </si>
  <si>
    <t>1. Local: La bomba de lavado se traba (se gripa) por desgaste y no impulsa agua.
2. En el equipo: El equipo no tiene presión de agua en las boquillas. El equipo de lavado no arranca.
3. General: El equipo no lava los trenes.</t>
  </si>
  <si>
    <t>Movimiento duro, ruido o calentamiento anormal de la bomba de lavado antes de trabarse. Se detecta con: análisis de vibraciones; termografía; análisis de partículas en el aceite.</t>
  </si>
  <si>
    <t>1. Local: El motor del cepillo se quema por sobrecarga eléctrica y no gira.
2. En el equipo: Los cepillos no se mueven sobre el tren. El equipo de lavado no arranca.
3. General: El equipo no lava los trenes.</t>
  </si>
  <si>
    <t>Aumento de temperatura, de consumo de corriente o caída de la resistencia de aislamiento del motor del cepillo. Se detecta con: termografía; medición de corriente; prueba de aislamiento (megóhmetro).</t>
  </si>
  <si>
    <t>Lava los trenes con eficiencia reducida. Estándar: a razón de _____ trenes/h (valor por confirmar; fabricante). Se verifica con: ficha / prueba.</t>
  </si>
  <si>
    <t>1. Local: La boquilla de lavado se obstruye con sedimentos y no rocía en su zona.
2. En el equipo: Una parte del tren no recibe agua de lavado. Los trenes quedan con zonas sin lavar.
3. General: El equipo lava los trenes con una eficiencia reducida.</t>
  </si>
  <si>
    <t>Aumento de la presión diferencial o caída del caudal por acumulación de suciedad de la boquilla de lavado. Se detecta con: lectura de manómetros y diferencial de presión; medición de caudal; inspección visual.</t>
  </si>
  <si>
    <t>1. Local: El cepillo de lavado se desgasta al final de su vida útil y deja de rozar la superficie.
2. En el equipo: Parte de la suciedad no se retira. Los trenes quedan con zonas sin lavar.
3. General: El equipo lava los trenes con una eficiencia reducida.</t>
  </si>
  <si>
    <t>Pérdida progresiva de material del cepillo de lavado hasta acercarse al límite de desgaste. Se detecta con: medición con calibre, galga o micrómetro; inspección visual.</t>
  </si>
  <si>
    <t>No transporta materiales. La función se pierde por completo: no se cumple ningún punto del estándar. Estándar: hasta _____ t (valor por confirmar; fabricante). Se verifica con: ficha / prueba.</t>
  </si>
  <si>
    <t>1. Local: El motor del equipo de transporte se quema por sobrecarga eléctrica y no mueve el equipo.
2. En el equipo: El equipo no se desplaza ni levanta. El equipo no se mueve ni levanta.
3. General: El equipo no transporta materiales.</t>
  </si>
  <si>
    <t>Aumento de temperatura, de consumo de corriente o caída de la resistencia de aislamiento del motor del equipo de transporte. Se detecta con: termografía; medición de corriente; prueba de aislamiento (megóhmetro).</t>
  </si>
  <si>
    <t>1. Local: La cadena de elevación se rompe por fatiga y deja de sostener la carga.
2. En el equipo: El mecanismo de elevación no mueve la carga. El equipo no se mueve ni levanta.
3. General: El equipo no transporta materiales.</t>
  </si>
  <si>
    <t>Fisura, deformación o marca de rotura incipiente de la cadena de elevación. Se detecta con: inspección visual y ensayos no destructivos (líquidos penetrantes o partículas magnéticas).</t>
  </si>
  <si>
    <t>Transporta materiales con capacidad reducida. Estándar: hasta _____ t (valor por confirmar; fabricante). Se verifica con: ficha / prueba.</t>
  </si>
  <si>
    <t>1. Local: Los sellos hidráulicos se desgastan al final de su vida útil y el aceite pasa entre cámaras.
2. En el equipo: El actuador hidráulico entrega menos fuerza. El equipo levanta o mueve menos carga.
3. General: El equipo transporta materiales con una capacidad reducida.</t>
  </si>
  <si>
    <t>Sudoración, humedad, resequedad o rozaduras visibles de los sellos hidráulicos. Se detecta con: inspección visual; prueba de estanqueidad.</t>
  </si>
  <si>
    <t>No mecaniza piezas. La función se pierde por completo: no se cumple ningún punto del estándar. Estándar: con tolerancia de ±_____ mm (valor por confirmar; fabricante). Se verifica con: ficha / prueba.</t>
  </si>
  <si>
    <t>1. Local: El motor del husillo se quema por sobrecarga y no gira.
2. En el equipo: El husillo no mueve la herramienta. La máquina no arranca o se bloquea.
3. General: La máquina no mecaniza piezas.</t>
  </si>
  <si>
    <t>Aumento de temperatura, de consumo de corriente o caída de la resistencia de aislamiento del motor del husillo. Se detecta con: termografía; medición de corriente; prueba de aislamiento (megóhmetro).</t>
  </si>
  <si>
    <t>1. Local: El rodamiento del husillo se traba (se gripa) y el husillo queda bloqueado.
2. En el equipo: El husillo no gira. La máquina no arranca o se bloquea.
3. General: La máquina no mecaniza piezas.</t>
  </si>
  <si>
    <t>Respuesta más lenta o movimiento duro del husillo antes de quedar trabado. Se detecta con: prueba funcional; medición de tiempos de ciclo.</t>
  </si>
  <si>
    <t>Mecaniza piezas con precisión reducida. Estándar: con tolerancia de ±_____ mm (valor por confirmar; fabricante). Se verifica con: ficha / prueba.</t>
  </si>
  <si>
    <t>1. Local: Las guías de la máquina se desgastan por la fricción repetida y los carros se mueven con juego.
2. En el equipo: La herramienta corta con desviaciones respecto a la posición programada. Las piezas salen con medidas fuera de lo requerido.
3. General: La máquina mecaniza las piezas con precisión reducida.</t>
  </si>
  <si>
    <t>Pérdida progresiva de material de las guías de la máquina hasta acercarse al límite de desgaste. Se detecta con: medición con calibre, galga o micrómetro; inspección visual.</t>
  </si>
  <si>
    <t>1. Local: La cuchilla se desafila al final de su vida útil y deja de cortar limpiamente.
2. En el equipo: El corte se hace con mayor esfuerzo y deja acabado deficiente. Las piezas salen con medidas fuera de lo requerido.
3. General: La máquina mecaniza las piezas con precisión reducida.</t>
  </si>
  <si>
    <t>Pérdida progresiva de material de la cuchilla hasta acercarse al límite de desgaste. Se detecta con: medición con calibre, galga o micrómetro; inspección visual.</t>
  </si>
  <si>
    <t>No suministra aire comprimido. La función se pierde por completo: no se cumple ningún punto del estándar. Estándar: a presión de _____ bar (valor por confirmar; fabricante). Se verifica con: ficha / prueba.</t>
  </si>
  <si>
    <t>1. Local: El compresor de la red se traba (se gripa) porque pierde la película de lubricante.
2. En el equipo: La red no recibe aire comprimido. No hay presión en la red de aire del taller.
3. General: La red no suministra aire comprimido.</t>
  </si>
  <si>
    <t>Movimiento duro, ruido o calentamiento anormal del compresor de la red antes de trabarse. Se detecta con: análisis de vibraciones; termografía; análisis de partículas en el aceite.</t>
  </si>
  <si>
    <t>1. Local: La tubería principal de la red se rompe por corrosión y el aire sale por la rotura.
2. En el equipo: La red pierde presión. No hay presión en la red de aire del taller.
3. General: La red no suministra aire comprimido.</t>
  </si>
  <si>
    <t>Fisura, deformación o marca de rotura incipiente de la tubería principal de la red. Se detecta con: inspección visual y ensayos no destructivos (líquidos penetrantes o partículas magnéticas).</t>
  </si>
  <si>
    <t>Suministra aire comprimido con presión insuficiente. Estándar: a presión de _____ bar (valor por confirmar; fabricante). Se verifica con: ficha / prueba.</t>
  </si>
  <si>
    <t>1. Local: El filtro de línea se obstruye con suciedad y restringe el caudal.
2. En el equipo: El aire llega a los puntos de consumo con menos presión. Las herramientas neumáticas trabajan débiles.
3. General: La red suministra aire comprimido con una presión insuficiente.</t>
  </si>
  <si>
    <t>Aumento de la presión diferencial o caída del caudal por acumulación de suciedad del filtro de línea. Se detecta con: lectura de manómetros y diferencial de presión; medición de caudal; inspección visual.</t>
  </si>
  <si>
    <t>1. Local: Los racores de la red se aflojan por vibración y dejan escapar aire.
2. En el equipo: La red pierde presión en los puntos de consumo. Las herramientas neumáticas trabajan débiles.
3. General: La red suministra aire comprimido con una presión insuficiente.</t>
  </si>
  <si>
    <t>Pérdida de apriete, holgura o marcas de testigo desalineadas de los racores de la red. Se detecta con: control de torque con llave; inspección visual de marcas de testigo.</t>
  </si>
  <si>
    <t>No detecta la presencia de tensión en la catenaria. La función se pierde por completo: no se cumple ningún punto del estándar. Estándar: a partir de _____ V (valor por confirmar; fabricante). Se verifica con: ficha / prueba.</t>
  </si>
  <si>
    <t>1. Local: El detector de tensión se daña por un defecto electrónico y no emite señal.
2. En el equipo: El detector no avisa la presencia de tensión. No se nota en servicio; se descubre en la prueba del detector.
3. General: El equipo no detecta la presencia de tensión en la catenaria.</t>
  </si>
  <si>
    <t>No hay una condición detectable que avise con anticipación: el detector de tensión deja de funcionar de forma súbita. Se detecta con: prueba funcional programada; registro de eventos y alarmas del equipo. Al ser una función oculta no se nota en operación: depende de la inspección o prueba programada.</t>
  </si>
  <si>
    <t>1. Local: El conector del detector se afloja por vibración y la señal se pierde de forma intermitente.
2. En el equipo: El detector avisa la tensión a intervalos. La señal de tensión se corta y vuelve.
3. General: El equipo detecta la tensión de forma intermitente.</t>
  </si>
  <si>
    <t>Pérdida de apriete, holgura o marcas de testigo desalineadas del conector del detector. Se detecta con: control de torque con llave; inspección visual de marcas de testigo. Al ser una función oculta no se nota en operación: depende de la inspección o prueba programada.</t>
  </si>
  <si>
    <t>Detecta la presencia de tensión en la catenaria con umbral alto. Estándar: a partir de _____ V (valor por confirmar; fabricante). Se verifica con: ficha / prueba.</t>
  </si>
  <si>
    <t>1. Local: El detector de tensión se descalibra por deriva y su umbral queda más alto que el ajustado.
2. En el equipo: La señal del detector no se activa cuando la tensión está por debajo del umbral. El detector no avisa con tensiones bajas.
3. General: El equipo detecta la presencia de tensión con un umbral alto.</t>
  </si>
  <si>
    <t>Deriva del detector de tensión frente al valor patrón, con lecturas o ajustes que se van corriendo. Se detecta con: verificación contra patrón calibrado; lectura de parámetros; medición de alineación o vibración. Al ser una función oculta no se nota en operación: depende de la inspección o prueba programada.</t>
  </si>
  <si>
    <t>Detecta la presencia de tensión en la catenaria con umbral bajo. Estándar: a partir de _____ V (valor por confirmar; fabricante). Se verifica con: ficha / prueba.</t>
  </si>
  <si>
    <t>1. Local: El sensor de tensión se descalibra por deriva y su umbral queda más bajo que el ajustado.
2. En el equipo: El detector avisa tensión aunque la tensión sea cero. El detector da alarma con tensión cero.
3. General: El equipo detecta la presencia de tensión con un umbral bajo.</t>
  </si>
  <si>
    <t>Deriva del sensor de tensión frente al valor patrón, con lecturas o ajustes que se van corriendo. Se detecta con: verificación contra patrón calibrado; lectura de parámetros; medición de alineación o vibración. Al ser una función oculta no se nota en operación: depende de la inspección o prueba programada.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</si>
</sst>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1">
    <font>
      <sz val="11.0"/>
      <color theme="1"/>
      <name val="Calibri"/>
      <scheme val="minor"/>
    </font>
    <font>
      <color theme="1"/>
      <name val="Calibri"/>
      <scheme val="minor"/>
    </font>
    <font>
      <b/>
      <sz val="10.0"/>
      <color rgb="FFFFFFFF"/>
      <name val="Arial"/>
    </font>
    <font>
      <sz val="9.0"/>
      <color theme="1"/>
      <name val="Arial"/>
    </font>
    <font>
      <sz val="10.0"/>
      <color theme="1"/>
      <name val="Arial"/>
    </font>
    <font>
      <b/>
      <sz val="9.0"/>
      <color theme="1"/>
      <name val="Arial"/>
    </font>
    <font>
      <sz val="9.0"/>
      <color rgb="FF7F7F7F"/>
      <name val="Arial"/>
    </font>
    <font>
      <sz val="11.0"/>
      <color theme="1"/>
      <name val="Calibri"/>
    </font>
    <font>
      <sz val="10.0"/>
      <color rgb="FFB42318"/>
      <name val="Arial"/>
    </font>
    <font>
      <sz val="10.0"/>
      <color rgb="FF000000"/>
      <name val="Arial"/>
    </font>
    <font>
      <b/>
      <sz val="9.0"/>
      <color rgb="FF000000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1A2020"/>
        <bgColor rgb="FF1A202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9C4"/>
        <bgColor rgb="FFFFF9C4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7E9E9"/>
        <bgColor rgb="FFE7E9E9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2F5F5"/>
        <bgColor rgb="FFF2F5F5"/>
      </patternFill>
    </fill>
    <fill>
      <patternFill patternType="solid">
        <fgColor rgb="FF92D050"/>
        <bgColor rgb="FF92D050"/>
      </patternFill>
    </fill>
    <fill>
      <patternFill patternType="solid">
        <fgColor rgb="FFD99594"/>
        <bgColor rgb="FFD99594"/>
      </patternFill>
    </fill>
    <fill>
      <patternFill patternType="solid">
        <fgColor rgb="FFFABF8F"/>
        <bgColor rgb="FFFABF8F"/>
      </patternFill>
    </fill>
    <fill>
      <patternFill patternType="solid">
        <fgColor rgb="FFB8CCE4"/>
        <bgColor rgb="FFB8CCE4"/>
      </patternFill>
    </fill>
    <fill>
      <patternFill patternType="solid">
        <fgColor rgb="FFC4BD97"/>
        <bgColor rgb="FFC4BD97"/>
      </patternFill>
    </fill>
    <fill>
      <patternFill patternType="solid">
        <fgColor rgb="FFB2A1C7"/>
        <bgColor rgb="FFB2A1C7"/>
      </patternFill>
    </fill>
  </fills>
  <borders count="5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bottom style="thin">
        <color rgb="FFD7DEE3"/>
      </bottom>
    </border>
    <border>
      <left/>
      <right/>
      <top/>
      <bottom style="thin">
        <color rgb="FFD7DEE3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left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shrinkToFit="0" vertical="center" wrapText="1"/>
    </xf>
    <xf borderId="1" fillId="2" fontId="2" numFmtId="0" xfId="0" applyBorder="1" applyFill="1" applyFont="1"/>
    <xf borderId="2" fillId="0" fontId="3" numFmtId="0" xfId="0" applyAlignment="1" applyBorder="1" applyFont="1">
      <alignment shrinkToFit="0" vertical="top" wrapText="1"/>
    </xf>
    <xf borderId="3" fillId="0" fontId="4" numFmtId="0" xfId="0" applyAlignment="1" applyBorder="1" applyFont="1">
      <alignment shrinkToFit="0" vertical="top" wrapText="1"/>
    </xf>
    <xf borderId="3" fillId="0" fontId="4" numFmtId="0" xfId="0" applyAlignment="1" applyBorder="1" applyFont="1">
      <alignment vertical="top"/>
    </xf>
    <xf borderId="2" fillId="3" fontId="3" numFmtId="0" xfId="0" applyAlignment="1" applyBorder="1" applyFill="1" applyFont="1">
      <alignment shrinkToFit="0" vertical="top" wrapText="1"/>
    </xf>
    <xf borderId="2" fillId="0" fontId="3" numFmtId="0" xfId="0" applyAlignment="1" applyBorder="1" applyFont="1">
      <alignment horizontal="center" shrinkToFit="0" vertical="top" wrapText="1"/>
    </xf>
    <xf borderId="2" fillId="4" fontId="3" numFmtId="0" xfId="0" applyAlignment="1" applyBorder="1" applyFill="1" applyFont="1">
      <alignment shrinkToFit="0" vertical="top" wrapText="1"/>
    </xf>
    <xf borderId="2" fillId="0" fontId="3" numFmtId="2" xfId="0" applyAlignment="1" applyBorder="1" applyFont="1" applyNumberFormat="1">
      <alignment horizontal="center" shrinkToFit="0" vertical="top" wrapText="1"/>
    </xf>
    <xf borderId="2" fillId="5" fontId="3" numFmtId="0" xfId="0" applyAlignment="1" applyBorder="1" applyFill="1" applyFont="1">
      <alignment horizontal="center" shrinkToFit="0" vertical="top" wrapText="1"/>
    </xf>
    <xf borderId="2" fillId="0" fontId="5" numFmtId="164" xfId="0" applyAlignment="1" applyBorder="1" applyFont="1" applyNumberFormat="1">
      <alignment horizontal="center" shrinkToFit="0" vertical="top" wrapText="1"/>
    </xf>
    <xf borderId="2" fillId="6" fontId="3" numFmtId="0" xfId="0" applyAlignment="1" applyBorder="1" applyFill="1" applyFont="1">
      <alignment horizontal="center" shrinkToFit="0" vertical="top" wrapText="1"/>
    </xf>
    <xf borderId="3" fillId="0" fontId="4" numFmtId="0" xfId="0" applyAlignment="1" applyBorder="1" applyFont="1">
      <alignment readingOrder="0" shrinkToFit="0" vertical="top" wrapText="1"/>
    </xf>
    <xf borderId="2" fillId="7" fontId="3" numFmtId="0" xfId="0" applyBorder="1" applyFill="1" applyFont="1"/>
    <xf borderId="2" fillId="6" fontId="5" numFmtId="0" xfId="0" applyAlignment="1" applyBorder="1" applyFill="1" applyFont="1">
      <alignment horizontal="center" shrinkToFit="0" vertical="top" wrapText="1"/>
    </xf>
    <xf borderId="2" fillId="0" fontId="3" numFmtId="0" xfId="0" applyBorder="1" applyFont="1"/>
    <xf borderId="2" fillId="3" fontId="5" numFmtId="0" xfId="0" applyAlignment="1" applyBorder="1" applyFill="1" applyFont="1">
      <alignment horizontal="center" shrinkToFit="0" vertical="top" wrapText="1"/>
    </xf>
    <xf borderId="2" fillId="8" fontId="3" numFmtId="0" xfId="0" applyAlignment="1" applyBorder="1" applyFill="1" applyFont="1">
      <alignment horizontal="center" shrinkToFit="0" vertical="top" wrapText="1"/>
    </xf>
    <xf borderId="2" fillId="3" fontId="6" numFmtId="0" xfId="0" applyAlignment="1" applyBorder="1" applyFill="1" applyFont="1">
      <alignment horizontal="center" shrinkToFit="0" vertical="top" wrapText="1"/>
    </xf>
    <xf borderId="2" fillId="6" fontId="3" numFmtId="0" xfId="0" applyBorder="1" applyFill="1" applyFont="1"/>
    <xf borderId="0" fillId="0" fontId="7" numFmtId="0" xfId="0" applyAlignment="1" applyFont="1">
      <alignment shrinkToFit="0" vertical="top" wrapText="1"/>
    </xf>
    <xf borderId="2" fillId="9" fontId="3" numFmtId="0" xfId="0" applyBorder="1" applyFill="1" applyFont="1"/>
    <xf borderId="2" fillId="10" fontId="3" numFmtId="0" xfId="0" applyBorder="1" applyFill="1" applyFont="1"/>
    <xf borderId="2" fillId="11" fontId="3" numFmtId="0" xfId="0" applyAlignment="1" applyBorder="1" applyFill="1" applyFont="1">
      <alignment shrinkToFit="0" vertical="top" wrapText="1"/>
    </xf>
    <xf borderId="3" fillId="0" fontId="8" numFmtId="0" xfId="0" applyAlignment="1" applyBorder="1" applyFont="1">
      <alignment shrinkToFit="0" vertical="top" wrapText="1"/>
    </xf>
    <xf borderId="2" fillId="11" fontId="6" numFmtId="0" xfId="0" applyAlignment="1" applyBorder="1" applyFill="1" applyFont="1">
      <alignment horizontal="center" shrinkToFit="0" vertical="top" wrapText="1"/>
    </xf>
    <xf borderId="2" fillId="11" fontId="5" numFmtId="0" xfId="0" applyAlignment="1" applyBorder="1" applyFill="1" applyFont="1">
      <alignment horizontal="center" shrinkToFit="0" vertical="top" wrapText="1"/>
    </xf>
    <xf borderId="2" fillId="12" fontId="3" numFmtId="0" xfId="0" applyAlignment="1" applyBorder="1" applyFill="1" applyFont="1">
      <alignment shrinkToFit="0" vertical="top" wrapText="1"/>
    </xf>
    <xf borderId="4" fillId="3" fontId="4" numFmtId="0" xfId="0" applyAlignment="1" applyBorder="1" applyFill="1" applyFont="1">
      <alignment shrinkToFit="0" vertical="top" wrapText="1"/>
    </xf>
    <xf borderId="3" fillId="0" fontId="9" numFmtId="0" xfId="0" applyAlignment="1" applyBorder="1" applyFont="1">
      <alignment shrinkToFit="0" vertical="top" wrapText="1"/>
    </xf>
    <xf borderId="2" fillId="13" fontId="3" numFmtId="0" xfId="0" applyAlignment="1" applyBorder="1" applyFill="1" applyFont="1">
      <alignment shrinkToFit="0" vertical="top" wrapText="1"/>
    </xf>
    <xf borderId="2" fillId="14" fontId="3" numFmtId="0" xfId="0" applyAlignment="1" applyBorder="1" applyFill="1" applyFont="1">
      <alignment shrinkToFit="0" vertical="top" wrapText="1"/>
    </xf>
    <xf borderId="2" fillId="3" fontId="3" numFmtId="0" xfId="0" applyAlignment="1" applyBorder="1" applyFill="1" applyFont="1">
      <alignment readingOrder="0" shrinkToFit="0" vertical="top" wrapText="1"/>
    </xf>
    <xf borderId="0" fillId="0" fontId="1" numFmtId="0" xfId="0" applyAlignment="1" applyFont="1">
      <alignment readingOrder="0"/>
    </xf>
    <xf borderId="2" fillId="15" fontId="3" numFmtId="0" xfId="0" applyAlignment="1" applyBorder="1" applyFill="1" applyFont="1">
      <alignment shrinkToFit="0" vertical="top" wrapText="1"/>
    </xf>
    <xf borderId="2" fillId="3" fontId="10" numFmtId="0" xfId="0" applyAlignment="1" applyBorder="1" applyFill="1" applyFont="1">
      <alignment horizontal="center" readingOrder="0" shrinkToFit="0" vertical="top" wrapText="1"/>
    </xf>
    <xf borderId="2" fillId="16" fontId="3" numFmtId="0" xfId="0" applyAlignment="1" applyBorder="1" applyFill="1" applyFont="1">
      <alignment shrinkToFit="0" vertical="top" wrapText="1"/>
    </xf>
    <xf borderId="2" fillId="17" fontId="3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ABF8F"/>
          <bgColor rgb="FFFABF8F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12.0"/>
    <col customWidth="1" min="3" max="3" width="14.0"/>
    <col customWidth="1" min="4" max="4" width="38.0"/>
    <col customWidth="1" min="5" max="5" width="43.29"/>
    <col customWidth="1" min="6" max="6" width="22.0"/>
    <col customWidth="1" min="7" max="7" width="60.0"/>
    <col customWidth="1" min="8" max="8" width="30.0"/>
    <col customWidth="1" min="9" max="9" width="34.0"/>
    <col customWidth="1" min="10" max="10" width="40.0"/>
    <col customWidth="1" min="11" max="11" width="50.0"/>
    <col customWidth="1" min="12" max="12" width="40.0"/>
    <col customWidth="1" min="13" max="13" width="22.0"/>
    <col customWidth="1" min="14" max="14" width="12.0"/>
    <col customWidth="1" min="15" max="15" width="16.0"/>
    <col customWidth="1" min="16" max="16" width="11.0"/>
    <col customWidth="1" min="17" max="17" width="12.0"/>
    <col customWidth="1" min="18" max="18" width="40.0"/>
    <col customWidth="1" min="19" max="19" width="24.0"/>
    <col customWidth="1" min="20" max="20" width="22.0"/>
    <col customWidth="1" min="21" max="21" width="70.0"/>
    <col customWidth="1" min="22" max="22" width="42.0"/>
    <col customWidth="1" min="23" max="23" width="55.0"/>
    <col customWidth="1" min="24" max="26" width="8.71"/>
  </cols>
  <sheetData>
    <row r="1" ht="30.0" customHeight="1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8</v>
      </c>
      <c r="H1" s="2" t="s">
        <v>10</v>
      </c>
      <c r="I1" s="2" t="s">
        <v>13</v>
      </c>
      <c r="J1" s="2" t="s">
        <v>15</v>
      </c>
      <c r="K1" s="2" t="s">
        <v>18</v>
      </c>
      <c r="L1" s="4" t="s">
        <v>23</v>
      </c>
      <c r="M1" s="4" t="s">
        <v>28</v>
      </c>
      <c r="N1" s="4" t="s">
        <v>30</v>
      </c>
      <c r="O1" s="4" t="s">
        <v>32</v>
      </c>
      <c r="P1" s="4" t="s">
        <v>33</v>
      </c>
      <c r="Q1" s="4" t="s">
        <v>35</v>
      </c>
      <c r="R1" s="4" t="s">
        <v>36</v>
      </c>
      <c r="S1" s="4" t="s">
        <v>38</v>
      </c>
      <c r="T1" s="4" t="s">
        <v>40</v>
      </c>
      <c r="U1" s="2" t="s">
        <v>42</v>
      </c>
      <c r="V1" s="2" t="s">
        <v>44</v>
      </c>
      <c r="W1" s="2" t="s">
        <v>45</v>
      </c>
    </row>
    <row r="2" ht="23.25" customHeight="1">
      <c r="A2" s="7" t="s">
        <v>49</v>
      </c>
      <c r="B2" s="8" t="s">
        <v>47</v>
      </c>
      <c r="C2" s="8" t="s">
        <v>55</v>
      </c>
      <c r="D2" s="7" t="s">
        <v>56</v>
      </c>
      <c r="E2" s="7" t="s">
        <v>58</v>
      </c>
      <c r="F2" s="7" t="s">
        <v>60</v>
      </c>
      <c r="G2" s="7" t="str">
        <f t="shared" ref="G2:G372" si="1">TRIM(CONCATENATE(C2," ",D2," ",E2," ",F2))</f>
        <v>Transportar pasajeros hasta 300 por coche</v>
      </c>
      <c r="H2" s="7" t="s">
        <v>61</v>
      </c>
      <c r="I2" s="8" t="s">
        <v>62</v>
      </c>
      <c r="J2" s="7" t="s">
        <v>63</v>
      </c>
      <c r="K2" s="7" t="s">
        <v>64</v>
      </c>
      <c r="L2" s="7" t="s">
        <v>49</v>
      </c>
      <c r="M2" s="7" t="s">
        <v>65</v>
      </c>
      <c r="N2" s="8">
        <v>1.0</v>
      </c>
      <c r="O2" s="8" t="s">
        <v>66</v>
      </c>
      <c r="P2" s="8" t="s">
        <v>67</v>
      </c>
      <c r="Q2" s="8" t="s">
        <v>68</v>
      </c>
      <c r="R2" s="7" t="s">
        <v>69</v>
      </c>
      <c r="S2" s="8" t="s">
        <v>70</v>
      </c>
      <c r="T2" s="8" t="s">
        <v>71</v>
      </c>
      <c r="U2" s="7"/>
      <c r="V2" s="7"/>
      <c r="W2" s="7"/>
    </row>
    <row r="3" ht="23.25" customHeight="1">
      <c r="A3" s="7" t="s">
        <v>72</v>
      </c>
      <c r="B3" s="8" t="s">
        <v>73</v>
      </c>
      <c r="C3" s="8" t="s">
        <v>74</v>
      </c>
      <c r="D3" s="7" t="s">
        <v>75</v>
      </c>
      <c r="E3" s="7" t="s">
        <v>76</v>
      </c>
      <c r="F3" s="7" t="s">
        <v>77</v>
      </c>
      <c r="G3" s="7" t="str">
        <f t="shared" si="1"/>
        <v>Bloquear la tracción con 0 arranques con puerta abierta</v>
      </c>
      <c r="H3" s="7" t="s">
        <v>79</v>
      </c>
      <c r="I3" s="8" t="s">
        <v>80</v>
      </c>
      <c r="J3" s="7"/>
      <c r="K3" s="7"/>
      <c r="L3" s="7" t="s">
        <v>81</v>
      </c>
      <c r="M3" s="7" t="s">
        <v>83</v>
      </c>
      <c r="N3" s="8">
        <v>1.0</v>
      </c>
      <c r="O3" s="8" t="s">
        <v>85</v>
      </c>
      <c r="P3" s="8" t="s">
        <v>86</v>
      </c>
      <c r="Q3" s="8" t="s">
        <v>87</v>
      </c>
      <c r="R3" s="7" t="s">
        <v>88</v>
      </c>
      <c r="S3" s="8" t="s">
        <v>89</v>
      </c>
      <c r="T3" s="8" t="s">
        <v>90</v>
      </c>
      <c r="U3" s="7"/>
      <c r="V3" s="7"/>
      <c r="W3" s="7"/>
    </row>
    <row r="4" ht="34.5" customHeight="1">
      <c r="A4" s="7" t="s">
        <v>72</v>
      </c>
      <c r="B4" s="8" t="s">
        <v>91</v>
      </c>
      <c r="C4" s="8" t="s">
        <v>92</v>
      </c>
      <c r="D4" s="7" t="s">
        <v>93</v>
      </c>
      <c r="E4" s="7" t="s">
        <v>94</v>
      </c>
      <c r="F4" s="7" t="s">
        <v>95</v>
      </c>
      <c r="G4" s="7" t="str">
        <f t="shared" si="1"/>
        <v>Permitir el intercambio de pasajeros con 24 puertas operativas</v>
      </c>
      <c r="H4" s="7" t="s">
        <v>61</v>
      </c>
      <c r="I4" s="8" t="s">
        <v>80</v>
      </c>
      <c r="J4" s="7" t="s">
        <v>96</v>
      </c>
      <c r="K4" s="7" t="s">
        <v>97</v>
      </c>
      <c r="L4" s="7" t="s">
        <v>81</v>
      </c>
      <c r="M4" s="7" t="s">
        <v>83</v>
      </c>
      <c r="N4" s="8">
        <v>1.0</v>
      </c>
      <c r="O4" s="8" t="s">
        <v>66</v>
      </c>
      <c r="P4" s="8" t="s">
        <v>67</v>
      </c>
      <c r="Q4" s="8" t="s">
        <v>68</v>
      </c>
      <c r="R4" s="7" t="s">
        <v>98</v>
      </c>
      <c r="S4" s="8" t="s">
        <v>99</v>
      </c>
      <c r="T4" s="8" t="s">
        <v>71</v>
      </c>
      <c r="U4" s="7"/>
      <c r="V4" s="7"/>
      <c r="W4" s="7"/>
    </row>
    <row r="5" ht="15.0" customHeight="1">
      <c r="A5" s="7" t="s">
        <v>100</v>
      </c>
      <c r="B5" s="8" t="s">
        <v>101</v>
      </c>
      <c r="C5" s="8" t="s">
        <v>102</v>
      </c>
      <c r="D5" s="7" t="s">
        <v>103</v>
      </c>
      <c r="E5" s="16" t="s">
        <v>104</v>
      </c>
      <c r="F5" s="16" t="s">
        <v>105</v>
      </c>
      <c r="G5" s="7" t="str">
        <f t="shared" si="1"/>
        <v>Frenar el tren en una distancia máxima de 30 m</v>
      </c>
      <c r="H5" s="7" t="s">
        <v>79</v>
      </c>
      <c r="I5" s="8" t="s">
        <v>106</v>
      </c>
      <c r="J5" s="7" t="s">
        <v>107</v>
      </c>
      <c r="K5" s="7"/>
      <c r="L5" s="7" t="s">
        <v>108</v>
      </c>
      <c r="M5" s="7" t="s">
        <v>109</v>
      </c>
      <c r="N5" s="8">
        <v>1.0</v>
      </c>
      <c r="O5" s="8" t="s">
        <v>85</v>
      </c>
      <c r="P5" s="8" t="s">
        <v>67</v>
      </c>
      <c r="Q5" s="8" t="s">
        <v>68</v>
      </c>
      <c r="R5" s="7" t="s">
        <v>110</v>
      </c>
      <c r="S5" s="8" t="s">
        <v>111</v>
      </c>
      <c r="T5" s="8" t="s">
        <v>112</v>
      </c>
      <c r="U5" s="7"/>
      <c r="V5" s="7"/>
      <c r="W5" s="7"/>
    </row>
    <row r="6" ht="23.25" customHeight="1">
      <c r="A6" s="7" t="s">
        <v>100</v>
      </c>
      <c r="B6" s="8" t="s">
        <v>90</v>
      </c>
      <c r="C6" s="8" t="s">
        <v>115</v>
      </c>
      <c r="D6" s="16" t="s">
        <v>103</v>
      </c>
      <c r="E6" s="16" t="s">
        <v>104</v>
      </c>
      <c r="F6" s="16" t="s">
        <v>105</v>
      </c>
      <c r="G6" s="7" t="str">
        <f t="shared" si="1"/>
        <v>Detener el tren en una distancia máxima de 30 m</v>
      </c>
      <c r="H6" s="7" t="s">
        <v>79</v>
      </c>
      <c r="I6" s="8" t="s">
        <v>106</v>
      </c>
      <c r="J6" s="7" t="s">
        <v>107</v>
      </c>
      <c r="K6" s="7"/>
      <c r="L6" s="7" t="s">
        <v>108</v>
      </c>
      <c r="M6" s="7" t="s">
        <v>109</v>
      </c>
      <c r="N6" s="8">
        <v>1.0</v>
      </c>
      <c r="O6" s="8" t="s">
        <v>85</v>
      </c>
      <c r="P6" s="8" t="s">
        <v>67</v>
      </c>
      <c r="Q6" s="8" t="s">
        <v>68</v>
      </c>
      <c r="R6" s="7" t="s">
        <v>110</v>
      </c>
      <c r="S6" s="8" t="s">
        <v>111</v>
      </c>
      <c r="T6" s="8" t="s">
        <v>117</v>
      </c>
      <c r="U6" s="7"/>
      <c r="V6" s="7"/>
      <c r="W6" s="7"/>
    </row>
    <row r="7" ht="34.5" customHeight="1">
      <c r="A7" s="7" t="s">
        <v>100</v>
      </c>
      <c r="B7" s="8" t="s">
        <v>118</v>
      </c>
      <c r="C7" s="8" t="s">
        <v>119</v>
      </c>
      <c r="D7" s="7" t="s">
        <v>103</v>
      </c>
      <c r="E7" s="1" t="s">
        <v>121</v>
      </c>
      <c r="F7" s="24" t="s">
        <v>122</v>
      </c>
      <c r="G7" s="7" t="str">
        <f t="shared" si="1"/>
        <v>Inmovilizar el tren con carga de 203 t en pendiente de 3 %</v>
      </c>
      <c r="H7" s="7" t="s">
        <v>79</v>
      </c>
      <c r="I7" s="8" t="s">
        <v>106</v>
      </c>
      <c r="J7" s="7"/>
      <c r="K7" s="7" t="s">
        <v>126</v>
      </c>
      <c r="L7" s="7" t="s">
        <v>108</v>
      </c>
      <c r="M7" s="7" t="s">
        <v>109</v>
      </c>
      <c r="N7" s="8">
        <v>1.0</v>
      </c>
      <c r="O7" s="8" t="s">
        <v>85</v>
      </c>
      <c r="P7" s="8" t="s">
        <v>86</v>
      </c>
      <c r="Q7" s="8" t="s">
        <v>87</v>
      </c>
      <c r="R7" s="7" t="s">
        <v>128</v>
      </c>
      <c r="S7" s="8" t="s">
        <v>111</v>
      </c>
      <c r="T7" s="8" t="s">
        <v>129</v>
      </c>
      <c r="U7" s="24"/>
      <c r="V7" s="24"/>
      <c r="W7" s="24"/>
    </row>
    <row r="8" ht="23.25" customHeight="1">
      <c r="A8" s="7" t="s">
        <v>130</v>
      </c>
      <c r="B8" s="8" t="s">
        <v>131</v>
      </c>
      <c r="C8" s="8" t="s">
        <v>132</v>
      </c>
      <c r="D8" s="7" t="s">
        <v>133</v>
      </c>
      <c r="E8" s="7" t="s">
        <v>134</v>
      </c>
      <c r="F8" s="7" t="s">
        <v>135</v>
      </c>
      <c r="G8" s="7" t="str">
        <f t="shared" si="1"/>
        <v>Alcanzar una velocidad máxima entre 78 y 80 km/h</v>
      </c>
      <c r="H8" s="7" t="s">
        <v>61</v>
      </c>
      <c r="I8" s="8" t="s">
        <v>137</v>
      </c>
      <c r="J8" s="7" t="s">
        <v>63</v>
      </c>
      <c r="K8" s="7"/>
      <c r="L8" s="7" t="s">
        <v>138</v>
      </c>
      <c r="M8" s="7" t="s">
        <v>139</v>
      </c>
      <c r="N8" s="8">
        <v>1.0</v>
      </c>
      <c r="O8" s="8" t="s">
        <v>66</v>
      </c>
      <c r="P8" s="8" t="s">
        <v>67</v>
      </c>
      <c r="Q8" s="8" t="s">
        <v>68</v>
      </c>
      <c r="R8" s="7" t="s">
        <v>140</v>
      </c>
      <c r="S8" s="8" t="s">
        <v>70</v>
      </c>
      <c r="T8" s="8" t="s">
        <v>141</v>
      </c>
      <c r="U8" s="7"/>
      <c r="V8" s="7"/>
      <c r="W8" s="7"/>
    </row>
    <row r="9" ht="23.25" customHeight="1">
      <c r="A9" s="7" t="s">
        <v>130</v>
      </c>
      <c r="B9" s="8" t="s">
        <v>142</v>
      </c>
      <c r="C9" s="8" t="s">
        <v>143</v>
      </c>
      <c r="D9" s="7" t="s">
        <v>144</v>
      </c>
      <c r="E9" s="7" t="s">
        <v>145</v>
      </c>
      <c r="F9" s="7" t="s">
        <v>146</v>
      </c>
      <c r="G9" s="7" t="str">
        <f t="shared" si="1"/>
        <v>Entregar el par de tracción en arranque entre _____ y _____ N·m</v>
      </c>
      <c r="H9" s="7" t="s">
        <v>61</v>
      </c>
      <c r="I9" s="8" t="s">
        <v>137</v>
      </c>
      <c r="J9" s="7"/>
      <c r="K9" s="7" t="s">
        <v>148</v>
      </c>
      <c r="L9" s="7" t="s">
        <v>138</v>
      </c>
      <c r="M9" s="7" t="s">
        <v>139</v>
      </c>
      <c r="N9" s="8">
        <v>1.0</v>
      </c>
      <c r="O9" s="8" t="s">
        <v>66</v>
      </c>
      <c r="P9" s="8" t="s">
        <v>86</v>
      </c>
      <c r="Q9" s="8" t="s">
        <v>68</v>
      </c>
      <c r="R9" s="7" t="s">
        <v>149</v>
      </c>
      <c r="S9" s="8" t="s">
        <v>111</v>
      </c>
      <c r="T9" s="8" t="s">
        <v>71</v>
      </c>
      <c r="U9" s="7"/>
      <c r="V9" s="7"/>
      <c r="W9" s="7"/>
    </row>
    <row r="10" ht="23.25" customHeight="1">
      <c r="A10" s="7" t="s">
        <v>150</v>
      </c>
      <c r="B10" s="8" t="s">
        <v>151</v>
      </c>
      <c r="C10" s="8" t="s">
        <v>152</v>
      </c>
      <c r="D10" s="7" t="s">
        <v>153</v>
      </c>
      <c r="E10" s="7" t="s">
        <v>154</v>
      </c>
      <c r="F10" s="7" t="s">
        <v>155</v>
      </c>
      <c r="G10" s="7" t="str">
        <f t="shared" si="1"/>
        <v>Mantener la presión del depósito principal entre 8,5 y 10 bar</v>
      </c>
      <c r="H10" s="7" t="s">
        <v>79</v>
      </c>
      <c r="I10" s="8" t="s">
        <v>157</v>
      </c>
      <c r="J10" s="7"/>
      <c r="K10" s="7" t="s">
        <v>158</v>
      </c>
      <c r="L10" s="7" t="s">
        <v>159</v>
      </c>
      <c r="M10" s="7" t="s">
        <v>160</v>
      </c>
      <c r="N10" s="8">
        <v>1.0</v>
      </c>
      <c r="O10" s="8" t="s">
        <v>66</v>
      </c>
      <c r="P10" s="8" t="s">
        <v>67</v>
      </c>
      <c r="Q10" s="8" t="s">
        <v>68</v>
      </c>
      <c r="R10" s="7" t="s">
        <v>161</v>
      </c>
      <c r="S10" s="8" t="s">
        <v>111</v>
      </c>
      <c r="T10" s="8" t="s">
        <v>162</v>
      </c>
      <c r="U10" s="7"/>
      <c r="V10" s="7"/>
      <c r="W10" s="7"/>
    </row>
    <row r="11" ht="31.5" customHeight="1">
      <c r="A11" s="7" t="s">
        <v>150</v>
      </c>
      <c r="B11" s="8" t="s">
        <v>163</v>
      </c>
      <c r="C11" s="8" t="s">
        <v>164</v>
      </c>
      <c r="D11" s="7" t="s">
        <v>165</v>
      </c>
      <c r="E11" s="7" t="s">
        <v>166</v>
      </c>
      <c r="F11" s="7" t="s">
        <v>168</v>
      </c>
      <c r="G11" s="7" t="str">
        <f t="shared" si="1"/>
        <v>Contener el aire del circuito principal con caída máxima de 0,2 bar en 5 min</v>
      </c>
      <c r="H11" s="7" t="s">
        <v>171</v>
      </c>
      <c r="I11" s="8" t="s">
        <v>157</v>
      </c>
      <c r="J11" s="7"/>
      <c r="K11" s="7" t="s">
        <v>172</v>
      </c>
      <c r="L11" s="7" t="s">
        <v>159</v>
      </c>
      <c r="M11" s="7" t="s">
        <v>160</v>
      </c>
      <c r="N11" s="8">
        <v>1.0</v>
      </c>
      <c r="O11" s="8" t="s">
        <v>173</v>
      </c>
      <c r="P11" s="8" t="s">
        <v>86</v>
      </c>
      <c r="Q11" s="8" t="s">
        <v>68</v>
      </c>
      <c r="R11" s="7" t="s">
        <v>174</v>
      </c>
      <c r="S11" s="8" t="s">
        <v>111</v>
      </c>
      <c r="T11" s="8" t="s">
        <v>71</v>
      </c>
      <c r="U11" s="7"/>
      <c r="V11" s="7"/>
      <c r="W11" s="7"/>
    </row>
    <row r="12" ht="28.5" customHeight="1">
      <c r="A12" s="7" t="s">
        <v>175</v>
      </c>
      <c r="B12" s="8" t="s">
        <v>176</v>
      </c>
      <c r="C12" s="8" t="s">
        <v>177</v>
      </c>
      <c r="D12" s="7" t="s">
        <v>178</v>
      </c>
      <c r="E12" s="7" t="s">
        <v>179</v>
      </c>
      <c r="F12" s="7" t="s">
        <v>180</v>
      </c>
      <c r="G12" s="7" t="str">
        <f t="shared" si="1"/>
        <v>Secar el aire comprimido con punto de rocío máximo de +3 °C</v>
      </c>
      <c r="H12" s="7" t="s">
        <v>61</v>
      </c>
      <c r="I12" s="8" t="s">
        <v>181</v>
      </c>
      <c r="J12" s="7" t="s">
        <v>182</v>
      </c>
      <c r="K12" s="7" t="s">
        <v>183</v>
      </c>
      <c r="L12" s="7" t="s">
        <v>184</v>
      </c>
      <c r="M12" s="7" t="s">
        <v>186</v>
      </c>
      <c r="N12" s="8">
        <v>2.0</v>
      </c>
      <c r="O12" s="8" t="s">
        <v>187</v>
      </c>
      <c r="P12" s="8" t="s">
        <v>67</v>
      </c>
      <c r="Q12" s="8" t="s">
        <v>87</v>
      </c>
      <c r="R12" s="7" t="s">
        <v>188</v>
      </c>
      <c r="S12" s="8" t="s">
        <v>89</v>
      </c>
      <c r="T12" s="8" t="s">
        <v>189</v>
      </c>
      <c r="U12" s="7"/>
      <c r="V12" s="7"/>
      <c r="W12" s="7"/>
    </row>
    <row r="13" ht="23.25" customHeight="1">
      <c r="A13" s="7" t="s">
        <v>190</v>
      </c>
      <c r="B13" s="8" t="s">
        <v>191</v>
      </c>
      <c r="C13" s="8" t="s">
        <v>192</v>
      </c>
      <c r="D13" s="7" t="s">
        <v>193</v>
      </c>
      <c r="E13" s="28" t="s">
        <v>194</v>
      </c>
      <c r="F13" s="28"/>
      <c r="G13" s="7" t="str">
        <f t="shared" si="1"/>
        <v>Suministrar caudal de aceite [ESTÁNDAR POR CONFIRMAR]</v>
      </c>
      <c r="H13" s="7" t="s">
        <v>61</v>
      </c>
      <c r="I13" s="8" t="s">
        <v>197</v>
      </c>
      <c r="J13" s="7"/>
      <c r="K13" s="7" t="s">
        <v>199</v>
      </c>
      <c r="L13" s="7" t="s">
        <v>200</v>
      </c>
      <c r="M13" s="7" t="s">
        <v>201</v>
      </c>
      <c r="N13" s="8">
        <v>4.0</v>
      </c>
      <c r="O13" s="8" t="s">
        <v>66</v>
      </c>
      <c r="P13" s="8" t="s">
        <v>67</v>
      </c>
      <c r="Q13" s="8" t="s">
        <v>68</v>
      </c>
      <c r="R13" s="7" t="s">
        <v>202</v>
      </c>
      <c r="S13" s="8" t="s">
        <v>111</v>
      </c>
      <c r="T13" s="8" t="s">
        <v>203</v>
      </c>
      <c r="U13" s="28"/>
      <c r="V13" s="28"/>
      <c r="W13" s="28"/>
    </row>
    <row r="14" ht="23.25" customHeight="1">
      <c r="A14" s="7" t="s">
        <v>190</v>
      </c>
      <c r="B14" s="8" t="s">
        <v>162</v>
      </c>
      <c r="C14" s="8" t="s">
        <v>204</v>
      </c>
      <c r="D14" s="7" t="s">
        <v>205</v>
      </c>
      <c r="E14" s="28" t="s">
        <v>194</v>
      </c>
      <c r="F14" s="28"/>
      <c r="G14" s="7" t="str">
        <f t="shared" si="1"/>
        <v>Generar presión hidráulica [ESTÁNDAR POR CONFIRMAR]</v>
      </c>
      <c r="H14" s="7" t="s">
        <v>61</v>
      </c>
      <c r="I14" s="8" t="s">
        <v>197</v>
      </c>
      <c r="J14" s="7"/>
      <c r="K14" s="7" t="s">
        <v>206</v>
      </c>
      <c r="L14" s="7" t="s">
        <v>200</v>
      </c>
      <c r="M14" s="7" t="s">
        <v>201</v>
      </c>
      <c r="N14" s="8">
        <v>4.0</v>
      </c>
      <c r="O14" s="8" t="s">
        <v>66</v>
      </c>
      <c r="P14" s="8" t="s">
        <v>86</v>
      </c>
      <c r="Q14" s="8" t="s">
        <v>68</v>
      </c>
      <c r="R14" s="7" t="s">
        <v>208</v>
      </c>
      <c r="S14" s="8" t="s">
        <v>111</v>
      </c>
      <c r="T14" s="8" t="s">
        <v>71</v>
      </c>
      <c r="U14" s="28"/>
      <c r="V14" s="28"/>
      <c r="W14" s="28"/>
    </row>
    <row r="15" ht="23.25" customHeight="1">
      <c r="A15" s="7" t="s">
        <v>209</v>
      </c>
      <c r="B15" s="8" t="s">
        <v>210</v>
      </c>
      <c r="C15" s="8" t="s">
        <v>192</v>
      </c>
      <c r="D15" s="7" t="s">
        <v>211</v>
      </c>
      <c r="E15" s="28" t="s">
        <v>194</v>
      </c>
      <c r="F15" s="28"/>
      <c r="G15" s="7" t="str">
        <f t="shared" si="1"/>
        <v>Suministrar caudal de emergencia [ESTÁNDAR POR CONFIRMAR]</v>
      </c>
      <c r="H15" s="7" t="s">
        <v>79</v>
      </c>
      <c r="I15" s="8" t="s">
        <v>214</v>
      </c>
      <c r="J15" s="7"/>
      <c r="K15" s="7" t="s">
        <v>215</v>
      </c>
      <c r="L15" s="7" t="s">
        <v>216</v>
      </c>
      <c r="M15" s="7" t="s">
        <v>217</v>
      </c>
      <c r="N15" s="8">
        <v>1.0</v>
      </c>
      <c r="O15" s="8" t="s">
        <v>187</v>
      </c>
      <c r="P15" s="8" t="s">
        <v>86</v>
      </c>
      <c r="Q15" s="8" t="s">
        <v>87</v>
      </c>
      <c r="R15" s="7" t="s">
        <v>218</v>
      </c>
      <c r="S15" s="8" t="s">
        <v>111</v>
      </c>
      <c r="T15" s="8" t="s">
        <v>219</v>
      </c>
      <c r="U15" s="28"/>
      <c r="V15" s="28"/>
      <c r="W15" s="28"/>
    </row>
    <row r="16" ht="15.0" customHeight="1">
      <c r="A16" s="7" t="s">
        <v>221</v>
      </c>
      <c r="B16" s="8" t="s">
        <v>222</v>
      </c>
      <c r="C16" s="8" t="s">
        <v>192</v>
      </c>
      <c r="D16" s="7" t="s">
        <v>223</v>
      </c>
      <c r="E16" s="28" t="s">
        <v>194</v>
      </c>
      <c r="F16" s="28"/>
      <c r="G16" s="7" t="str">
        <f t="shared" si="1"/>
        <v>Suministrar caudal de aire [ESTÁNDAR POR CONFIRMAR]</v>
      </c>
      <c r="H16" s="7" t="s">
        <v>61</v>
      </c>
      <c r="I16" s="8" t="s">
        <v>224</v>
      </c>
      <c r="J16" s="7"/>
      <c r="K16" s="7" t="s">
        <v>225</v>
      </c>
      <c r="L16" s="7" t="s">
        <v>226</v>
      </c>
      <c r="M16" s="7" t="s">
        <v>227</v>
      </c>
      <c r="N16" s="8">
        <v>1.0</v>
      </c>
      <c r="O16" s="8" t="s">
        <v>66</v>
      </c>
      <c r="P16" s="8" t="s">
        <v>67</v>
      </c>
      <c r="Q16" s="8" t="s">
        <v>68</v>
      </c>
      <c r="R16" s="7" t="s">
        <v>228</v>
      </c>
      <c r="S16" s="8" t="s">
        <v>111</v>
      </c>
      <c r="T16" s="8" t="s">
        <v>229</v>
      </c>
      <c r="U16" s="28"/>
      <c r="V16" s="28"/>
      <c r="W16" s="28"/>
    </row>
    <row r="17" ht="23.25" customHeight="1">
      <c r="A17" s="7" t="s">
        <v>221</v>
      </c>
      <c r="B17" s="8" t="s">
        <v>231</v>
      </c>
      <c r="C17" s="8" t="s">
        <v>232</v>
      </c>
      <c r="D17" s="7" t="s">
        <v>233</v>
      </c>
      <c r="E17" s="28" t="s">
        <v>194</v>
      </c>
      <c r="F17" s="28"/>
      <c r="G17" s="7" t="str">
        <f t="shared" si="1"/>
        <v>Comprimir el refrigerante [ESTÁNDAR POR CONFIRMAR]</v>
      </c>
      <c r="H17" s="7" t="s">
        <v>61</v>
      </c>
      <c r="I17" s="8" t="s">
        <v>224</v>
      </c>
      <c r="J17" s="7"/>
      <c r="K17" s="7" t="s">
        <v>235</v>
      </c>
      <c r="L17" s="7" t="s">
        <v>226</v>
      </c>
      <c r="M17" s="7" t="s">
        <v>227</v>
      </c>
      <c r="N17" s="8">
        <v>1.0</v>
      </c>
      <c r="O17" s="8" t="s">
        <v>66</v>
      </c>
      <c r="P17" s="8" t="s">
        <v>67</v>
      </c>
      <c r="Q17" s="8" t="s">
        <v>68</v>
      </c>
      <c r="R17" s="7" t="s">
        <v>236</v>
      </c>
      <c r="S17" s="8" t="s">
        <v>111</v>
      </c>
      <c r="T17" s="8" t="s">
        <v>71</v>
      </c>
      <c r="U17" s="28"/>
      <c r="V17" s="28"/>
      <c r="W17" s="28"/>
    </row>
    <row r="18" ht="23.25" customHeight="1">
      <c r="A18" s="7" t="s">
        <v>237</v>
      </c>
      <c r="B18" s="8" t="s">
        <v>238</v>
      </c>
      <c r="C18" s="8" t="s">
        <v>152</v>
      </c>
      <c r="D18" s="7" t="s">
        <v>239</v>
      </c>
      <c r="E18" s="7" t="s">
        <v>240</v>
      </c>
      <c r="F18" s="7" t="s">
        <v>180</v>
      </c>
      <c r="G18" s="7" t="str">
        <f t="shared" si="1"/>
        <v>Mantener la temperatura del aceite hidráulico por debajo de 80 °C</v>
      </c>
      <c r="H18" s="7" t="s">
        <v>61</v>
      </c>
      <c r="I18" s="8" t="s">
        <v>241</v>
      </c>
      <c r="J18" s="7"/>
      <c r="K18" s="7" t="s">
        <v>243</v>
      </c>
      <c r="L18" s="7" t="s">
        <v>244</v>
      </c>
      <c r="M18" s="7" t="s">
        <v>245</v>
      </c>
      <c r="N18" s="8">
        <v>1.0</v>
      </c>
      <c r="O18" s="8" t="s">
        <v>187</v>
      </c>
      <c r="P18" s="8" t="s">
        <v>67</v>
      </c>
      <c r="Q18" s="8" t="s">
        <v>68</v>
      </c>
      <c r="R18" s="7" t="s">
        <v>248</v>
      </c>
      <c r="S18" s="8" t="s">
        <v>111</v>
      </c>
      <c r="T18" s="8" t="s">
        <v>249</v>
      </c>
      <c r="U18" s="7"/>
      <c r="V18" s="7"/>
      <c r="W18" s="7"/>
    </row>
    <row r="19" ht="23.25" customHeight="1">
      <c r="A19" s="7" t="s">
        <v>250</v>
      </c>
      <c r="B19" s="8" t="s">
        <v>251</v>
      </c>
      <c r="C19" s="8" t="s">
        <v>252</v>
      </c>
      <c r="D19" s="7" t="s">
        <v>253</v>
      </c>
      <c r="E19" s="7" t="s">
        <v>254</v>
      </c>
      <c r="F19" s="7" t="s">
        <v>255</v>
      </c>
      <c r="G19" s="7" t="str">
        <f t="shared" si="1"/>
        <v>Soportar la carga vertical de 18 t por bogie</v>
      </c>
      <c r="H19" s="7" t="s">
        <v>79</v>
      </c>
      <c r="I19" s="8" t="s">
        <v>256</v>
      </c>
      <c r="J19" s="7"/>
      <c r="K19" s="7" t="s">
        <v>257</v>
      </c>
      <c r="L19" s="7" t="s">
        <v>258</v>
      </c>
      <c r="M19" s="7" t="s">
        <v>259</v>
      </c>
      <c r="N19" s="8">
        <v>2.0</v>
      </c>
      <c r="O19" s="8" t="s">
        <v>260</v>
      </c>
      <c r="P19" s="8" t="s">
        <v>67</v>
      </c>
      <c r="Q19" s="8" t="s">
        <v>87</v>
      </c>
      <c r="R19" s="7" t="s">
        <v>261</v>
      </c>
      <c r="S19" s="8" t="s">
        <v>111</v>
      </c>
      <c r="T19" s="8" t="s">
        <v>263</v>
      </c>
      <c r="U19" s="7"/>
      <c r="V19" s="7"/>
      <c r="W19" s="7"/>
    </row>
    <row r="20" ht="23.25" customHeight="1">
      <c r="A20" s="7" t="s">
        <v>250</v>
      </c>
      <c r="B20" s="8" t="s">
        <v>264</v>
      </c>
      <c r="C20" s="8" t="s">
        <v>265</v>
      </c>
      <c r="D20" s="7" t="s">
        <v>266</v>
      </c>
      <c r="E20" s="7" t="s">
        <v>267</v>
      </c>
      <c r="F20" s="7" t="s">
        <v>268</v>
      </c>
      <c r="G20" s="7" t="str">
        <f t="shared" si="1"/>
        <v>Impedir el remonte de pestaña con cota qR ≥ 6,5 mm</v>
      </c>
      <c r="H20" s="7" t="s">
        <v>79</v>
      </c>
      <c r="I20" s="8" t="s">
        <v>256</v>
      </c>
      <c r="J20" s="7" t="s">
        <v>269</v>
      </c>
      <c r="K20" s="7" t="s">
        <v>270</v>
      </c>
      <c r="L20" s="7" t="s">
        <v>258</v>
      </c>
      <c r="M20" s="7" t="s">
        <v>259</v>
      </c>
      <c r="N20" s="8">
        <v>2.0</v>
      </c>
      <c r="O20" s="8" t="s">
        <v>85</v>
      </c>
      <c r="P20" s="8" t="s">
        <v>86</v>
      </c>
      <c r="Q20" s="8" t="s">
        <v>87</v>
      </c>
      <c r="R20" s="7" t="s">
        <v>271</v>
      </c>
      <c r="S20" s="8" t="s">
        <v>89</v>
      </c>
      <c r="T20" s="8" t="s">
        <v>272</v>
      </c>
      <c r="U20" s="7"/>
      <c r="V20" s="7"/>
      <c r="W20" s="7"/>
    </row>
    <row r="21" ht="15.0" customHeight="1">
      <c r="A21" s="7" t="s">
        <v>273</v>
      </c>
      <c r="B21" s="8" t="s">
        <v>274</v>
      </c>
      <c r="C21" s="8" t="s">
        <v>265</v>
      </c>
      <c r="D21" s="7" t="s">
        <v>276</v>
      </c>
      <c r="E21" s="7" t="s">
        <v>76</v>
      </c>
      <c r="F21" s="7" t="s">
        <v>277</v>
      </c>
      <c r="G21" s="7" t="str">
        <f t="shared" si="1"/>
        <v>Impedir la entrada de agua con 0 filtraciones</v>
      </c>
      <c r="H21" s="7" t="s">
        <v>61</v>
      </c>
      <c r="I21" s="8" t="s">
        <v>278</v>
      </c>
      <c r="J21" s="7" t="s">
        <v>279</v>
      </c>
      <c r="K21" s="7" t="s">
        <v>280</v>
      </c>
      <c r="L21" s="7" t="s">
        <v>281</v>
      </c>
      <c r="M21" s="7" t="s">
        <v>282</v>
      </c>
      <c r="N21" s="8">
        <v>3.0</v>
      </c>
      <c r="O21" s="8" t="s">
        <v>187</v>
      </c>
      <c r="P21" s="8" t="s">
        <v>67</v>
      </c>
      <c r="Q21" s="8" t="s">
        <v>68</v>
      </c>
      <c r="R21" s="7" t="s">
        <v>285</v>
      </c>
      <c r="S21" s="8" t="s">
        <v>111</v>
      </c>
      <c r="T21" s="8" t="s">
        <v>286</v>
      </c>
      <c r="U21" s="7"/>
      <c r="V21" s="7"/>
      <c r="W21" s="7"/>
    </row>
    <row r="22" ht="15.0" customHeight="1">
      <c r="A22" s="7" t="s">
        <v>287</v>
      </c>
      <c r="B22" s="8" t="s">
        <v>288</v>
      </c>
      <c r="C22" s="8" t="s">
        <v>192</v>
      </c>
      <c r="D22" s="7" t="s">
        <v>289</v>
      </c>
      <c r="E22" s="7" t="s">
        <v>290</v>
      </c>
      <c r="F22" s="7" t="s">
        <v>291</v>
      </c>
      <c r="G22" s="7" t="str">
        <f t="shared" si="1"/>
        <v>Suministrar la corriente de arranque con tensión mínima de 19,2 V</v>
      </c>
      <c r="H22" s="7" t="s">
        <v>61</v>
      </c>
      <c r="I22" s="8" t="s">
        <v>293</v>
      </c>
      <c r="J22" s="7"/>
      <c r="K22" s="7" t="s">
        <v>294</v>
      </c>
      <c r="L22" s="7" t="s">
        <v>295</v>
      </c>
      <c r="M22" s="7" t="s">
        <v>296</v>
      </c>
      <c r="N22" s="8">
        <v>1.0</v>
      </c>
      <c r="O22" s="8" t="s">
        <v>66</v>
      </c>
      <c r="P22" s="8" t="s">
        <v>67</v>
      </c>
      <c r="Q22" s="8" t="s">
        <v>68</v>
      </c>
      <c r="R22" s="7" t="s">
        <v>297</v>
      </c>
      <c r="S22" s="8" t="s">
        <v>111</v>
      </c>
      <c r="T22" s="8" t="s">
        <v>298</v>
      </c>
      <c r="U22" s="7"/>
      <c r="V22" s="7"/>
      <c r="W22" s="7"/>
    </row>
    <row r="23" ht="15.0" customHeight="1">
      <c r="A23" s="7" t="s">
        <v>287</v>
      </c>
      <c r="B23" s="8" t="s">
        <v>299</v>
      </c>
      <c r="C23" s="8" t="s">
        <v>300</v>
      </c>
      <c r="D23" s="7" t="s">
        <v>301</v>
      </c>
      <c r="E23" s="7" t="s">
        <v>290</v>
      </c>
      <c r="F23" s="7" t="s">
        <v>291</v>
      </c>
      <c r="G23" s="7" t="str">
        <f t="shared" si="1"/>
        <v>Almacenar energía eléctrica con tensión mínima de 19,2 V</v>
      </c>
      <c r="H23" s="7" t="s">
        <v>61</v>
      </c>
      <c r="I23" s="8" t="s">
        <v>293</v>
      </c>
      <c r="J23" s="7"/>
      <c r="K23" s="7" t="s">
        <v>302</v>
      </c>
      <c r="L23" s="7" t="s">
        <v>295</v>
      </c>
      <c r="M23" s="7" t="s">
        <v>296</v>
      </c>
      <c r="N23" s="8">
        <v>1.0</v>
      </c>
      <c r="O23" s="8" t="s">
        <v>66</v>
      </c>
      <c r="P23" s="8" t="s">
        <v>67</v>
      </c>
      <c r="Q23" s="8" t="s">
        <v>68</v>
      </c>
      <c r="R23" s="7" t="s">
        <v>297</v>
      </c>
      <c r="S23" s="8" t="s">
        <v>111</v>
      </c>
      <c r="T23" s="8" t="s">
        <v>303</v>
      </c>
      <c r="U23" s="7"/>
      <c r="V23" s="7"/>
      <c r="W23" s="7" t="s">
        <v>305</v>
      </c>
    </row>
    <row r="24" ht="15.0" customHeight="1">
      <c r="A24" s="7" t="s">
        <v>306</v>
      </c>
      <c r="B24" s="8" t="s">
        <v>307</v>
      </c>
      <c r="C24" s="8" t="s">
        <v>309</v>
      </c>
      <c r="D24" s="7" t="s">
        <v>310</v>
      </c>
      <c r="E24" s="7" t="s">
        <v>311</v>
      </c>
      <c r="F24" s="7" t="s">
        <v>155</v>
      </c>
      <c r="G24" s="7" t="str">
        <f t="shared" si="1"/>
        <v>Presurizar los cilindros de freno entre 3,7 y 3,9 bar</v>
      </c>
      <c r="H24" s="7" t="s">
        <v>79</v>
      </c>
      <c r="I24" s="8" t="s">
        <v>314</v>
      </c>
      <c r="J24" s="7" t="s">
        <v>315</v>
      </c>
      <c r="K24" s="7" t="s">
        <v>316</v>
      </c>
      <c r="L24" s="7" t="s">
        <v>317</v>
      </c>
      <c r="M24" s="7" t="s">
        <v>318</v>
      </c>
      <c r="N24" s="8">
        <v>1.0</v>
      </c>
      <c r="O24" s="8" t="s">
        <v>85</v>
      </c>
      <c r="P24" s="8" t="s">
        <v>86</v>
      </c>
      <c r="Q24" s="8" t="s">
        <v>68</v>
      </c>
      <c r="R24" s="7" t="s">
        <v>208</v>
      </c>
      <c r="S24" s="8" t="s">
        <v>89</v>
      </c>
      <c r="T24" s="8" t="s">
        <v>71</v>
      </c>
      <c r="U24" s="7"/>
      <c r="V24" s="7"/>
      <c r="W24" s="7"/>
    </row>
    <row r="25" ht="23.25" customHeight="1">
      <c r="A25" s="7" t="s">
        <v>319</v>
      </c>
      <c r="B25" s="8" t="s">
        <v>320</v>
      </c>
      <c r="C25" s="8" t="s">
        <v>321</v>
      </c>
      <c r="D25" s="7" t="s">
        <v>322</v>
      </c>
      <c r="E25" s="7" t="s">
        <v>323</v>
      </c>
      <c r="F25" s="7" t="s">
        <v>155</v>
      </c>
      <c r="G25" s="7" t="str">
        <f t="shared" si="1"/>
        <v>Lubricar los puntos de engrase a un máximo de 15 bar</v>
      </c>
      <c r="H25" s="7" t="s">
        <v>324</v>
      </c>
      <c r="I25" s="8" t="s">
        <v>325</v>
      </c>
      <c r="J25" s="7" t="s">
        <v>327</v>
      </c>
      <c r="K25" s="7" t="s">
        <v>328</v>
      </c>
      <c r="L25" s="7" t="s">
        <v>329</v>
      </c>
      <c r="M25" s="7" t="s">
        <v>330</v>
      </c>
      <c r="N25" s="8">
        <v>1.0</v>
      </c>
      <c r="O25" s="8" t="s">
        <v>187</v>
      </c>
      <c r="P25" s="8" t="s">
        <v>67</v>
      </c>
      <c r="Q25" s="8" t="s">
        <v>87</v>
      </c>
      <c r="R25" s="7" t="s">
        <v>331</v>
      </c>
      <c r="S25" s="8" t="s">
        <v>111</v>
      </c>
      <c r="T25" s="8" t="s">
        <v>332</v>
      </c>
      <c r="U25" s="7"/>
      <c r="V25" s="7"/>
      <c r="W25" s="7"/>
    </row>
    <row r="26" ht="33.0" customHeight="1">
      <c r="A26" s="7" t="s">
        <v>333</v>
      </c>
      <c r="B26" s="8" t="s">
        <v>334</v>
      </c>
      <c r="C26" s="8" t="s">
        <v>335</v>
      </c>
      <c r="D26" s="7" t="s">
        <v>336</v>
      </c>
      <c r="E26" s="7" t="s">
        <v>337</v>
      </c>
      <c r="F26" s="7" t="s">
        <v>338</v>
      </c>
      <c r="G26" s="7" t="str">
        <f t="shared" si="1"/>
        <v>Transmitir el par motriz hasta 2.300 N.m</v>
      </c>
      <c r="H26" s="7" t="s">
        <v>61</v>
      </c>
      <c r="I26" s="8" t="s">
        <v>340</v>
      </c>
      <c r="J26" s="7"/>
      <c r="K26" s="7" t="s">
        <v>341</v>
      </c>
      <c r="L26" s="7" t="s">
        <v>342</v>
      </c>
      <c r="M26" s="7" t="s">
        <v>343</v>
      </c>
      <c r="N26" s="8">
        <v>1.0</v>
      </c>
      <c r="O26" s="8" t="s">
        <v>66</v>
      </c>
      <c r="P26" s="8" t="s">
        <v>67</v>
      </c>
      <c r="Q26" s="8" t="s">
        <v>68</v>
      </c>
      <c r="R26" s="7" t="s">
        <v>346</v>
      </c>
      <c r="S26" s="8" t="s">
        <v>111</v>
      </c>
      <c r="T26" s="8" t="s">
        <v>347</v>
      </c>
      <c r="U26" s="7"/>
      <c r="V26" s="7"/>
      <c r="W26" s="7"/>
    </row>
    <row r="27" ht="27.0" customHeight="1">
      <c r="A27" s="7" t="s">
        <v>348</v>
      </c>
      <c r="B27" s="8" t="s">
        <v>229</v>
      </c>
      <c r="C27" s="8" t="s">
        <v>143</v>
      </c>
      <c r="D27" s="7" t="s">
        <v>349</v>
      </c>
      <c r="E27" s="7" t="s">
        <v>350</v>
      </c>
      <c r="F27" s="7" t="s">
        <v>351</v>
      </c>
      <c r="G27" s="7" t="str">
        <f t="shared" si="1"/>
        <v>Entregar potencia mecánica en un rango de 490 a 510 kW</v>
      </c>
      <c r="H27" s="7" t="s">
        <v>61</v>
      </c>
      <c r="I27" s="8" t="s">
        <v>352</v>
      </c>
      <c r="J27" s="7" t="s">
        <v>353</v>
      </c>
      <c r="K27" s="7" t="s">
        <v>354</v>
      </c>
      <c r="L27" s="7" t="s">
        <v>355</v>
      </c>
      <c r="M27" s="7" t="s">
        <v>356</v>
      </c>
      <c r="N27" s="8">
        <v>1.0</v>
      </c>
      <c r="O27" s="8" t="s">
        <v>66</v>
      </c>
      <c r="P27" s="8" t="s">
        <v>67</v>
      </c>
      <c r="Q27" s="8" t="s">
        <v>68</v>
      </c>
      <c r="R27" s="7" t="s">
        <v>357</v>
      </c>
      <c r="S27" s="8" t="s">
        <v>111</v>
      </c>
      <c r="T27" s="8" t="s">
        <v>358</v>
      </c>
      <c r="U27" s="7"/>
      <c r="V27" s="7"/>
      <c r="W27" s="7"/>
    </row>
    <row r="28" ht="23.25" customHeight="1">
      <c r="A28" s="7" t="s">
        <v>359</v>
      </c>
      <c r="B28" s="8" t="s">
        <v>361</v>
      </c>
      <c r="C28" s="8" t="s">
        <v>335</v>
      </c>
      <c r="D28" s="7" t="s">
        <v>362</v>
      </c>
      <c r="E28" s="7" t="s">
        <v>363</v>
      </c>
      <c r="F28" s="7" t="s">
        <v>338</v>
      </c>
      <c r="G28" s="7" t="str">
        <f t="shared" si="1"/>
        <v>Transmitir torque al eje hasta 2.500 N.m</v>
      </c>
      <c r="H28" s="7" t="s">
        <v>61</v>
      </c>
      <c r="I28" s="8" t="s">
        <v>364</v>
      </c>
      <c r="J28" s="7"/>
      <c r="K28" s="7" t="s">
        <v>365</v>
      </c>
      <c r="L28" s="7" t="s">
        <v>366</v>
      </c>
      <c r="M28" s="7" t="s">
        <v>367</v>
      </c>
      <c r="N28" s="8">
        <v>1.0</v>
      </c>
      <c r="O28" s="8" t="s">
        <v>66</v>
      </c>
      <c r="P28" s="8" t="s">
        <v>67</v>
      </c>
      <c r="Q28" s="8" t="s">
        <v>68</v>
      </c>
      <c r="R28" s="7" t="s">
        <v>369</v>
      </c>
      <c r="S28" s="8" t="s">
        <v>111</v>
      </c>
      <c r="T28" s="8" t="s">
        <v>371</v>
      </c>
      <c r="U28" s="7"/>
      <c r="V28" s="7"/>
      <c r="W28" s="7"/>
    </row>
    <row r="29" ht="23.25" customHeight="1">
      <c r="A29" s="7" t="s">
        <v>372</v>
      </c>
      <c r="B29" s="8" t="s">
        <v>373</v>
      </c>
      <c r="C29" s="8" t="s">
        <v>232</v>
      </c>
      <c r="D29" s="7" t="s">
        <v>165</v>
      </c>
      <c r="E29" s="7" t="s">
        <v>374</v>
      </c>
      <c r="F29" s="7" t="s">
        <v>155</v>
      </c>
      <c r="G29" s="7" t="str">
        <f t="shared" si="1"/>
        <v>Comprimir el aire a una presión de _____ bar</v>
      </c>
      <c r="H29" s="7" t="s">
        <v>61</v>
      </c>
      <c r="I29" s="8" t="s">
        <v>375</v>
      </c>
      <c r="J29" s="7"/>
      <c r="K29" s="7" t="s">
        <v>376</v>
      </c>
      <c r="L29" s="7" t="s">
        <v>377</v>
      </c>
      <c r="M29" s="7" t="s">
        <v>378</v>
      </c>
      <c r="N29" s="8">
        <v>2.0</v>
      </c>
      <c r="O29" s="8" t="s">
        <v>66</v>
      </c>
      <c r="P29" s="8" t="s">
        <v>67</v>
      </c>
      <c r="Q29" s="8" t="s">
        <v>68</v>
      </c>
      <c r="R29" s="7" t="s">
        <v>379</v>
      </c>
      <c r="S29" s="8" t="s">
        <v>111</v>
      </c>
      <c r="T29" s="8" t="s">
        <v>303</v>
      </c>
      <c r="U29" s="7"/>
      <c r="V29" s="7"/>
      <c r="W29" s="7" t="s">
        <v>305</v>
      </c>
    </row>
    <row r="30" ht="23.25" customHeight="1">
      <c r="A30" s="7" t="s">
        <v>372</v>
      </c>
      <c r="B30" s="8" t="s">
        <v>380</v>
      </c>
      <c r="C30" s="8" t="s">
        <v>192</v>
      </c>
      <c r="D30" s="7" t="s">
        <v>381</v>
      </c>
      <c r="E30" s="7" t="s">
        <v>382</v>
      </c>
      <c r="F30" s="7" t="s">
        <v>384</v>
      </c>
      <c r="G30" s="7" t="str">
        <f t="shared" si="1"/>
        <v>Suministrar aire con caudal de 980 a 1.020 L/min</v>
      </c>
      <c r="H30" s="7" t="s">
        <v>61</v>
      </c>
      <c r="I30" s="8" t="s">
        <v>375</v>
      </c>
      <c r="J30" s="7"/>
      <c r="K30" s="7" t="s">
        <v>385</v>
      </c>
      <c r="L30" s="7" t="s">
        <v>377</v>
      </c>
      <c r="M30" s="7" t="s">
        <v>378</v>
      </c>
      <c r="N30" s="8">
        <v>2.0</v>
      </c>
      <c r="O30" s="8" t="s">
        <v>66</v>
      </c>
      <c r="P30" s="8" t="s">
        <v>86</v>
      </c>
      <c r="Q30" s="8" t="s">
        <v>68</v>
      </c>
      <c r="R30" s="7" t="s">
        <v>228</v>
      </c>
      <c r="S30" s="8" t="s">
        <v>111</v>
      </c>
      <c r="T30" s="8" t="s">
        <v>386</v>
      </c>
      <c r="U30" s="7"/>
      <c r="V30" s="7"/>
      <c r="W30" s="7"/>
    </row>
    <row r="31" ht="27.75" customHeight="1">
      <c r="A31" s="7" t="s">
        <v>388</v>
      </c>
      <c r="B31" s="8" t="s">
        <v>389</v>
      </c>
      <c r="C31" s="8" t="s">
        <v>177</v>
      </c>
      <c r="D31" s="7" t="s">
        <v>178</v>
      </c>
      <c r="E31" s="7" t="s">
        <v>179</v>
      </c>
      <c r="F31" s="7" t="s">
        <v>180</v>
      </c>
      <c r="G31" s="7" t="str">
        <f t="shared" si="1"/>
        <v>Secar el aire comprimido con punto de rocío máximo de +3 °C</v>
      </c>
      <c r="H31" s="7" t="s">
        <v>61</v>
      </c>
      <c r="I31" s="8" t="s">
        <v>390</v>
      </c>
      <c r="J31" s="7" t="s">
        <v>182</v>
      </c>
      <c r="K31" s="7" t="s">
        <v>183</v>
      </c>
      <c r="L31" s="7" t="s">
        <v>391</v>
      </c>
      <c r="M31" s="7" t="s">
        <v>392</v>
      </c>
      <c r="N31" s="8">
        <v>1.0</v>
      </c>
      <c r="O31" s="8" t="s">
        <v>187</v>
      </c>
      <c r="P31" s="8" t="s">
        <v>67</v>
      </c>
      <c r="Q31" s="8" t="s">
        <v>87</v>
      </c>
      <c r="R31" s="7" t="s">
        <v>188</v>
      </c>
      <c r="S31" s="8" t="s">
        <v>89</v>
      </c>
      <c r="T31" s="8" t="s">
        <v>393</v>
      </c>
      <c r="U31" s="7"/>
      <c r="V31" s="7"/>
      <c r="W31" s="7"/>
    </row>
    <row r="32" ht="15.0" customHeight="1">
      <c r="A32" s="7" t="s">
        <v>395</v>
      </c>
      <c r="B32" s="8" t="s">
        <v>396</v>
      </c>
      <c r="C32" s="8" t="s">
        <v>192</v>
      </c>
      <c r="D32" s="7" t="s">
        <v>397</v>
      </c>
      <c r="E32" s="7" t="s">
        <v>399</v>
      </c>
      <c r="F32" s="7" t="s">
        <v>384</v>
      </c>
      <c r="G32" s="7" t="str">
        <f t="shared" si="1"/>
        <v>Suministrar aceite con caudal de 38 a 42 L/min</v>
      </c>
      <c r="H32" s="7" t="s">
        <v>61</v>
      </c>
      <c r="I32" s="8" t="s">
        <v>402</v>
      </c>
      <c r="J32" s="7"/>
      <c r="K32" s="7" t="s">
        <v>403</v>
      </c>
      <c r="L32" s="7" t="s">
        <v>404</v>
      </c>
      <c r="M32" s="7" t="s">
        <v>405</v>
      </c>
      <c r="N32" s="8">
        <v>2.0</v>
      </c>
      <c r="O32" s="8" t="s">
        <v>66</v>
      </c>
      <c r="P32" s="8" t="s">
        <v>67</v>
      </c>
      <c r="Q32" s="8" t="s">
        <v>68</v>
      </c>
      <c r="R32" s="7" t="s">
        <v>202</v>
      </c>
      <c r="S32" s="8" t="s">
        <v>111</v>
      </c>
      <c r="T32" s="8" t="s">
        <v>406</v>
      </c>
      <c r="U32" s="7"/>
      <c r="V32" s="7"/>
      <c r="W32" s="7"/>
    </row>
    <row r="33" ht="15.0" customHeight="1">
      <c r="A33" s="7" t="s">
        <v>407</v>
      </c>
      <c r="B33" s="8" t="s">
        <v>408</v>
      </c>
      <c r="C33" s="8" t="s">
        <v>409</v>
      </c>
      <c r="D33" s="7" t="s">
        <v>410</v>
      </c>
      <c r="E33" s="7" t="s">
        <v>411</v>
      </c>
      <c r="F33" s="7" t="s">
        <v>268</v>
      </c>
      <c r="G33" s="7" t="str">
        <f t="shared" si="1"/>
        <v>Limitar la excentricidad a un máximo de 0,1 mm</v>
      </c>
      <c r="H33" s="7" t="s">
        <v>61</v>
      </c>
      <c r="I33" s="8" t="s">
        <v>413</v>
      </c>
      <c r="J33" s="7" t="s">
        <v>414</v>
      </c>
      <c r="K33" s="7" t="s">
        <v>415</v>
      </c>
      <c r="L33" s="7" t="s">
        <v>416</v>
      </c>
      <c r="M33" s="7" t="s">
        <v>417</v>
      </c>
      <c r="N33" s="8">
        <v>2.0</v>
      </c>
      <c r="O33" s="8" t="s">
        <v>66</v>
      </c>
      <c r="P33" s="8" t="s">
        <v>86</v>
      </c>
      <c r="Q33" s="8" t="s">
        <v>68</v>
      </c>
      <c r="R33" s="7" t="s">
        <v>418</v>
      </c>
      <c r="S33" s="8" t="s">
        <v>419</v>
      </c>
      <c r="T33" s="8" t="s">
        <v>71</v>
      </c>
      <c r="U33" s="7"/>
      <c r="V33" s="7"/>
      <c r="W33" s="7"/>
    </row>
    <row r="34" ht="15.0" customHeight="1">
      <c r="A34" s="7" t="s">
        <v>407</v>
      </c>
      <c r="B34" s="8" t="s">
        <v>420</v>
      </c>
      <c r="C34" s="8" t="s">
        <v>421</v>
      </c>
      <c r="D34" s="7" t="s">
        <v>422</v>
      </c>
      <c r="E34" s="7" t="s">
        <v>423</v>
      </c>
      <c r="F34" s="7" t="s">
        <v>268</v>
      </c>
      <c r="G34" s="7" t="str">
        <f t="shared" si="1"/>
        <v>Igualar el diámetro en bogie con diferencia máxima de 0,3 mm</v>
      </c>
      <c r="H34" s="7" t="s">
        <v>61</v>
      </c>
      <c r="I34" s="8" t="s">
        <v>413</v>
      </c>
      <c r="J34" s="7" t="s">
        <v>414</v>
      </c>
      <c r="K34" s="7" t="s">
        <v>415</v>
      </c>
      <c r="L34" s="7" t="s">
        <v>416</v>
      </c>
      <c r="M34" s="7" t="s">
        <v>417</v>
      </c>
      <c r="N34" s="8">
        <v>2.0</v>
      </c>
      <c r="O34" s="8" t="s">
        <v>66</v>
      </c>
      <c r="P34" s="8" t="s">
        <v>86</v>
      </c>
      <c r="Q34" s="8" t="s">
        <v>68</v>
      </c>
      <c r="R34" s="7" t="s">
        <v>418</v>
      </c>
      <c r="S34" s="8" t="s">
        <v>419</v>
      </c>
      <c r="T34" s="8" t="s">
        <v>71</v>
      </c>
      <c r="U34" s="7"/>
      <c r="V34" s="7"/>
      <c r="W34" s="7"/>
    </row>
    <row r="35" ht="15.0" customHeight="1">
      <c r="A35" s="7" t="s">
        <v>426</v>
      </c>
      <c r="B35" s="8" t="s">
        <v>427</v>
      </c>
      <c r="C35" s="8" t="s">
        <v>192</v>
      </c>
      <c r="D35" s="7" t="s">
        <v>301</v>
      </c>
      <c r="E35" s="7" t="s">
        <v>428</v>
      </c>
      <c r="F35" s="7" t="s">
        <v>429</v>
      </c>
      <c r="G35" s="7" t="str">
        <f t="shared" si="1"/>
        <v>Suministrar energía eléctrica de 80 kVA</v>
      </c>
      <c r="H35" s="7" t="s">
        <v>61</v>
      </c>
      <c r="I35" s="8" t="s">
        <v>430</v>
      </c>
      <c r="J35" s="7" t="s">
        <v>414</v>
      </c>
      <c r="K35" s="7"/>
      <c r="L35" s="7" t="s">
        <v>431</v>
      </c>
      <c r="M35" s="7" t="s">
        <v>432</v>
      </c>
      <c r="N35" s="8">
        <v>1.0</v>
      </c>
      <c r="O35" s="8" t="s">
        <v>66</v>
      </c>
      <c r="P35" s="8" t="s">
        <v>67</v>
      </c>
      <c r="Q35" s="8" t="s">
        <v>68</v>
      </c>
      <c r="R35" s="7" t="s">
        <v>433</v>
      </c>
      <c r="S35" s="8" t="s">
        <v>111</v>
      </c>
      <c r="T35" s="8" t="s">
        <v>435</v>
      </c>
      <c r="U35" s="7"/>
      <c r="V35" s="7"/>
      <c r="W35" s="7"/>
    </row>
    <row r="36" ht="23.25" customHeight="1">
      <c r="A36" s="7" t="s">
        <v>436</v>
      </c>
      <c r="B36" s="8" t="s">
        <v>347</v>
      </c>
      <c r="C36" s="8" t="s">
        <v>192</v>
      </c>
      <c r="D36" s="7" t="s">
        <v>437</v>
      </c>
      <c r="E36" s="7" t="s">
        <v>438</v>
      </c>
      <c r="F36" s="7" t="s">
        <v>384</v>
      </c>
      <c r="G36" s="7" t="str">
        <f t="shared" si="1"/>
        <v>Suministrar aceite con un caudal de 13 a 16 L/min</v>
      </c>
      <c r="H36" s="7" t="s">
        <v>79</v>
      </c>
      <c r="I36" s="8" t="s">
        <v>441</v>
      </c>
      <c r="J36" s="7"/>
      <c r="K36" s="7" t="s">
        <v>442</v>
      </c>
      <c r="L36" s="7" t="s">
        <v>443</v>
      </c>
      <c r="M36" s="7" t="s">
        <v>444</v>
      </c>
      <c r="N36" s="8">
        <v>1.0</v>
      </c>
      <c r="O36" s="8" t="s">
        <v>187</v>
      </c>
      <c r="P36" s="8" t="s">
        <v>86</v>
      </c>
      <c r="Q36" s="8" t="s">
        <v>87</v>
      </c>
      <c r="R36" s="7" t="s">
        <v>445</v>
      </c>
      <c r="S36" s="8" t="s">
        <v>111</v>
      </c>
      <c r="T36" s="8" t="s">
        <v>446</v>
      </c>
      <c r="U36" s="7"/>
      <c r="V36" s="7"/>
      <c r="W36" s="7"/>
    </row>
    <row r="37" ht="15.0" customHeight="1">
      <c r="A37" s="7" t="s">
        <v>447</v>
      </c>
      <c r="B37" s="8" t="s">
        <v>371</v>
      </c>
      <c r="C37" s="8" t="s">
        <v>204</v>
      </c>
      <c r="D37" s="7" t="s">
        <v>448</v>
      </c>
      <c r="E37" s="7" t="s">
        <v>450</v>
      </c>
      <c r="F37" s="7" t="s">
        <v>338</v>
      </c>
      <c r="G37" s="7" t="str">
        <f t="shared" si="1"/>
        <v>Generar torque hasta 3.500 N.m</v>
      </c>
      <c r="H37" s="7" t="s">
        <v>61</v>
      </c>
      <c r="I37" s="8" t="s">
        <v>451</v>
      </c>
      <c r="J37" s="7"/>
      <c r="K37" s="7" t="s">
        <v>452</v>
      </c>
      <c r="L37" s="7" t="s">
        <v>453</v>
      </c>
      <c r="M37" s="7" t="s">
        <v>454</v>
      </c>
      <c r="N37" s="8">
        <v>1.0</v>
      </c>
      <c r="O37" s="8" t="s">
        <v>66</v>
      </c>
      <c r="P37" s="8" t="s">
        <v>67</v>
      </c>
      <c r="Q37" s="8" t="s">
        <v>68</v>
      </c>
      <c r="R37" s="7" t="s">
        <v>346</v>
      </c>
      <c r="S37" s="8" t="s">
        <v>111</v>
      </c>
      <c r="T37" s="8" t="s">
        <v>455</v>
      </c>
      <c r="U37" s="7"/>
      <c r="V37" s="7"/>
      <c r="W37" s="7"/>
    </row>
    <row r="38" ht="15.0" customHeight="1">
      <c r="A38" s="7" t="s">
        <v>456</v>
      </c>
      <c r="B38" s="8" t="s">
        <v>446</v>
      </c>
      <c r="C38" s="8" t="s">
        <v>252</v>
      </c>
      <c r="D38" s="7" t="s">
        <v>457</v>
      </c>
      <c r="E38" s="7" t="s">
        <v>459</v>
      </c>
      <c r="F38" s="7" t="s">
        <v>460</v>
      </c>
      <c r="G38" s="7" t="str">
        <f t="shared" si="1"/>
        <v>Soportar carga vertical hasta 20 toneladas</v>
      </c>
      <c r="H38" s="7" t="s">
        <v>79</v>
      </c>
      <c r="I38" s="8" t="s">
        <v>462</v>
      </c>
      <c r="J38" s="7"/>
      <c r="K38" s="7" t="s">
        <v>257</v>
      </c>
      <c r="L38" s="7" t="s">
        <v>258</v>
      </c>
      <c r="M38" s="7" t="s">
        <v>464</v>
      </c>
      <c r="N38" s="8">
        <v>1.0</v>
      </c>
      <c r="O38" s="8" t="s">
        <v>260</v>
      </c>
      <c r="P38" s="8" t="s">
        <v>67</v>
      </c>
      <c r="Q38" s="8" t="s">
        <v>87</v>
      </c>
      <c r="R38" s="7" t="s">
        <v>261</v>
      </c>
      <c r="S38" s="8" t="s">
        <v>111</v>
      </c>
      <c r="T38" s="8" t="s">
        <v>465</v>
      </c>
      <c r="U38" s="7"/>
      <c r="V38" s="7"/>
      <c r="W38" s="7"/>
    </row>
    <row r="39" ht="15.0" customHeight="1">
      <c r="A39" s="7" t="s">
        <v>466</v>
      </c>
      <c r="B39" s="8" t="s">
        <v>467</v>
      </c>
      <c r="C39" s="8" t="s">
        <v>335</v>
      </c>
      <c r="D39" s="7" t="s">
        <v>468</v>
      </c>
      <c r="E39" s="7" t="s">
        <v>469</v>
      </c>
      <c r="F39" s="7" t="s">
        <v>146</v>
      </c>
      <c r="G39" s="7" t="str">
        <f t="shared" si="1"/>
        <v>Transmitir la potencia del motor a las ruedas hasta un par de _____ N·m</v>
      </c>
      <c r="H39" s="7" t="s">
        <v>79</v>
      </c>
      <c r="I39" s="8" t="s">
        <v>470</v>
      </c>
      <c r="J39" s="7"/>
      <c r="K39" s="7" t="s">
        <v>471</v>
      </c>
      <c r="L39" s="7" t="s">
        <v>472</v>
      </c>
      <c r="M39" s="7" t="s">
        <v>473</v>
      </c>
      <c r="N39" s="8">
        <v>1.0</v>
      </c>
      <c r="O39" s="8" t="s">
        <v>260</v>
      </c>
      <c r="P39" s="8" t="s">
        <v>67</v>
      </c>
      <c r="Q39" s="8" t="s">
        <v>87</v>
      </c>
      <c r="R39" s="7" t="s">
        <v>475</v>
      </c>
      <c r="S39" s="8" t="s">
        <v>111</v>
      </c>
      <c r="T39" s="8" t="s">
        <v>476</v>
      </c>
      <c r="U39" s="7"/>
      <c r="V39" s="7"/>
      <c r="W39" s="7"/>
    </row>
    <row r="40" ht="15.0" customHeight="1">
      <c r="A40" s="7" t="s">
        <v>466</v>
      </c>
      <c r="B40" s="8" t="s">
        <v>477</v>
      </c>
      <c r="C40" s="8" t="s">
        <v>265</v>
      </c>
      <c r="D40" s="7" t="s">
        <v>266</v>
      </c>
      <c r="E40" s="7" t="s">
        <v>267</v>
      </c>
      <c r="F40" s="7" t="s">
        <v>268</v>
      </c>
      <c r="G40" s="7" t="str">
        <f t="shared" si="1"/>
        <v>Impedir el remonte de pestaña con cota qR ≥ 6,5 mm</v>
      </c>
      <c r="H40" s="7" t="s">
        <v>79</v>
      </c>
      <c r="I40" s="8" t="s">
        <v>470</v>
      </c>
      <c r="J40" s="7" t="s">
        <v>269</v>
      </c>
      <c r="K40" s="7" t="s">
        <v>270</v>
      </c>
      <c r="L40" s="7" t="s">
        <v>472</v>
      </c>
      <c r="M40" s="7" t="s">
        <v>473</v>
      </c>
      <c r="N40" s="8">
        <v>1.0</v>
      </c>
      <c r="O40" s="8" t="s">
        <v>85</v>
      </c>
      <c r="P40" s="8" t="s">
        <v>67</v>
      </c>
      <c r="Q40" s="8" t="s">
        <v>87</v>
      </c>
      <c r="R40" s="7" t="s">
        <v>271</v>
      </c>
      <c r="S40" s="8" t="s">
        <v>89</v>
      </c>
      <c r="T40" s="8" t="s">
        <v>478</v>
      </c>
      <c r="U40" s="7"/>
      <c r="V40" s="7"/>
      <c r="W40" s="7"/>
    </row>
    <row r="41" ht="15.0" customHeight="1">
      <c r="A41" s="7" t="s">
        <v>466</v>
      </c>
      <c r="B41" s="8" t="s">
        <v>455</v>
      </c>
      <c r="C41" s="8" t="s">
        <v>152</v>
      </c>
      <c r="D41" s="7" t="s">
        <v>480</v>
      </c>
      <c r="E41" s="7" t="s">
        <v>481</v>
      </c>
      <c r="F41" s="7" t="s">
        <v>268</v>
      </c>
      <c r="G41" s="7" t="str">
        <f t="shared" si="1"/>
        <v>Mantener la distancia entre ruedas de 1.357 a 1.363 mm</v>
      </c>
      <c r="H41" s="7" t="s">
        <v>79</v>
      </c>
      <c r="I41" s="8" t="s">
        <v>470</v>
      </c>
      <c r="J41" s="7" t="s">
        <v>269</v>
      </c>
      <c r="K41" s="7" t="s">
        <v>484</v>
      </c>
      <c r="L41" s="7" t="s">
        <v>472</v>
      </c>
      <c r="M41" s="7" t="s">
        <v>473</v>
      </c>
      <c r="N41" s="8">
        <v>1.0</v>
      </c>
      <c r="O41" s="8" t="s">
        <v>85</v>
      </c>
      <c r="P41" s="8" t="s">
        <v>86</v>
      </c>
      <c r="Q41" s="8" t="s">
        <v>87</v>
      </c>
      <c r="R41" s="7" t="s">
        <v>485</v>
      </c>
      <c r="S41" s="8" t="s">
        <v>89</v>
      </c>
      <c r="T41" s="8" t="s">
        <v>71</v>
      </c>
      <c r="U41" s="7"/>
      <c r="V41" s="7"/>
      <c r="W41" s="7"/>
    </row>
    <row r="42" ht="15.0" customHeight="1">
      <c r="A42" s="7" t="s">
        <v>486</v>
      </c>
      <c r="B42" s="8" t="s">
        <v>487</v>
      </c>
      <c r="C42" s="8" t="s">
        <v>300</v>
      </c>
      <c r="D42" s="7" t="s">
        <v>488</v>
      </c>
      <c r="E42" s="7" t="s">
        <v>489</v>
      </c>
      <c r="F42" s="7" t="s">
        <v>490</v>
      </c>
      <c r="G42" s="7" t="str">
        <f t="shared" si="1"/>
        <v>Almacenar el aceite hidráulico hasta 150 L</v>
      </c>
      <c r="H42" s="7" t="s">
        <v>61</v>
      </c>
      <c r="I42" s="8" t="s">
        <v>492</v>
      </c>
      <c r="J42" s="7"/>
      <c r="K42" s="7" t="s">
        <v>493</v>
      </c>
      <c r="L42" s="7" t="s">
        <v>494</v>
      </c>
      <c r="M42" s="7" t="s">
        <v>495</v>
      </c>
      <c r="N42" s="8">
        <v>1.0</v>
      </c>
      <c r="O42" s="8" t="s">
        <v>173</v>
      </c>
      <c r="P42" s="8" t="s">
        <v>67</v>
      </c>
      <c r="Q42" s="8" t="s">
        <v>68</v>
      </c>
      <c r="R42" s="7" t="s">
        <v>496</v>
      </c>
      <c r="S42" s="8" t="s">
        <v>111</v>
      </c>
      <c r="T42" s="8" t="s">
        <v>497</v>
      </c>
      <c r="U42" s="7"/>
      <c r="V42" s="7"/>
      <c r="W42" s="7"/>
    </row>
    <row r="43" ht="23.25" customHeight="1">
      <c r="A43" s="7" t="s">
        <v>498</v>
      </c>
      <c r="B43" s="8" t="s">
        <v>478</v>
      </c>
      <c r="C43" s="8" t="s">
        <v>499</v>
      </c>
      <c r="D43" s="7" t="s">
        <v>301</v>
      </c>
      <c r="E43" s="7" t="s">
        <v>500</v>
      </c>
      <c r="F43" s="7" t="s">
        <v>501</v>
      </c>
      <c r="G43" s="7" t="str">
        <f t="shared" si="1"/>
        <v>Almacenar energía eléctrica hasta 800 CCA</v>
      </c>
      <c r="H43" s="7" t="s">
        <v>61</v>
      </c>
      <c r="I43" s="8" t="s">
        <v>502</v>
      </c>
      <c r="J43" s="7"/>
      <c r="K43" s="7" t="s">
        <v>503</v>
      </c>
      <c r="L43" s="7" t="s">
        <v>505</v>
      </c>
      <c r="M43" s="7" t="s">
        <v>506</v>
      </c>
      <c r="N43" s="8">
        <v>1.0</v>
      </c>
      <c r="O43" s="8" t="s">
        <v>66</v>
      </c>
      <c r="P43" s="8" t="s">
        <v>67</v>
      </c>
      <c r="Q43" s="8" t="s">
        <v>68</v>
      </c>
      <c r="R43" s="7" t="s">
        <v>297</v>
      </c>
      <c r="S43" s="8" t="s">
        <v>111</v>
      </c>
      <c r="T43" s="8" t="s">
        <v>507</v>
      </c>
      <c r="U43" s="7"/>
      <c r="V43" s="7"/>
      <c r="W43" s="7"/>
    </row>
    <row r="44" ht="23.25" customHeight="1">
      <c r="A44" s="7" t="s">
        <v>508</v>
      </c>
      <c r="B44" s="8" t="s">
        <v>509</v>
      </c>
      <c r="C44" s="8" t="s">
        <v>204</v>
      </c>
      <c r="D44" s="7" t="s">
        <v>510</v>
      </c>
      <c r="E44" s="7" t="s">
        <v>511</v>
      </c>
      <c r="F44" s="7" t="s">
        <v>512</v>
      </c>
      <c r="G44" s="7" t="str">
        <f t="shared" si="1"/>
        <v>Generar corriente de carga de 140 A</v>
      </c>
      <c r="H44" s="7" t="s">
        <v>61</v>
      </c>
      <c r="I44" s="8" t="s">
        <v>513</v>
      </c>
      <c r="J44" s="7" t="s">
        <v>96</v>
      </c>
      <c r="K44" s="7" t="s">
        <v>514</v>
      </c>
      <c r="L44" s="7" t="s">
        <v>515</v>
      </c>
      <c r="M44" s="7" t="s">
        <v>516</v>
      </c>
      <c r="N44" s="8">
        <v>1.0</v>
      </c>
      <c r="O44" s="8" t="s">
        <v>66</v>
      </c>
      <c r="P44" s="8" t="s">
        <v>67</v>
      </c>
      <c r="Q44" s="8" t="s">
        <v>68</v>
      </c>
      <c r="R44" s="7" t="s">
        <v>517</v>
      </c>
      <c r="S44" s="8" t="s">
        <v>99</v>
      </c>
      <c r="T44" s="8" t="s">
        <v>518</v>
      </c>
      <c r="U44" s="7"/>
      <c r="V44" s="7"/>
      <c r="W44" s="7"/>
    </row>
    <row r="45" ht="23.25" customHeight="1">
      <c r="A45" s="7" t="s">
        <v>520</v>
      </c>
      <c r="B45" s="8" t="s">
        <v>521</v>
      </c>
      <c r="C45" s="8" t="s">
        <v>309</v>
      </c>
      <c r="D45" s="7" t="s">
        <v>310</v>
      </c>
      <c r="E45" s="7" t="s">
        <v>311</v>
      </c>
      <c r="F45" s="7" t="s">
        <v>155</v>
      </c>
      <c r="G45" s="7" t="str">
        <f t="shared" si="1"/>
        <v>Presurizar los cilindros de freno entre 3,7 y 3,9 bar</v>
      </c>
      <c r="H45" s="7" t="s">
        <v>79</v>
      </c>
      <c r="I45" s="8" t="s">
        <v>524</v>
      </c>
      <c r="J45" s="7" t="s">
        <v>315</v>
      </c>
      <c r="K45" s="7" t="s">
        <v>316</v>
      </c>
      <c r="L45" s="7" t="s">
        <v>525</v>
      </c>
      <c r="M45" s="7" t="s">
        <v>526</v>
      </c>
      <c r="N45" s="8">
        <v>2.0</v>
      </c>
      <c r="O45" s="8" t="s">
        <v>85</v>
      </c>
      <c r="P45" s="8" t="s">
        <v>67</v>
      </c>
      <c r="Q45" s="8" t="s">
        <v>68</v>
      </c>
      <c r="R45" s="7" t="s">
        <v>527</v>
      </c>
      <c r="S45" s="8" t="s">
        <v>89</v>
      </c>
      <c r="T45" s="8" t="s">
        <v>528</v>
      </c>
      <c r="U45" s="7"/>
      <c r="V45" s="7"/>
      <c r="W45" s="7"/>
    </row>
    <row r="46" ht="15.0" customHeight="1">
      <c r="A46" s="7" t="s">
        <v>529</v>
      </c>
      <c r="B46" s="8" t="s">
        <v>518</v>
      </c>
      <c r="C46" s="8" t="s">
        <v>335</v>
      </c>
      <c r="D46" s="7" t="s">
        <v>530</v>
      </c>
      <c r="E46" s="7" t="s">
        <v>531</v>
      </c>
      <c r="F46" s="7" t="s">
        <v>268</v>
      </c>
      <c r="G46" s="7" t="str">
        <f t="shared" si="1"/>
        <v>Transmitir la fuerza a zapatas con juego de 5 a 7 mm</v>
      </c>
      <c r="H46" s="7" t="s">
        <v>79</v>
      </c>
      <c r="I46" s="8" t="s">
        <v>532</v>
      </c>
      <c r="J46" s="7" t="s">
        <v>533</v>
      </c>
      <c r="K46" s="7" t="s">
        <v>534</v>
      </c>
      <c r="L46" s="7" t="s">
        <v>535</v>
      </c>
      <c r="M46" s="7" t="s">
        <v>536</v>
      </c>
      <c r="N46" s="8">
        <v>2.0</v>
      </c>
      <c r="O46" s="8" t="s">
        <v>85</v>
      </c>
      <c r="P46" s="8" t="s">
        <v>67</v>
      </c>
      <c r="Q46" s="8" t="s">
        <v>68</v>
      </c>
      <c r="R46" s="7" t="s">
        <v>537</v>
      </c>
      <c r="S46" s="8" t="s">
        <v>419</v>
      </c>
      <c r="T46" s="8" t="s">
        <v>538</v>
      </c>
      <c r="U46" s="7"/>
      <c r="V46" s="7"/>
      <c r="W46" s="7"/>
    </row>
    <row r="47" ht="23.25" customHeight="1">
      <c r="A47" s="7" t="s">
        <v>539</v>
      </c>
      <c r="B47" s="8" t="s">
        <v>540</v>
      </c>
      <c r="C47" s="8" t="s">
        <v>541</v>
      </c>
      <c r="D47" s="7" t="s">
        <v>542</v>
      </c>
      <c r="E47" s="7" t="s">
        <v>543</v>
      </c>
      <c r="F47" s="7" t="s">
        <v>544</v>
      </c>
      <c r="G47" s="7" t="str">
        <f t="shared" si="1"/>
        <v>Tensar la cuerda de medición con una fuerza de 98 a 105 N</v>
      </c>
      <c r="H47" s="7" t="s">
        <v>61</v>
      </c>
      <c r="I47" s="8" t="s">
        <v>546</v>
      </c>
      <c r="J47" s="7"/>
      <c r="K47" s="7" t="s">
        <v>547</v>
      </c>
      <c r="L47" s="7" t="s">
        <v>548</v>
      </c>
      <c r="M47" s="7" t="s">
        <v>549</v>
      </c>
      <c r="N47" s="8">
        <v>2.0</v>
      </c>
      <c r="O47" s="8" t="s">
        <v>550</v>
      </c>
      <c r="P47" s="8" t="s">
        <v>67</v>
      </c>
      <c r="Q47" s="8" t="s">
        <v>87</v>
      </c>
      <c r="R47" s="7" t="s">
        <v>551</v>
      </c>
      <c r="S47" s="8" t="s">
        <v>111</v>
      </c>
      <c r="T47" s="8" t="s">
        <v>71</v>
      </c>
      <c r="U47" s="7"/>
      <c r="V47" s="7"/>
      <c r="W47" s="7"/>
    </row>
    <row r="48" ht="15.0" customHeight="1">
      <c r="A48" s="32" t="s">
        <v>552</v>
      </c>
      <c r="B48" s="8" t="s">
        <v>553</v>
      </c>
      <c r="C48" s="8" t="s">
        <v>555</v>
      </c>
      <c r="D48" s="7" t="s">
        <v>557</v>
      </c>
      <c r="E48" s="33" t="s">
        <v>559</v>
      </c>
      <c r="F48" s="33" t="s">
        <v>338</v>
      </c>
      <c r="G48" s="7" t="str">
        <f t="shared" si="1"/>
        <v>Distribuir el par entre ejes hasta 1.780 N.m</v>
      </c>
      <c r="H48" s="7" t="s">
        <v>61</v>
      </c>
      <c r="I48" s="8" t="s">
        <v>560</v>
      </c>
      <c r="J48" s="7"/>
      <c r="K48" s="7" t="s">
        <v>561</v>
      </c>
      <c r="L48" s="7" t="s">
        <v>562</v>
      </c>
      <c r="M48" s="7" t="s">
        <v>563</v>
      </c>
      <c r="N48" s="8">
        <v>1.0</v>
      </c>
      <c r="O48" s="8" t="s">
        <v>66</v>
      </c>
      <c r="P48" s="8" t="s">
        <v>67</v>
      </c>
      <c r="Q48" s="8" t="s">
        <v>68</v>
      </c>
      <c r="R48" s="7" t="s">
        <v>564</v>
      </c>
      <c r="S48" s="8" t="s">
        <v>111</v>
      </c>
      <c r="T48" s="8" t="s">
        <v>565</v>
      </c>
      <c r="U48" s="33"/>
      <c r="V48" s="33"/>
      <c r="W48" s="33"/>
    </row>
    <row r="49" ht="33.75" customHeight="1">
      <c r="A49" s="32" t="s">
        <v>566</v>
      </c>
      <c r="B49" s="8" t="s">
        <v>567</v>
      </c>
      <c r="C49" s="8" t="s">
        <v>143</v>
      </c>
      <c r="D49" s="7" t="s">
        <v>349</v>
      </c>
      <c r="E49" s="7" t="s">
        <v>58</v>
      </c>
      <c r="F49" s="7" t="s">
        <v>351</v>
      </c>
      <c r="G49" s="7" t="str">
        <f t="shared" si="1"/>
        <v>Entregar potencia mecánica hasta 300 kW</v>
      </c>
      <c r="H49" s="7" t="s">
        <v>61</v>
      </c>
      <c r="I49" s="8" t="s">
        <v>569</v>
      </c>
      <c r="J49" s="7" t="s">
        <v>353</v>
      </c>
      <c r="K49" s="7" t="s">
        <v>570</v>
      </c>
      <c r="L49" s="7" t="s">
        <v>571</v>
      </c>
      <c r="M49" s="7" t="s">
        <v>572</v>
      </c>
      <c r="N49" s="8">
        <v>1.0</v>
      </c>
      <c r="O49" s="8" t="s">
        <v>66</v>
      </c>
      <c r="P49" s="8" t="s">
        <v>67</v>
      </c>
      <c r="Q49" s="8" t="s">
        <v>68</v>
      </c>
      <c r="R49" s="7" t="s">
        <v>573</v>
      </c>
      <c r="S49" s="8" t="s">
        <v>111</v>
      </c>
      <c r="T49" s="8" t="s">
        <v>574</v>
      </c>
      <c r="U49" s="7"/>
      <c r="V49" s="7"/>
      <c r="W49" s="7"/>
    </row>
    <row r="50" ht="23.25" customHeight="1">
      <c r="A50" s="32" t="s">
        <v>566</v>
      </c>
      <c r="B50" s="8" t="s">
        <v>575</v>
      </c>
      <c r="C50" s="8" t="s">
        <v>576</v>
      </c>
      <c r="D50" s="7" t="s">
        <v>577</v>
      </c>
      <c r="E50" s="7" t="s">
        <v>578</v>
      </c>
      <c r="F50" s="7" t="s">
        <v>579</v>
      </c>
      <c r="G50" s="7" t="str">
        <f t="shared" si="1"/>
        <v>Mover Eje de 0 a 1.200 rpm</v>
      </c>
      <c r="H50" s="7" t="s">
        <v>61</v>
      </c>
      <c r="I50" s="8" t="s">
        <v>569</v>
      </c>
      <c r="J50" s="7" t="s">
        <v>353</v>
      </c>
      <c r="K50" s="7" t="s">
        <v>581</v>
      </c>
      <c r="L50" s="7" t="s">
        <v>571</v>
      </c>
      <c r="M50" s="7" t="s">
        <v>572</v>
      </c>
      <c r="N50" s="8">
        <v>1.0</v>
      </c>
      <c r="O50" s="8" t="s">
        <v>66</v>
      </c>
      <c r="P50" s="8" t="s">
        <v>86</v>
      </c>
      <c r="Q50" s="8" t="s">
        <v>68</v>
      </c>
      <c r="R50" s="7" t="s">
        <v>582</v>
      </c>
      <c r="S50" s="8" t="s">
        <v>111</v>
      </c>
      <c r="T50" s="8" t="s">
        <v>71</v>
      </c>
      <c r="U50" s="7"/>
      <c r="V50" s="7"/>
      <c r="W50" s="7"/>
    </row>
    <row r="51" ht="15.0" customHeight="1">
      <c r="A51" s="32" t="s">
        <v>585</v>
      </c>
      <c r="B51" s="8" t="s">
        <v>586</v>
      </c>
      <c r="C51" s="8" t="s">
        <v>587</v>
      </c>
      <c r="D51" s="7" t="s">
        <v>588</v>
      </c>
      <c r="E51" s="33" t="s">
        <v>58</v>
      </c>
      <c r="F51" s="33" t="s">
        <v>589</v>
      </c>
      <c r="G51" s="7" t="str">
        <f t="shared" si="1"/>
        <v>Remolcar vehículos hasta 300 toneladas en sistema de rieles</v>
      </c>
      <c r="H51" s="7" t="s">
        <v>61</v>
      </c>
      <c r="I51" s="8" t="s">
        <v>591</v>
      </c>
      <c r="J51" s="7"/>
      <c r="K51" s="7" t="s">
        <v>592</v>
      </c>
      <c r="L51" s="7" t="s">
        <v>593</v>
      </c>
      <c r="M51" s="7" t="s">
        <v>594</v>
      </c>
      <c r="N51" s="8">
        <v>2.0</v>
      </c>
      <c r="O51" s="8" t="s">
        <v>66</v>
      </c>
      <c r="P51" s="8" t="s">
        <v>67</v>
      </c>
      <c r="Q51" s="8" t="s">
        <v>68</v>
      </c>
      <c r="R51" s="7" t="s">
        <v>595</v>
      </c>
      <c r="S51" s="8" t="s">
        <v>111</v>
      </c>
      <c r="T51" s="8" t="s">
        <v>71</v>
      </c>
      <c r="U51" s="33"/>
      <c r="V51" s="33"/>
      <c r="W51" s="33"/>
    </row>
    <row r="52" ht="23.25" customHeight="1">
      <c r="A52" s="32" t="s">
        <v>596</v>
      </c>
      <c r="B52" s="8" t="s">
        <v>597</v>
      </c>
      <c r="C52" s="8" t="s">
        <v>192</v>
      </c>
      <c r="D52" s="7" t="s">
        <v>193</v>
      </c>
      <c r="E52" s="33" t="s">
        <v>598</v>
      </c>
      <c r="F52" s="33" t="s">
        <v>384</v>
      </c>
      <c r="G52" s="7" t="str">
        <f t="shared" si="1"/>
        <v>Suministrar caudal de aceite entre 23 y 27 L/min</v>
      </c>
      <c r="H52" s="7" t="s">
        <v>61</v>
      </c>
      <c r="I52" s="8" t="s">
        <v>600</v>
      </c>
      <c r="J52" s="7"/>
      <c r="K52" s="7" t="s">
        <v>601</v>
      </c>
      <c r="L52" s="7" t="s">
        <v>602</v>
      </c>
      <c r="M52" s="7" t="s">
        <v>603</v>
      </c>
      <c r="N52" s="8">
        <v>2.0</v>
      </c>
      <c r="O52" s="8" t="s">
        <v>66</v>
      </c>
      <c r="P52" s="8" t="s">
        <v>67</v>
      </c>
      <c r="Q52" s="8" t="s">
        <v>68</v>
      </c>
      <c r="R52" s="7" t="s">
        <v>202</v>
      </c>
      <c r="S52" s="8" t="s">
        <v>111</v>
      </c>
      <c r="T52" s="8" t="s">
        <v>604</v>
      </c>
      <c r="U52" s="33"/>
      <c r="V52" s="33"/>
      <c r="W52" s="33"/>
    </row>
    <row r="53" ht="24.0" customHeight="1">
      <c r="A53" s="32" t="s">
        <v>596</v>
      </c>
      <c r="B53" s="8" t="s">
        <v>605</v>
      </c>
      <c r="C53" s="8" t="s">
        <v>606</v>
      </c>
      <c r="D53" s="7" t="s">
        <v>205</v>
      </c>
      <c r="E53" s="33" t="s">
        <v>489</v>
      </c>
      <c r="F53" s="33" t="s">
        <v>155</v>
      </c>
      <c r="G53" s="7" t="str">
        <f t="shared" si="1"/>
        <v>Incrementar presión hidráulica hasta 150 bar</v>
      </c>
      <c r="H53" s="7" t="s">
        <v>61</v>
      </c>
      <c r="I53" s="8" t="s">
        <v>600</v>
      </c>
      <c r="J53" s="7"/>
      <c r="K53" s="7" t="s">
        <v>607</v>
      </c>
      <c r="L53" s="7" t="s">
        <v>602</v>
      </c>
      <c r="M53" s="7" t="s">
        <v>603</v>
      </c>
      <c r="N53" s="8">
        <v>2.0</v>
      </c>
      <c r="O53" s="8" t="s">
        <v>66</v>
      </c>
      <c r="P53" s="8" t="s">
        <v>86</v>
      </c>
      <c r="Q53" s="8" t="s">
        <v>68</v>
      </c>
      <c r="R53" s="7" t="s">
        <v>208</v>
      </c>
      <c r="S53" s="8" t="s">
        <v>111</v>
      </c>
      <c r="T53" s="8" t="s">
        <v>71</v>
      </c>
      <c r="U53" s="33"/>
      <c r="V53" s="33"/>
      <c r="W53" s="33"/>
    </row>
    <row r="54" ht="15.0" customHeight="1">
      <c r="A54" s="32" t="s">
        <v>609</v>
      </c>
      <c r="B54" s="8" t="s">
        <v>610</v>
      </c>
      <c r="C54" s="8" t="s">
        <v>611</v>
      </c>
      <c r="D54" s="7" t="s">
        <v>612</v>
      </c>
      <c r="E54" s="7" t="s">
        <v>76</v>
      </c>
      <c r="F54" s="7" t="s">
        <v>613</v>
      </c>
      <c r="G54" s="7" t="str">
        <f t="shared" si="1"/>
        <v>Sellar la cabina con 0 filtraciones en prueba de agua</v>
      </c>
      <c r="H54" s="7" t="s">
        <v>61</v>
      </c>
      <c r="I54" s="8" t="s">
        <v>615</v>
      </c>
      <c r="J54" s="7" t="s">
        <v>279</v>
      </c>
      <c r="K54" s="7" t="s">
        <v>280</v>
      </c>
      <c r="L54" s="7" t="s">
        <v>616</v>
      </c>
      <c r="M54" s="7" t="s">
        <v>617</v>
      </c>
      <c r="N54" s="8">
        <v>2.0</v>
      </c>
      <c r="O54" s="8" t="s">
        <v>187</v>
      </c>
      <c r="P54" s="8" t="s">
        <v>67</v>
      </c>
      <c r="Q54" s="8" t="s">
        <v>68</v>
      </c>
      <c r="R54" s="7" t="s">
        <v>285</v>
      </c>
      <c r="S54" s="8" t="s">
        <v>111</v>
      </c>
      <c r="T54" s="8" t="s">
        <v>620</v>
      </c>
      <c r="U54" s="7"/>
      <c r="V54" s="7"/>
      <c r="W54" s="7"/>
    </row>
    <row r="55" ht="23.25" customHeight="1">
      <c r="A55" s="32" t="s">
        <v>621</v>
      </c>
      <c r="B55" s="8" t="s">
        <v>565</v>
      </c>
      <c r="C55" s="8" t="s">
        <v>192</v>
      </c>
      <c r="D55" s="7" t="s">
        <v>622</v>
      </c>
      <c r="E55" s="33" t="s">
        <v>624</v>
      </c>
      <c r="F55" s="33" t="s">
        <v>625</v>
      </c>
      <c r="G55" s="7" t="str">
        <f t="shared" si="1"/>
        <v>Suministrar energía de 78 a 82 V en corriente directa</v>
      </c>
      <c r="H55" s="7" t="s">
        <v>61</v>
      </c>
      <c r="I55" s="8" t="s">
        <v>626</v>
      </c>
      <c r="J55" s="7"/>
      <c r="K55" s="7" t="s">
        <v>627</v>
      </c>
      <c r="L55" s="7" t="s">
        <v>628</v>
      </c>
      <c r="M55" s="7" t="s">
        <v>629</v>
      </c>
      <c r="N55" s="8">
        <v>2.0</v>
      </c>
      <c r="O55" s="8" t="s">
        <v>66</v>
      </c>
      <c r="P55" s="8" t="s">
        <v>67</v>
      </c>
      <c r="Q55" s="8" t="s">
        <v>68</v>
      </c>
      <c r="R55" s="7" t="s">
        <v>630</v>
      </c>
      <c r="S55" s="8" t="s">
        <v>111</v>
      </c>
      <c r="T55" s="8" t="s">
        <v>631</v>
      </c>
      <c r="U55" s="33"/>
      <c r="V55" s="33"/>
      <c r="W55" s="33"/>
    </row>
    <row r="56" ht="23.25" customHeight="1">
      <c r="A56" s="32" t="s">
        <v>621</v>
      </c>
      <c r="B56" s="8" t="s">
        <v>633</v>
      </c>
      <c r="C56" s="8" t="s">
        <v>300</v>
      </c>
      <c r="D56" s="7" t="s">
        <v>301</v>
      </c>
      <c r="E56" s="33" t="s">
        <v>634</v>
      </c>
      <c r="F56" s="33" t="s">
        <v>625</v>
      </c>
      <c r="G56" s="7" t="str">
        <f t="shared" si="1"/>
        <v>Almacenar energía eléctrica con tensión de 78 a 82 V en corriente directa</v>
      </c>
      <c r="H56" s="7" t="s">
        <v>61</v>
      </c>
      <c r="I56" s="8" t="s">
        <v>626</v>
      </c>
      <c r="J56" s="7"/>
      <c r="K56" s="7" t="s">
        <v>302</v>
      </c>
      <c r="L56" s="7" t="s">
        <v>628</v>
      </c>
      <c r="M56" s="7" t="s">
        <v>629</v>
      </c>
      <c r="N56" s="8">
        <v>2.0</v>
      </c>
      <c r="O56" s="8" t="s">
        <v>66</v>
      </c>
      <c r="P56" s="8" t="s">
        <v>67</v>
      </c>
      <c r="Q56" s="8" t="s">
        <v>68</v>
      </c>
      <c r="R56" s="7" t="s">
        <v>630</v>
      </c>
      <c r="S56" s="8" t="s">
        <v>111</v>
      </c>
      <c r="T56" s="8" t="s">
        <v>303</v>
      </c>
      <c r="U56" s="33"/>
      <c r="V56" s="33"/>
      <c r="W56" s="33" t="s">
        <v>305</v>
      </c>
    </row>
    <row r="57" ht="27.0" customHeight="1">
      <c r="A57" s="32" t="s">
        <v>621</v>
      </c>
      <c r="B57" s="8" t="s">
        <v>636</v>
      </c>
      <c r="C57" s="8" t="s">
        <v>300</v>
      </c>
      <c r="D57" s="7" t="s">
        <v>301</v>
      </c>
      <c r="E57" s="33" t="s">
        <v>637</v>
      </c>
      <c r="F57" s="33" t="s">
        <v>638</v>
      </c>
      <c r="G57" s="7" t="str">
        <f t="shared" si="1"/>
        <v>Almacenar energía eléctrica con capacidad de 800 Ah</v>
      </c>
      <c r="H57" s="7" t="s">
        <v>61</v>
      </c>
      <c r="I57" s="8" t="s">
        <v>626</v>
      </c>
      <c r="J57" s="7"/>
      <c r="K57" s="7" t="s">
        <v>639</v>
      </c>
      <c r="L57" s="7" t="s">
        <v>628</v>
      </c>
      <c r="M57" s="7" t="s">
        <v>629</v>
      </c>
      <c r="N57" s="8">
        <v>2.0</v>
      </c>
      <c r="O57" s="8" t="s">
        <v>66</v>
      </c>
      <c r="P57" s="8" t="s">
        <v>67</v>
      </c>
      <c r="Q57" s="8" t="s">
        <v>68</v>
      </c>
      <c r="R57" s="7" t="s">
        <v>630</v>
      </c>
      <c r="S57" s="8" t="s">
        <v>111</v>
      </c>
      <c r="T57" s="8" t="s">
        <v>631</v>
      </c>
      <c r="U57" s="33"/>
      <c r="V57" s="33"/>
      <c r="W57" s="33"/>
    </row>
    <row r="58" ht="27.0" customHeight="1">
      <c r="A58" s="32" t="s">
        <v>642</v>
      </c>
      <c r="B58" s="8" t="s">
        <v>643</v>
      </c>
      <c r="C58" s="8" t="s">
        <v>309</v>
      </c>
      <c r="D58" s="7" t="s">
        <v>310</v>
      </c>
      <c r="E58" s="7" t="s">
        <v>311</v>
      </c>
      <c r="F58" s="7" t="s">
        <v>155</v>
      </c>
      <c r="G58" s="7" t="str">
        <f t="shared" si="1"/>
        <v>Presurizar los cilindros de freno entre 3,7 y 3,9 bar</v>
      </c>
      <c r="H58" s="7" t="s">
        <v>79</v>
      </c>
      <c r="I58" s="8" t="s">
        <v>647</v>
      </c>
      <c r="J58" s="7" t="s">
        <v>315</v>
      </c>
      <c r="K58" s="7" t="s">
        <v>316</v>
      </c>
      <c r="L58" s="7" t="s">
        <v>317</v>
      </c>
      <c r="M58" s="7" t="s">
        <v>648</v>
      </c>
      <c r="N58" s="8">
        <v>2.0</v>
      </c>
      <c r="O58" s="8" t="s">
        <v>85</v>
      </c>
      <c r="P58" s="8" t="s">
        <v>86</v>
      </c>
      <c r="Q58" s="8" t="s">
        <v>68</v>
      </c>
      <c r="R58" s="7" t="s">
        <v>208</v>
      </c>
      <c r="S58" s="8" t="s">
        <v>89</v>
      </c>
      <c r="T58" s="8" t="s">
        <v>71</v>
      </c>
      <c r="U58" s="7"/>
      <c r="V58" s="7"/>
      <c r="W58" s="7"/>
    </row>
    <row r="59" ht="27.75" customHeight="1">
      <c r="A59" s="32" t="s">
        <v>649</v>
      </c>
      <c r="B59" s="8" t="s">
        <v>650</v>
      </c>
      <c r="C59" s="8" t="s">
        <v>335</v>
      </c>
      <c r="D59" s="7" t="s">
        <v>530</v>
      </c>
      <c r="E59" s="33" t="s">
        <v>651</v>
      </c>
      <c r="F59" s="33" t="s">
        <v>268</v>
      </c>
      <c r="G59" s="7" t="str">
        <f t="shared" si="1"/>
        <v>Transmitir la fuerza a zapatas con holgura de 5 a 8 mm</v>
      </c>
      <c r="H59" s="7" t="s">
        <v>79</v>
      </c>
      <c r="I59" s="8" t="s">
        <v>653</v>
      </c>
      <c r="J59" s="7"/>
      <c r="K59" s="7" t="s">
        <v>654</v>
      </c>
      <c r="L59" s="7" t="s">
        <v>655</v>
      </c>
      <c r="M59" s="7" t="s">
        <v>656</v>
      </c>
      <c r="N59" s="8">
        <v>2.0</v>
      </c>
      <c r="O59" s="8" t="s">
        <v>85</v>
      </c>
      <c r="P59" s="8" t="s">
        <v>67</v>
      </c>
      <c r="Q59" s="8" t="s">
        <v>68</v>
      </c>
      <c r="R59" s="7" t="s">
        <v>657</v>
      </c>
      <c r="S59" s="8" t="s">
        <v>111</v>
      </c>
      <c r="T59" s="8" t="s">
        <v>658</v>
      </c>
      <c r="U59" s="33"/>
      <c r="V59" s="33"/>
      <c r="W59" s="33"/>
    </row>
    <row r="60" ht="30.0" customHeight="1">
      <c r="A60" s="32" t="s">
        <v>659</v>
      </c>
      <c r="B60" s="8" t="s">
        <v>660</v>
      </c>
      <c r="C60" s="8" t="s">
        <v>143</v>
      </c>
      <c r="D60" s="7" t="s">
        <v>661</v>
      </c>
      <c r="E60" s="33" t="s">
        <v>662</v>
      </c>
      <c r="F60" s="33" t="s">
        <v>351</v>
      </c>
      <c r="G60" s="7" t="str">
        <f t="shared" si="1"/>
        <v>Entregar potencia de 18 a 22 kW</v>
      </c>
      <c r="H60" s="7" t="s">
        <v>61</v>
      </c>
      <c r="I60" s="8" t="s">
        <v>663</v>
      </c>
      <c r="J60" s="7"/>
      <c r="K60" s="7" t="s">
        <v>664</v>
      </c>
      <c r="L60" s="7" t="s">
        <v>665</v>
      </c>
      <c r="M60" s="7" t="s">
        <v>666</v>
      </c>
      <c r="N60" s="8">
        <v>2.0</v>
      </c>
      <c r="O60" s="8" t="s">
        <v>66</v>
      </c>
      <c r="P60" s="8" t="s">
        <v>67</v>
      </c>
      <c r="Q60" s="8" t="s">
        <v>68</v>
      </c>
      <c r="R60" s="7" t="s">
        <v>667</v>
      </c>
      <c r="S60" s="8" t="s">
        <v>111</v>
      </c>
      <c r="T60" s="8" t="s">
        <v>669</v>
      </c>
      <c r="U60" s="33"/>
      <c r="V60" s="33"/>
      <c r="W60" s="33"/>
    </row>
    <row r="61" ht="28.5" customHeight="1">
      <c r="A61" s="32" t="s">
        <v>670</v>
      </c>
      <c r="B61" s="8" t="s">
        <v>671</v>
      </c>
      <c r="C61" s="8" t="s">
        <v>555</v>
      </c>
      <c r="D61" s="7" t="s">
        <v>557</v>
      </c>
      <c r="E61" s="33" t="s">
        <v>672</v>
      </c>
      <c r="F61" s="33" t="s">
        <v>338</v>
      </c>
      <c r="G61" s="7" t="str">
        <f t="shared" si="1"/>
        <v>Distribuir el par entre ejes hasta 4.300 N.m</v>
      </c>
      <c r="H61" s="7" t="s">
        <v>61</v>
      </c>
      <c r="I61" s="8" t="s">
        <v>673</v>
      </c>
      <c r="J61" s="7"/>
      <c r="K61" s="7" t="s">
        <v>674</v>
      </c>
      <c r="L61" s="7" t="s">
        <v>675</v>
      </c>
      <c r="M61" s="7" t="s">
        <v>677</v>
      </c>
      <c r="N61" s="8">
        <v>2.0</v>
      </c>
      <c r="O61" s="8" t="s">
        <v>66</v>
      </c>
      <c r="P61" s="8" t="s">
        <v>67</v>
      </c>
      <c r="Q61" s="8" t="s">
        <v>68</v>
      </c>
      <c r="R61" s="7" t="s">
        <v>564</v>
      </c>
      <c r="S61" s="8" t="s">
        <v>111</v>
      </c>
      <c r="T61" s="8" t="s">
        <v>680</v>
      </c>
      <c r="U61" s="33"/>
      <c r="V61" s="33"/>
      <c r="W61" s="33"/>
    </row>
    <row r="62" ht="31.5" customHeight="1">
      <c r="A62" s="7" t="s">
        <v>681</v>
      </c>
      <c r="B62" s="8" t="s">
        <v>682</v>
      </c>
      <c r="C62" s="8" t="s">
        <v>587</v>
      </c>
      <c r="D62" s="7" t="s">
        <v>683</v>
      </c>
      <c r="E62" s="7" t="s">
        <v>684</v>
      </c>
      <c r="F62" s="7" t="s">
        <v>460</v>
      </c>
      <c r="G62" s="7" t="str">
        <f t="shared" si="1"/>
        <v>Remolcar trenes de trabajo hasta 500 toneladas</v>
      </c>
      <c r="H62" s="7" t="s">
        <v>61</v>
      </c>
      <c r="I62" s="8" t="s">
        <v>686</v>
      </c>
      <c r="J62" s="7"/>
      <c r="K62" s="7" t="s">
        <v>687</v>
      </c>
      <c r="L62" s="7" t="s">
        <v>681</v>
      </c>
      <c r="M62" s="7" t="s">
        <v>688</v>
      </c>
      <c r="N62" s="8">
        <v>1.0</v>
      </c>
      <c r="O62" s="8" t="s">
        <v>66</v>
      </c>
      <c r="P62" s="8" t="s">
        <v>67</v>
      </c>
      <c r="Q62" s="8" t="s">
        <v>68</v>
      </c>
      <c r="R62" s="7" t="s">
        <v>595</v>
      </c>
      <c r="S62" s="8" t="s">
        <v>111</v>
      </c>
      <c r="T62" s="8" t="s">
        <v>71</v>
      </c>
      <c r="U62" s="7"/>
      <c r="V62" s="7"/>
      <c r="W62" s="7"/>
    </row>
    <row r="63" ht="23.25" customHeight="1">
      <c r="A63" s="7" t="s">
        <v>689</v>
      </c>
      <c r="B63" s="8" t="s">
        <v>690</v>
      </c>
      <c r="C63" s="8" t="s">
        <v>232</v>
      </c>
      <c r="D63" s="7" t="s">
        <v>165</v>
      </c>
      <c r="E63" s="28" t="s">
        <v>374</v>
      </c>
      <c r="F63" s="28" t="s">
        <v>155</v>
      </c>
      <c r="G63" s="7" t="str">
        <f t="shared" si="1"/>
        <v>Comprimir el aire a una presión de _____ bar</v>
      </c>
      <c r="H63" s="7" t="s">
        <v>61</v>
      </c>
      <c r="I63" s="8" t="s">
        <v>692</v>
      </c>
      <c r="J63" s="7"/>
      <c r="K63" s="7" t="s">
        <v>376</v>
      </c>
      <c r="L63" s="7" t="s">
        <v>689</v>
      </c>
      <c r="M63" s="7" t="s">
        <v>693</v>
      </c>
      <c r="N63" s="8">
        <v>1.0</v>
      </c>
      <c r="O63" s="8" t="s">
        <v>66</v>
      </c>
      <c r="P63" s="8" t="s">
        <v>67</v>
      </c>
      <c r="Q63" s="8" t="s">
        <v>68</v>
      </c>
      <c r="R63" s="7" t="s">
        <v>379</v>
      </c>
      <c r="S63" s="8" t="s">
        <v>111</v>
      </c>
      <c r="T63" s="8" t="s">
        <v>303</v>
      </c>
      <c r="U63" s="28"/>
      <c r="V63" s="28"/>
      <c r="W63" s="28" t="s">
        <v>305</v>
      </c>
    </row>
    <row r="64" ht="23.25" customHeight="1">
      <c r="A64" s="7" t="s">
        <v>689</v>
      </c>
      <c r="B64" s="8" t="s">
        <v>695</v>
      </c>
      <c r="C64" s="8" t="s">
        <v>192</v>
      </c>
      <c r="D64" s="7" t="s">
        <v>223</v>
      </c>
      <c r="E64" s="28" t="s">
        <v>194</v>
      </c>
      <c r="F64" s="28"/>
      <c r="G64" s="7" t="str">
        <f t="shared" si="1"/>
        <v>Suministrar caudal de aire [ESTÁNDAR POR CONFIRMAR]</v>
      </c>
      <c r="H64" s="7" t="s">
        <v>61</v>
      </c>
      <c r="I64" s="8" t="s">
        <v>692</v>
      </c>
      <c r="J64" s="7"/>
      <c r="K64" s="7" t="s">
        <v>696</v>
      </c>
      <c r="L64" s="7" t="s">
        <v>689</v>
      </c>
      <c r="M64" s="7" t="s">
        <v>693</v>
      </c>
      <c r="N64" s="8">
        <v>1.0</v>
      </c>
      <c r="O64" s="8" t="s">
        <v>66</v>
      </c>
      <c r="P64" s="8" t="s">
        <v>86</v>
      </c>
      <c r="Q64" s="8" t="s">
        <v>68</v>
      </c>
      <c r="R64" s="7" t="s">
        <v>228</v>
      </c>
      <c r="S64" s="8" t="s">
        <v>111</v>
      </c>
      <c r="T64" s="8" t="s">
        <v>699</v>
      </c>
      <c r="U64" s="28"/>
      <c r="V64" s="28"/>
      <c r="W64" s="28"/>
    </row>
    <row r="65" ht="23.25" customHeight="1">
      <c r="A65" s="7" t="s">
        <v>701</v>
      </c>
      <c r="B65" s="8" t="s">
        <v>703</v>
      </c>
      <c r="C65" s="8" t="s">
        <v>143</v>
      </c>
      <c r="D65" s="7" t="s">
        <v>704</v>
      </c>
      <c r="E65" s="28" t="s">
        <v>705</v>
      </c>
      <c r="F65" s="28" t="s">
        <v>338</v>
      </c>
      <c r="G65" s="7" t="str">
        <f t="shared" si="1"/>
        <v>Entregar torque hasta _____ N.m</v>
      </c>
      <c r="H65" s="7" t="s">
        <v>61</v>
      </c>
      <c r="I65" s="8" t="s">
        <v>706</v>
      </c>
      <c r="J65" s="7"/>
      <c r="K65" s="7" t="s">
        <v>708</v>
      </c>
      <c r="L65" s="7" t="s">
        <v>701</v>
      </c>
      <c r="M65" s="7" t="s">
        <v>709</v>
      </c>
      <c r="N65" s="8">
        <v>1.0</v>
      </c>
      <c r="O65" s="8" t="s">
        <v>66</v>
      </c>
      <c r="P65" s="8" t="s">
        <v>67</v>
      </c>
      <c r="Q65" s="8" t="s">
        <v>68</v>
      </c>
      <c r="R65" s="7" t="s">
        <v>346</v>
      </c>
      <c r="S65" s="8" t="s">
        <v>111</v>
      </c>
      <c r="T65" s="8" t="s">
        <v>710</v>
      </c>
      <c r="U65" s="28"/>
      <c r="V65" s="28"/>
      <c r="W65" s="28"/>
    </row>
    <row r="66" ht="23.25" customHeight="1">
      <c r="A66" s="7" t="s">
        <v>711</v>
      </c>
      <c r="B66" s="8" t="s">
        <v>712</v>
      </c>
      <c r="C66" s="8" t="s">
        <v>611</v>
      </c>
      <c r="D66" s="7" t="s">
        <v>612</v>
      </c>
      <c r="E66" s="7" t="s">
        <v>76</v>
      </c>
      <c r="F66" s="7" t="s">
        <v>613</v>
      </c>
      <c r="G66" s="7" t="str">
        <f t="shared" si="1"/>
        <v>Sellar la cabina con 0 filtraciones en prueba de agua</v>
      </c>
      <c r="H66" s="7" t="s">
        <v>61</v>
      </c>
      <c r="I66" s="8" t="s">
        <v>713</v>
      </c>
      <c r="J66" s="7" t="s">
        <v>279</v>
      </c>
      <c r="K66" s="7" t="s">
        <v>280</v>
      </c>
      <c r="L66" s="7" t="s">
        <v>711</v>
      </c>
      <c r="M66" s="7" t="s">
        <v>714</v>
      </c>
      <c r="N66" s="8">
        <v>1.0</v>
      </c>
      <c r="O66" s="8" t="s">
        <v>187</v>
      </c>
      <c r="P66" s="8" t="s">
        <v>67</v>
      </c>
      <c r="Q66" s="8" t="s">
        <v>68</v>
      </c>
      <c r="R66" s="7" t="s">
        <v>285</v>
      </c>
      <c r="S66" s="8" t="s">
        <v>111</v>
      </c>
      <c r="T66" s="8" t="s">
        <v>715</v>
      </c>
      <c r="U66" s="7"/>
      <c r="V66" s="7"/>
      <c r="W66" s="7"/>
    </row>
    <row r="67" ht="23.25" customHeight="1">
      <c r="A67" s="7" t="s">
        <v>716</v>
      </c>
      <c r="B67" s="8" t="s">
        <v>710</v>
      </c>
      <c r="C67" s="8" t="s">
        <v>717</v>
      </c>
      <c r="D67" s="7" t="s">
        <v>718</v>
      </c>
      <c r="E67" s="7" t="s">
        <v>719</v>
      </c>
      <c r="F67" s="7" t="s">
        <v>155</v>
      </c>
      <c r="G67" s="7" t="str">
        <f t="shared" si="1"/>
        <v>Retener el combustible a presión de prueba de 0,3 bar</v>
      </c>
      <c r="H67" s="7" t="s">
        <v>79</v>
      </c>
      <c r="I67" s="8" t="s">
        <v>720</v>
      </c>
      <c r="J67" s="7"/>
      <c r="K67" s="7" t="s">
        <v>721</v>
      </c>
      <c r="L67" s="7" t="s">
        <v>722</v>
      </c>
      <c r="M67" s="7" t="s">
        <v>723</v>
      </c>
      <c r="N67" s="8">
        <v>1.0</v>
      </c>
      <c r="O67" s="8" t="s">
        <v>724</v>
      </c>
      <c r="P67" s="8" t="s">
        <v>86</v>
      </c>
      <c r="Q67" s="8" t="s">
        <v>68</v>
      </c>
      <c r="R67" s="7" t="s">
        <v>725</v>
      </c>
      <c r="S67" s="8" t="s">
        <v>726</v>
      </c>
      <c r="T67" s="8" t="s">
        <v>71</v>
      </c>
      <c r="U67" s="7"/>
      <c r="V67" s="7"/>
      <c r="W67" s="7"/>
    </row>
    <row r="68" ht="15.0" customHeight="1">
      <c r="A68" s="7" t="s">
        <v>728</v>
      </c>
      <c r="B68" s="8" t="s">
        <v>729</v>
      </c>
      <c r="C68" s="8" t="s">
        <v>499</v>
      </c>
      <c r="D68" s="7" t="s">
        <v>301</v>
      </c>
      <c r="E68" s="7" t="s">
        <v>290</v>
      </c>
      <c r="F68" s="7" t="s">
        <v>291</v>
      </c>
      <c r="G68" s="7" t="str">
        <f t="shared" si="1"/>
        <v>Almacenar energía eléctrica con tensión mínima de 19,2 V</v>
      </c>
      <c r="H68" s="7" t="s">
        <v>61</v>
      </c>
      <c r="I68" s="8" t="s">
        <v>731</v>
      </c>
      <c r="J68" s="7"/>
      <c r="K68" s="7" t="s">
        <v>733</v>
      </c>
      <c r="L68" s="7" t="s">
        <v>735</v>
      </c>
      <c r="M68" s="7" t="s">
        <v>736</v>
      </c>
      <c r="N68" s="8">
        <v>1.0</v>
      </c>
      <c r="O68" s="8" t="s">
        <v>66</v>
      </c>
      <c r="P68" s="8" t="s">
        <v>67</v>
      </c>
      <c r="Q68" s="8" t="s">
        <v>68</v>
      </c>
      <c r="R68" s="7" t="s">
        <v>297</v>
      </c>
      <c r="S68" s="8" t="s">
        <v>111</v>
      </c>
      <c r="T68" s="8" t="s">
        <v>737</v>
      </c>
      <c r="U68" s="7"/>
      <c r="V68" s="7"/>
      <c r="W68" s="7"/>
    </row>
    <row r="69" ht="29.25" customHeight="1">
      <c r="A69" s="7" t="s">
        <v>738</v>
      </c>
      <c r="B69" s="8" t="s">
        <v>739</v>
      </c>
      <c r="C69" s="8" t="s">
        <v>740</v>
      </c>
      <c r="D69" s="7" t="s">
        <v>741</v>
      </c>
      <c r="E69" s="28" t="s">
        <v>742</v>
      </c>
      <c r="F69" s="28" t="s">
        <v>743</v>
      </c>
      <c r="G69" s="7" t="str">
        <f t="shared" si="1"/>
        <v>Evitar el vuelco de la plataforma con momento de 107 kN·m</v>
      </c>
      <c r="H69" s="7" t="s">
        <v>79</v>
      </c>
      <c r="I69" s="8" t="s">
        <v>744</v>
      </c>
      <c r="J69" s="7"/>
      <c r="K69" s="7" t="s">
        <v>745</v>
      </c>
      <c r="L69" s="7" t="s">
        <v>738</v>
      </c>
      <c r="M69" s="7" t="s">
        <v>747</v>
      </c>
      <c r="N69" s="8">
        <v>1.0</v>
      </c>
      <c r="O69" s="8" t="s">
        <v>85</v>
      </c>
      <c r="P69" s="8" t="s">
        <v>67</v>
      </c>
      <c r="Q69" s="8" t="s">
        <v>68</v>
      </c>
      <c r="R69" s="7" t="s">
        <v>748</v>
      </c>
      <c r="S69" s="8" t="s">
        <v>111</v>
      </c>
      <c r="T69" s="8" t="s">
        <v>749</v>
      </c>
      <c r="U69" s="28"/>
      <c r="V69" s="28"/>
      <c r="W69" s="28"/>
    </row>
    <row r="70" ht="15.0" customHeight="1">
      <c r="A70" s="7" t="s">
        <v>750</v>
      </c>
      <c r="B70" s="8" t="s">
        <v>751</v>
      </c>
      <c r="C70" s="8" t="s">
        <v>309</v>
      </c>
      <c r="D70" s="7" t="s">
        <v>310</v>
      </c>
      <c r="E70" s="7" t="s">
        <v>311</v>
      </c>
      <c r="F70" s="7" t="s">
        <v>155</v>
      </c>
      <c r="G70" s="7" t="str">
        <f t="shared" si="1"/>
        <v>Presurizar los cilindros de freno entre 3,7 y 3,9 bar</v>
      </c>
      <c r="H70" s="7" t="s">
        <v>79</v>
      </c>
      <c r="I70" s="8" t="s">
        <v>753</v>
      </c>
      <c r="J70" s="7" t="s">
        <v>315</v>
      </c>
      <c r="K70" s="7" t="s">
        <v>316</v>
      </c>
      <c r="L70" s="7" t="s">
        <v>317</v>
      </c>
      <c r="M70" s="7" t="s">
        <v>754</v>
      </c>
      <c r="N70" s="8">
        <v>1.0</v>
      </c>
      <c r="O70" s="8" t="s">
        <v>85</v>
      </c>
      <c r="P70" s="8" t="s">
        <v>86</v>
      </c>
      <c r="Q70" s="8" t="s">
        <v>68</v>
      </c>
      <c r="R70" s="7" t="s">
        <v>208</v>
      </c>
      <c r="S70" s="8" t="s">
        <v>89</v>
      </c>
      <c r="T70" s="8" t="s">
        <v>71</v>
      </c>
      <c r="U70" s="7"/>
      <c r="V70" s="7"/>
      <c r="W70" s="7"/>
    </row>
    <row r="71" ht="15.0" customHeight="1">
      <c r="A71" s="7" t="s">
        <v>755</v>
      </c>
      <c r="B71" s="8" t="s">
        <v>756</v>
      </c>
      <c r="C71" s="8" t="s">
        <v>335</v>
      </c>
      <c r="D71" s="7" t="s">
        <v>530</v>
      </c>
      <c r="E71" s="7" t="s">
        <v>758</v>
      </c>
      <c r="F71" s="7"/>
      <c r="G71" s="7" t="str">
        <f t="shared" si="1"/>
        <v>Transmitir la fuerza a zapatas hasta detener el vehiculo</v>
      </c>
      <c r="H71" s="7" t="s">
        <v>79</v>
      </c>
      <c r="I71" s="8" t="s">
        <v>759</v>
      </c>
      <c r="J71" s="7"/>
      <c r="K71" s="7" t="s">
        <v>760</v>
      </c>
      <c r="L71" s="7" t="s">
        <v>761</v>
      </c>
      <c r="M71" s="7" t="s">
        <v>762</v>
      </c>
      <c r="N71" s="8">
        <v>1.0</v>
      </c>
      <c r="O71" s="8" t="s">
        <v>85</v>
      </c>
      <c r="P71" s="8" t="s">
        <v>67</v>
      </c>
      <c r="Q71" s="8" t="s">
        <v>68</v>
      </c>
      <c r="R71" s="7" t="s">
        <v>657</v>
      </c>
      <c r="S71" s="8" t="s">
        <v>111</v>
      </c>
      <c r="T71" s="8" t="s">
        <v>763</v>
      </c>
      <c r="U71" s="7"/>
      <c r="V71" s="7"/>
      <c r="W71" s="7"/>
    </row>
    <row r="72" ht="15.0" customHeight="1">
      <c r="A72" s="7" t="s">
        <v>765</v>
      </c>
      <c r="B72" s="8" t="s">
        <v>766</v>
      </c>
      <c r="C72" s="8" t="s">
        <v>767</v>
      </c>
      <c r="D72" s="7" t="s">
        <v>768</v>
      </c>
      <c r="E72" s="28" t="s">
        <v>194</v>
      </c>
      <c r="F72" s="28"/>
      <c r="G72" s="7" t="str">
        <f t="shared" si="1"/>
        <v>Elevar la presión del combustible [ESTÁNDAR POR CONFIRMAR]</v>
      </c>
      <c r="H72" s="7" t="s">
        <v>61</v>
      </c>
      <c r="I72" s="8" t="s">
        <v>772</v>
      </c>
      <c r="J72" s="7"/>
      <c r="K72" s="7" t="s">
        <v>773</v>
      </c>
      <c r="L72" s="7" t="s">
        <v>774</v>
      </c>
      <c r="M72" s="7" t="s">
        <v>775</v>
      </c>
      <c r="N72" s="8">
        <v>1.0</v>
      </c>
      <c r="O72" s="8" t="s">
        <v>66</v>
      </c>
      <c r="P72" s="8" t="s">
        <v>67</v>
      </c>
      <c r="Q72" s="8" t="s">
        <v>87</v>
      </c>
      <c r="R72" s="7" t="s">
        <v>776</v>
      </c>
      <c r="S72" s="8" t="s">
        <v>111</v>
      </c>
      <c r="T72" s="8" t="s">
        <v>751</v>
      </c>
      <c r="U72" s="28"/>
      <c r="V72" s="28"/>
      <c r="W72" s="28"/>
    </row>
    <row r="73" ht="15.0" customHeight="1">
      <c r="A73" s="7" t="s">
        <v>778</v>
      </c>
      <c r="B73" s="8" t="s">
        <v>779</v>
      </c>
      <c r="C73" s="8" t="s">
        <v>143</v>
      </c>
      <c r="D73" s="7" t="s">
        <v>349</v>
      </c>
      <c r="E73" s="28" t="s">
        <v>194</v>
      </c>
      <c r="F73" s="28"/>
      <c r="G73" s="7" t="str">
        <f t="shared" si="1"/>
        <v>Entregar potencia mecánica [ESTÁNDAR POR CONFIRMAR]</v>
      </c>
      <c r="H73" s="7" t="s">
        <v>61</v>
      </c>
      <c r="I73" s="8" t="s">
        <v>780</v>
      </c>
      <c r="J73" s="7"/>
      <c r="K73" s="7" t="s">
        <v>781</v>
      </c>
      <c r="L73" s="7" t="s">
        <v>778</v>
      </c>
      <c r="M73" s="7" t="s">
        <v>783</v>
      </c>
      <c r="N73" s="8">
        <v>1.0</v>
      </c>
      <c r="O73" s="8" t="s">
        <v>66</v>
      </c>
      <c r="P73" s="8" t="s">
        <v>67</v>
      </c>
      <c r="Q73" s="8" t="s">
        <v>68</v>
      </c>
      <c r="R73" s="7" t="s">
        <v>784</v>
      </c>
      <c r="S73" s="8" t="s">
        <v>111</v>
      </c>
      <c r="T73" s="8" t="s">
        <v>756</v>
      </c>
      <c r="U73" s="28"/>
      <c r="V73" s="28"/>
      <c r="W73" s="28"/>
    </row>
    <row r="74" ht="15.0" customHeight="1">
      <c r="A74" s="7" t="s">
        <v>787</v>
      </c>
      <c r="B74" s="8" t="s">
        <v>788</v>
      </c>
      <c r="C74" s="8" t="s">
        <v>335</v>
      </c>
      <c r="D74" s="7" t="s">
        <v>336</v>
      </c>
      <c r="E74" s="28" t="s">
        <v>194</v>
      </c>
      <c r="F74" s="28"/>
      <c r="G74" s="7" t="str">
        <f t="shared" si="1"/>
        <v>Transmitir el par motriz [ESTÁNDAR POR CONFIRMAR]</v>
      </c>
      <c r="H74" s="7" t="s">
        <v>61</v>
      </c>
      <c r="I74" s="8" t="s">
        <v>790</v>
      </c>
      <c r="J74" s="7"/>
      <c r="K74" s="7" t="s">
        <v>791</v>
      </c>
      <c r="L74" s="7" t="s">
        <v>792</v>
      </c>
      <c r="M74" s="7" t="s">
        <v>793</v>
      </c>
      <c r="N74" s="8">
        <v>2.0</v>
      </c>
      <c r="O74" s="8" t="s">
        <v>66</v>
      </c>
      <c r="P74" s="8" t="s">
        <v>67</v>
      </c>
      <c r="Q74" s="8" t="s">
        <v>68</v>
      </c>
      <c r="R74" s="7" t="s">
        <v>346</v>
      </c>
      <c r="S74" s="8" t="s">
        <v>111</v>
      </c>
      <c r="T74" s="8" t="s">
        <v>794</v>
      </c>
      <c r="U74" s="28"/>
      <c r="V74" s="28"/>
      <c r="W74" s="28"/>
    </row>
    <row r="75" ht="23.25" customHeight="1">
      <c r="A75" s="7" t="s">
        <v>795</v>
      </c>
      <c r="B75" s="8" t="s">
        <v>796</v>
      </c>
      <c r="C75" s="8" t="s">
        <v>798</v>
      </c>
      <c r="D75" s="7" t="s">
        <v>799</v>
      </c>
      <c r="E75" s="7" t="s">
        <v>800</v>
      </c>
      <c r="F75" s="7" t="s">
        <v>801</v>
      </c>
      <c r="G75" s="7" t="str">
        <f t="shared" si="1"/>
        <v>Recorrer curvas de radio mínimo de 90 m</v>
      </c>
      <c r="H75" s="7" t="s">
        <v>79</v>
      </c>
      <c r="I75" s="8" t="s">
        <v>802</v>
      </c>
      <c r="J75" s="7" t="s">
        <v>803</v>
      </c>
      <c r="K75" s="7"/>
      <c r="L75" s="7" t="s">
        <v>795</v>
      </c>
      <c r="M75" s="7" t="s">
        <v>804</v>
      </c>
      <c r="N75" s="8">
        <v>1.0</v>
      </c>
      <c r="O75" s="8" t="s">
        <v>85</v>
      </c>
      <c r="P75" s="8" t="s">
        <v>86</v>
      </c>
      <c r="Q75" s="8" t="s">
        <v>68</v>
      </c>
      <c r="R75" s="7" t="s">
        <v>807</v>
      </c>
      <c r="S75" s="8" t="s">
        <v>111</v>
      </c>
      <c r="T75" s="8" t="s">
        <v>71</v>
      </c>
      <c r="U75" s="7"/>
      <c r="V75" s="7"/>
      <c r="W75" s="7"/>
    </row>
    <row r="76" ht="15.0" customHeight="1">
      <c r="A76" s="7" t="s">
        <v>809</v>
      </c>
      <c r="B76" s="8" t="s">
        <v>810</v>
      </c>
      <c r="C76" s="8" t="s">
        <v>232</v>
      </c>
      <c r="D76" s="7" t="s">
        <v>165</v>
      </c>
      <c r="E76" s="28" t="s">
        <v>374</v>
      </c>
      <c r="F76" s="28" t="s">
        <v>155</v>
      </c>
      <c r="G76" s="7" t="str">
        <f t="shared" si="1"/>
        <v>Comprimir el aire a una presión de _____ bar</v>
      </c>
      <c r="H76" s="7" t="s">
        <v>61</v>
      </c>
      <c r="I76" s="8" t="s">
        <v>811</v>
      </c>
      <c r="J76" s="7"/>
      <c r="K76" s="7" t="s">
        <v>376</v>
      </c>
      <c r="L76" s="7" t="s">
        <v>812</v>
      </c>
      <c r="M76" s="7" t="s">
        <v>814</v>
      </c>
      <c r="N76" s="8">
        <v>2.0</v>
      </c>
      <c r="O76" s="8" t="s">
        <v>66</v>
      </c>
      <c r="P76" s="8" t="s">
        <v>67</v>
      </c>
      <c r="Q76" s="8" t="s">
        <v>68</v>
      </c>
      <c r="R76" s="7" t="s">
        <v>379</v>
      </c>
      <c r="S76" s="8" t="s">
        <v>111</v>
      </c>
      <c r="T76" s="8" t="s">
        <v>303</v>
      </c>
      <c r="U76" s="28"/>
      <c r="V76" s="28"/>
      <c r="W76" s="28" t="s">
        <v>305</v>
      </c>
    </row>
    <row r="77" ht="15.0" customHeight="1">
      <c r="A77" s="7" t="s">
        <v>809</v>
      </c>
      <c r="B77" s="8" t="s">
        <v>815</v>
      </c>
      <c r="C77" s="8" t="s">
        <v>192</v>
      </c>
      <c r="D77" s="7" t="s">
        <v>223</v>
      </c>
      <c r="E77" s="28" t="s">
        <v>194</v>
      </c>
      <c r="F77" s="28"/>
      <c r="G77" s="7" t="str">
        <f t="shared" si="1"/>
        <v>Suministrar caudal de aire [ESTÁNDAR POR CONFIRMAR]</v>
      </c>
      <c r="H77" s="7" t="s">
        <v>61</v>
      </c>
      <c r="I77" s="8" t="s">
        <v>811</v>
      </c>
      <c r="J77" s="7"/>
      <c r="K77" s="7" t="s">
        <v>696</v>
      </c>
      <c r="L77" s="7" t="s">
        <v>812</v>
      </c>
      <c r="M77" s="7" t="s">
        <v>814</v>
      </c>
      <c r="N77" s="8">
        <v>2.0</v>
      </c>
      <c r="O77" s="8" t="s">
        <v>66</v>
      </c>
      <c r="P77" s="8" t="s">
        <v>86</v>
      </c>
      <c r="Q77" s="8" t="s">
        <v>68</v>
      </c>
      <c r="R77" s="7" t="s">
        <v>228</v>
      </c>
      <c r="S77" s="8" t="s">
        <v>111</v>
      </c>
      <c r="T77" s="8" t="s">
        <v>817</v>
      </c>
      <c r="U77" s="28"/>
      <c r="V77" s="28"/>
      <c r="W77" s="28"/>
    </row>
    <row r="78" ht="15.0" customHeight="1">
      <c r="A78" s="7" t="s">
        <v>818</v>
      </c>
      <c r="B78" s="8" t="s">
        <v>819</v>
      </c>
      <c r="C78" s="8" t="s">
        <v>192</v>
      </c>
      <c r="D78" s="7" t="s">
        <v>193</v>
      </c>
      <c r="E78" s="28" t="s">
        <v>194</v>
      </c>
      <c r="F78" s="28"/>
      <c r="G78" s="7" t="str">
        <f t="shared" si="1"/>
        <v>Suministrar caudal de aceite [ESTÁNDAR POR CONFIRMAR]</v>
      </c>
      <c r="H78" s="7" t="s">
        <v>61</v>
      </c>
      <c r="I78" s="8" t="s">
        <v>821</v>
      </c>
      <c r="J78" s="7"/>
      <c r="K78" s="7" t="s">
        <v>199</v>
      </c>
      <c r="L78" s="7" t="s">
        <v>822</v>
      </c>
      <c r="M78" s="7" t="s">
        <v>823</v>
      </c>
      <c r="N78" s="8">
        <v>2.0</v>
      </c>
      <c r="O78" s="8" t="s">
        <v>66</v>
      </c>
      <c r="P78" s="8" t="s">
        <v>67</v>
      </c>
      <c r="Q78" s="8" t="s">
        <v>68</v>
      </c>
      <c r="R78" s="7" t="s">
        <v>202</v>
      </c>
      <c r="S78" s="8" t="s">
        <v>111</v>
      </c>
      <c r="T78" s="8" t="s">
        <v>824</v>
      </c>
      <c r="U78" s="28"/>
      <c r="V78" s="28"/>
      <c r="W78" s="28"/>
    </row>
    <row r="79" ht="26.25" customHeight="1">
      <c r="A79" s="7" t="s">
        <v>818</v>
      </c>
      <c r="B79" s="8" t="s">
        <v>826</v>
      </c>
      <c r="C79" s="8" t="s">
        <v>204</v>
      </c>
      <c r="D79" s="7" t="s">
        <v>205</v>
      </c>
      <c r="E79" s="28" t="s">
        <v>194</v>
      </c>
      <c r="F79" s="28"/>
      <c r="G79" s="7" t="str">
        <f t="shared" si="1"/>
        <v>Generar presión hidráulica [ESTÁNDAR POR CONFIRMAR]</v>
      </c>
      <c r="H79" s="7" t="s">
        <v>61</v>
      </c>
      <c r="I79" s="8" t="s">
        <v>821</v>
      </c>
      <c r="J79" s="7"/>
      <c r="K79" s="7" t="s">
        <v>206</v>
      </c>
      <c r="L79" s="7" t="s">
        <v>822</v>
      </c>
      <c r="M79" s="7" t="s">
        <v>823</v>
      </c>
      <c r="N79" s="8">
        <v>2.0</v>
      </c>
      <c r="O79" s="8" t="s">
        <v>66</v>
      </c>
      <c r="P79" s="8" t="s">
        <v>86</v>
      </c>
      <c r="Q79" s="8" t="s">
        <v>68</v>
      </c>
      <c r="R79" s="7" t="s">
        <v>208</v>
      </c>
      <c r="S79" s="8" t="s">
        <v>111</v>
      </c>
      <c r="T79" s="8" t="s">
        <v>71</v>
      </c>
      <c r="U79" s="28"/>
      <c r="V79" s="28"/>
      <c r="W79" s="28"/>
    </row>
    <row r="80" ht="15.0" customHeight="1">
      <c r="A80" s="7" t="s">
        <v>829</v>
      </c>
      <c r="B80" s="8" t="s">
        <v>830</v>
      </c>
      <c r="C80" s="8" t="s">
        <v>143</v>
      </c>
      <c r="D80" s="7" t="s">
        <v>832</v>
      </c>
      <c r="E80" s="28" t="s">
        <v>194</v>
      </c>
      <c r="F80" s="28"/>
      <c r="G80" s="7" t="str">
        <f t="shared" si="1"/>
        <v>Entregar par de giro [ESTÁNDAR POR CONFIRMAR]</v>
      </c>
      <c r="H80" s="7" t="s">
        <v>61</v>
      </c>
      <c r="I80" s="8" t="s">
        <v>834</v>
      </c>
      <c r="J80" s="7"/>
      <c r="K80" s="7" t="s">
        <v>708</v>
      </c>
      <c r="L80" s="7" t="s">
        <v>835</v>
      </c>
      <c r="M80" s="7" t="s">
        <v>837</v>
      </c>
      <c r="N80" s="8">
        <v>2.0</v>
      </c>
      <c r="O80" s="8" t="s">
        <v>66</v>
      </c>
      <c r="P80" s="8" t="s">
        <v>67</v>
      </c>
      <c r="Q80" s="8" t="s">
        <v>68</v>
      </c>
      <c r="R80" s="7" t="s">
        <v>346</v>
      </c>
      <c r="S80" s="8" t="s">
        <v>111</v>
      </c>
      <c r="T80" s="8" t="s">
        <v>838</v>
      </c>
      <c r="U80" s="28"/>
      <c r="V80" s="28"/>
      <c r="W80" s="28"/>
    </row>
    <row r="81" ht="15.0" customHeight="1">
      <c r="A81" s="7" t="s">
        <v>839</v>
      </c>
      <c r="B81" s="8" t="s">
        <v>840</v>
      </c>
      <c r="C81" s="8" t="s">
        <v>611</v>
      </c>
      <c r="D81" s="7" t="s">
        <v>612</v>
      </c>
      <c r="E81" s="7" t="s">
        <v>76</v>
      </c>
      <c r="F81" s="7" t="s">
        <v>613</v>
      </c>
      <c r="G81" s="7" t="str">
        <f t="shared" si="1"/>
        <v>Sellar la cabina con 0 filtraciones en prueba de agua</v>
      </c>
      <c r="H81" s="7" t="s">
        <v>61</v>
      </c>
      <c r="I81" s="8" t="s">
        <v>841</v>
      </c>
      <c r="J81" s="7" t="s">
        <v>279</v>
      </c>
      <c r="K81" s="7"/>
      <c r="L81" s="7" t="s">
        <v>616</v>
      </c>
      <c r="M81" s="7" t="s">
        <v>843</v>
      </c>
      <c r="N81" s="8">
        <v>2.0</v>
      </c>
      <c r="O81" s="8" t="s">
        <v>187</v>
      </c>
      <c r="P81" s="8" t="s">
        <v>67</v>
      </c>
      <c r="Q81" s="8" t="s">
        <v>68</v>
      </c>
      <c r="R81" s="7" t="s">
        <v>285</v>
      </c>
      <c r="S81" s="8" t="s">
        <v>111</v>
      </c>
      <c r="T81" s="8" t="s">
        <v>845</v>
      </c>
      <c r="U81" s="7"/>
      <c r="V81" s="7"/>
      <c r="W81" s="7"/>
    </row>
    <row r="82" ht="23.25" customHeight="1">
      <c r="A82" s="7" t="s">
        <v>846</v>
      </c>
      <c r="B82" s="8" t="s">
        <v>847</v>
      </c>
      <c r="C82" s="8" t="s">
        <v>192</v>
      </c>
      <c r="D82" s="7" t="s">
        <v>289</v>
      </c>
      <c r="E82" s="7" t="s">
        <v>290</v>
      </c>
      <c r="F82" s="7" t="s">
        <v>291</v>
      </c>
      <c r="G82" s="7" t="str">
        <f t="shared" si="1"/>
        <v>Suministrar la corriente de arranque con tensión mínima de 19,2 V</v>
      </c>
      <c r="H82" s="7" t="s">
        <v>61</v>
      </c>
      <c r="I82" s="8" t="s">
        <v>849</v>
      </c>
      <c r="J82" s="7" t="s">
        <v>850</v>
      </c>
      <c r="K82" s="7" t="s">
        <v>733</v>
      </c>
      <c r="L82" s="7" t="s">
        <v>628</v>
      </c>
      <c r="M82" s="7" t="s">
        <v>851</v>
      </c>
      <c r="N82" s="8">
        <v>2.0</v>
      </c>
      <c r="O82" s="8" t="s">
        <v>66</v>
      </c>
      <c r="P82" s="8" t="s">
        <v>67</v>
      </c>
      <c r="Q82" s="8" t="s">
        <v>68</v>
      </c>
      <c r="R82" s="7" t="s">
        <v>297</v>
      </c>
      <c r="S82" s="8" t="s">
        <v>111</v>
      </c>
      <c r="T82" s="8" t="s">
        <v>852</v>
      </c>
      <c r="U82" s="7"/>
      <c r="V82" s="7"/>
      <c r="W82" s="7"/>
    </row>
    <row r="83" ht="23.25" customHeight="1">
      <c r="A83" s="7" t="s">
        <v>846</v>
      </c>
      <c r="B83" s="8" t="s">
        <v>853</v>
      </c>
      <c r="C83" s="8" t="s">
        <v>300</v>
      </c>
      <c r="D83" s="7" t="s">
        <v>301</v>
      </c>
      <c r="E83" s="7" t="s">
        <v>290</v>
      </c>
      <c r="F83" s="7" t="s">
        <v>291</v>
      </c>
      <c r="G83" s="7" t="str">
        <f t="shared" si="1"/>
        <v>Almacenar energía eléctrica con tensión mínima de 19,2 V</v>
      </c>
      <c r="H83" s="7" t="s">
        <v>61</v>
      </c>
      <c r="I83" s="8" t="s">
        <v>849</v>
      </c>
      <c r="J83" s="7"/>
      <c r="K83" s="7" t="s">
        <v>302</v>
      </c>
      <c r="L83" s="7" t="s">
        <v>628</v>
      </c>
      <c r="M83" s="7" t="s">
        <v>851</v>
      </c>
      <c r="N83" s="8">
        <v>2.0</v>
      </c>
      <c r="O83" s="8" t="s">
        <v>66</v>
      </c>
      <c r="P83" s="8" t="s">
        <v>67</v>
      </c>
      <c r="Q83" s="8" t="s">
        <v>68</v>
      </c>
      <c r="R83" s="7" t="s">
        <v>297</v>
      </c>
      <c r="S83" s="8" t="s">
        <v>111</v>
      </c>
      <c r="T83" s="8" t="s">
        <v>303</v>
      </c>
      <c r="U83" s="7"/>
      <c r="V83" s="7"/>
      <c r="W83" s="7" t="s">
        <v>305</v>
      </c>
    </row>
    <row r="84" ht="21.75" customHeight="1">
      <c r="A84" s="7" t="s">
        <v>858</v>
      </c>
      <c r="B84" s="8" t="s">
        <v>859</v>
      </c>
      <c r="C84" s="8" t="s">
        <v>767</v>
      </c>
      <c r="D84" s="7" t="s">
        <v>860</v>
      </c>
      <c r="E84" s="7" t="s">
        <v>742</v>
      </c>
      <c r="F84" s="7" t="s">
        <v>743</v>
      </c>
      <c r="G84" s="7" t="str">
        <f t="shared" si="1"/>
        <v>Elevar las cargas con momento de 107 kN·m</v>
      </c>
      <c r="H84" s="7" t="s">
        <v>79</v>
      </c>
      <c r="I84" s="8" t="s">
        <v>861</v>
      </c>
      <c r="J84" s="7" t="s">
        <v>862</v>
      </c>
      <c r="K84" s="7"/>
      <c r="L84" s="7" t="s">
        <v>863</v>
      </c>
      <c r="M84" s="7" t="s">
        <v>864</v>
      </c>
      <c r="N84" s="8">
        <v>2.0</v>
      </c>
      <c r="O84" s="8" t="s">
        <v>66</v>
      </c>
      <c r="P84" s="8" t="s">
        <v>67</v>
      </c>
      <c r="Q84" s="8" t="s">
        <v>68</v>
      </c>
      <c r="R84" s="7" t="s">
        <v>866</v>
      </c>
      <c r="S84" s="8" t="s">
        <v>111</v>
      </c>
      <c r="T84" s="8" t="s">
        <v>867</v>
      </c>
      <c r="U84" s="7"/>
      <c r="V84" s="7"/>
      <c r="W84" s="7"/>
    </row>
    <row r="85" ht="15.0" customHeight="1">
      <c r="A85" s="7" t="s">
        <v>868</v>
      </c>
      <c r="B85" s="8" t="s">
        <v>869</v>
      </c>
      <c r="C85" s="8" t="s">
        <v>55</v>
      </c>
      <c r="D85" s="7" t="s">
        <v>870</v>
      </c>
      <c r="E85" s="7" t="s">
        <v>871</v>
      </c>
      <c r="F85" s="7" t="s">
        <v>872</v>
      </c>
      <c r="G85" s="7" t="str">
        <f t="shared" si="1"/>
        <v>Transportar material hasta 1.000 kg</v>
      </c>
      <c r="H85" s="7" t="s">
        <v>61</v>
      </c>
      <c r="I85" s="8" t="s">
        <v>873</v>
      </c>
      <c r="J85" s="7" t="s">
        <v>803</v>
      </c>
      <c r="K85" s="7" t="s">
        <v>875</v>
      </c>
      <c r="L85" s="7" t="s">
        <v>876</v>
      </c>
      <c r="M85" s="7" t="s">
        <v>877</v>
      </c>
      <c r="N85" s="8">
        <v>1.0</v>
      </c>
      <c r="O85" s="8" t="s">
        <v>66</v>
      </c>
      <c r="P85" s="8" t="s">
        <v>67</v>
      </c>
      <c r="Q85" s="8" t="s">
        <v>68</v>
      </c>
      <c r="R85" s="7" t="s">
        <v>878</v>
      </c>
      <c r="S85" s="8" t="s">
        <v>111</v>
      </c>
      <c r="T85" s="8" t="s">
        <v>879</v>
      </c>
      <c r="U85" s="7"/>
      <c r="V85" s="7"/>
      <c r="W85" s="7"/>
    </row>
    <row r="86" ht="15.0" customHeight="1">
      <c r="A86" s="7" t="s">
        <v>880</v>
      </c>
      <c r="B86" s="8" t="s">
        <v>881</v>
      </c>
      <c r="C86" s="8" t="s">
        <v>335</v>
      </c>
      <c r="D86" s="7" t="s">
        <v>530</v>
      </c>
      <c r="E86" s="7" t="s">
        <v>531</v>
      </c>
      <c r="F86" s="7" t="s">
        <v>268</v>
      </c>
      <c r="G86" s="7" t="str">
        <f t="shared" si="1"/>
        <v>Transmitir la fuerza a zapatas con juego de 5 a 7 mm</v>
      </c>
      <c r="H86" s="7" t="s">
        <v>79</v>
      </c>
      <c r="I86" s="8" t="s">
        <v>883</v>
      </c>
      <c r="J86" s="7" t="s">
        <v>533</v>
      </c>
      <c r="K86" s="7" t="s">
        <v>534</v>
      </c>
      <c r="L86" s="7" t="s">
        <v>884</v>
      </c>
      <c r="M86" s="7" t="s">
        <v>885</v>
      </c>
      <c r="N86" s="8">
        <v>2.0</v>
      </c>
      <c r="O86" s="8" t="s">
        <v>85</v>
      </c>
      <c r="P86" s="8" t="s">
        <v>67</v>
      </c>
      <c r="Q86" s="8" t="s">
        <v>68</v>
      </c>
      <c r="R86" s="7" t="s">
        <v>537</v>
      </c>
      <c r="S86" s="8" t="s">
        <v>111</v>
      </c>
      <c r="T86" s="8" t="s">
        <v>886</v>
      </c>
      <c r="U86" s="7"/>
      <c r="V86" s="7"/>
      <c r="W86" s="7"/>
    </row>
    <row r="87" ht="23.25" customHeight="1">
      <c r="A87" s="7" t="s">
        <v>888</v>
      </c>
      <c r="B87" s="8" t="s">
        <v>889</v>
      </c>
      <c r="C87" s="8" t="s">
        <v>890</v>
      </c>
      <c r="D87" s="7" t="s">
        <v>891</v>
      </c>
      <c r="E87" s="28" t="s">
        <v>194</v>
      </c>
      <c r="F87" s="28"/>
      <c r="G87" s="7" t="str">
        <f t="shared" si="1"/>
        <v>Medir la altura del hilo [ESTÁNDAR POR CONFIRMAR]</v>
      </c>
      <c r="H87" s="7" t="s">
        <v>61</v>
      </c>
      <c r="I87" s="8" t="s">
        <v>894</v>
      </c>
      <c r="J87" s="7"/>
      <c r="K87" s="7" t="s">
        <v>895</v>
      </c>
      <c r="L87" s="7" t="s">
        <v>896</v>
      </c>
      <c r="M87" s="7" t="s">
        <v>897</v>
      </c>
      <c r="N87" s="8">
        <v>1.0</v>
      </c>
      <c r="O87" s="8" t="s">
        <v>550</v>
      </c>
      <c r="P87" s="8" t="s">
        <v>67</v>
      </c>
      <c r="Q87" s="8" t="s">
        <v>87</v>
      </c>
      <c r="R87" s="7" t="s">
        <v>551</v>
      </c>
      <c r="S87" s="8" t="s">
        <v>111</v>
      </c>
      <c r="T87" s="8" t="s">
        <v>815</v>
      </c>
      <c r="U87" s="28"/>
      <c r="V87" s="28"/>
      <c r="W87" s="28"/>
    </row>
    <row r="88" ht="15.0" customHeight="1">
      <c r="A88" s="7" t="s">
        <v>888</v>
      </c>
      <c r="B88" s="8" t="s">
        <v>899</v>
      </c>
      <c r="C88" s="8" t="s">
        <v>890</v>
      </c>
      <c r="D88" s="7" t="s">
        <v>900</v>
      </c>
      <c r="E88" s="28" t="s">
        <v>901</v>
      </c>
      <c r="F88" s="28" t="s">
        <v>268</v>
      </c>
      <c r="G88" s="7" t="str">
        <f t="shared" si="1"/>
        <v>Medir el descentramiento del hilo con exactitud de ±_____ mm</v>
      </c>
      <c r="H88" s="7" t="s">
        <v>61</v>
      </c>
      <c r="I88" s="8" t="s">
        <v>894</v>
      </c>
      <c r="J88" s="7"/>
      <c r="K88" s="7" t="s">
        <v>895</v>
      </c>
      <c r="L88" s="7" t="s">
        <v>896</v>
      </c>
      <c r="M88" s="7" t="s">
        <v>897</v>
      </c>
      <c r="N88" s="8">
        <v>1.0</v>
      </c>
      <c r="O88" s="8" t="s">
        <v>550</v>
      </c>
      <c r="P88" s="8" t="s">
        <v>86</v>
      </c>
      <c r="Q88" s="8" t="s">
        <v>87</v>
      </c>
      <c r="R88" s="7" t="s">
        <v>551</v>
      </c>
      <c r="S88" s="8" t="s">
        <v>111</v>
      </c>
      <c r="T88" s="8" t="s">
        <v>71</v>
      </c>
      <c r="U88" s="28" t="s">
        <v>903</v>
      </c>
      <c r="V88" s="28" t="s">
        <v>904</v>
      </c>
      <c r="W88" s="28" t="s">
        <v>905</v>
      </c>
    </row>
    <row r="89" ht="15.0" customHeight="1">
      <c r="A89" s="7" t="s">
        <v>906</v>
      </c>
      <c r="B89" s="8" t="s">
        <v>907</v>
      </c>
      <c r="C89" s="8" t="s">
        <v>152</v>
      </c>
      <c r="D89" s="7" t="s">
        <v>908</v>
      </c>
      <c r="E89" s="7" t="s">
        <v>909</v>
      </c>
      <c r="F89" s="7" t="s">
        <v>544</v>
      </c>
      <c r="G89" s="7" t="str">
        <f t="shared" si="1"/>
        <v>Mantener la fuerza de contacto de 60 a 140 N</v>
      </c>
      <c r="H89" s="7" t="s">
        <v>61</v>
      </c>
      <c r="I89" s="8" t="s">
        <v>911</v>
      </c>
      <c r="J89" s="7" t="s">
        <v>912</v>
      </c>
      <c r="K89" s="7" t="s">
        <v>913</v>
      </c>
      <c r="L89" s="7" t="s">
        <v>914</v>
      </c>
      <c r="M89" s="7" t="s">
        <v>915</v>
      </c>
      <c r="N89" s="8">
        <v>2.0</v>
      </c>
      <c r="O89" s="8" t="s">
        <v>550</v>
      </c>
      <c r="P89" s="8" t="s">
        <v>67</v>
      </c>
      <c r="Q89" s="8" t="s">
        <v>68</v>
      </c>
      <c r="R89" s="7" t="s">
        <v>916</v>
      </c>
      <c r="S89" s="8" t="s">
        <v>419</v>
      </c>
      <c r="T89" s="8" t="s">
        <v>917</v>
      </c>
      <c r="U89" s="7" t="s">
        <v>918</v>
      </c>
      <c r="V89" s="7" t="s">
        <v>919</v>
      </c>
      <c r="W89" s="7" t="s">
        <v>920</v>
      </c>
    </row>
    <row r="90" ht="15.0" customHeight="1">
      <c r="A90" s="7" t="s">
        <v>921</v>
      </c>
      <c r="B90" s="8" t="s">
        <v>922</v>
      </c>
      <c r="C90" s="8" t="s">
        <v>923</v>
      </c>
      <c r="D90" s="7" t="s">
        <v>924</v>
      </c>
      <c r="E90" s="7" t="s">
        <v>925</v>
      </c>
      <c r="F90" s="7" t="s">
        <v>135</v>
      </c>
      <c r="G90" s="7" t="str">
        <f t="shared" si="1"/>
        <v>Circular por la vía hasta 40 km/h</v>
      </c>
      <c r="H90" s="7" t="s">
        <v>61</v>
      </c>
      <c r="I90" s="8" t="s">
        <v>926</v>
      </c>
      <c r="J90" s="7" t="s">
        <v>803</v>
      </c>
      <c r="K90" s="7"/>
      <c r="L90" s="7" t="s">
        <v>927</v>
      </c>
      <c r="M90" s="7" t="s">
        <v>928</v>
      </c>
      <c r="N90" s="8">
        <v>2.0</v>
      </c>
      <c r="O90" s="8" t="s">
        <v>66</v>
      </c>
      <c r="P90" s="8" t="s">
        <v>67</v>
      </c>
      <c r="Q90" s="8" t="s">
        <v>68</v>
      </c>
      <c r="R90" s="7" t="s">
        <v>929</v>
      </c>
      <c r="S90" s="8" t="s">
        <v>111</v>
      </c>
      <c r="T90" s="8" t="s">
        <v>71</v>
      </c>
      <c r="U90" s="7" t="s">
        <v>931</v>
      </c>
      <c r="V90" s="7" t="s">
        <v>904</v>
      </c>
      <c r="W90" s="7" t="s">
        <v>932</v>
      </c>
    </row>
    <row r="91" ht="23.25" customHeight="1">
      <c r="A91" s="7" t="s">
        <v>933</v>
      </c>
      <c r="B91" s="8" t="s">
        <v>934</v>
      </c>
      <c r="C91" s="8" t="s">
        <v>143</v>
      </c>
      <c r="D91" s="7" t="s">
        <v>349</v>
      </c>
      <c r="E91" s="28" t="s">
        <v>935</v>
      </c>
      <c r="F91" s="28" t="s">
        <v>351</v>
      </c>
      <c r="G91" s="7" t="str">
        <f t="shared" si="1"/>
        <v>Entregar potencia mecánica de _____ kW</v>
      </c>
      <c r="H91" s="7" t="s">
        <v>61</v>
      </c>
      <c r="I91" s="8" t="s">
        <v>937</v>
      </c>
      <c r="J91" s="7"/>
      <c r="K91" s="7" t="s">
        <v>781</v>
      </c>
      <c r="L91" s="7" t="s">
        <v>939</v>
      </c>
      <c r="M91" s="7" t="s">
        <v>941</v>
      </c>
      <c r="N91" s="8">
        <v>2.0</v>
      </c>
      <c r="O91" s="8" t="s">
        <v>66</v>
      </c>
      <c r="P91" s="8" t="s">
        <v>67</v>
      </c>
      <c r="Q91" s="8" t="s">
        <v>68</v>
      </c>
      <c r="R91" s="7" t="s">
        <v>784</v>
      </c>
      <c r="S91" s="8" t="s">
        <v>111</v>
      </c>
      <c r="T91" s="8" t="s">
        <v>942</v>
      </c>
      <c r="U91" s="28" t="s">
        <v>943</v>
      </c>
      <c r="V91" s="28" t="s">
        <v>944</v>
      </c>
      <c r="W91" s="28" t="s">
        <v>945</v>
      </c>
    </row>
    <row r="92" ht="23.25" customHeight="1">
      <c r="A92" s="7" t="s">
        <v>946</v>
      </c>
      <c r="B92" s="8" t="s">
        <v>947</v>
      </c>
      <c r="C92" s="8" t="s">
        <v>555</v>
      </c>
      <c r="D92" s="7" t="s">
        <v>557</v>
      </c>
      <c r="E92" s="28" t="s">
        <v>705</v>
      </c>
      <c r="F92" s="28" t="s">
        <v>146</v>
      </c>
      <c r="G92" s="7" t="str">
        <f t="shared" si="1"/>
        <v>Distribuir el par entre ejes hasta _____ N·m</v>
      </c>
      <c r="H92" s="7" t="s">
        <v>61</v>
      </c>
      <c r="I92" s="8" t="s">
        <v>949</v>
      </c>
      <c r="J92" s="7"/>
      <c r="K92" s="7" t="s">
        <v>561</v>
      </c>
      <c r="L92" s="7" t="s">
        <v>950</v>
      </c>
      <c r="M92" s="7" t="s">
        <v>951</v>
      </c>
      <c r="N92" s="8">
        <v>2.0</v>
      </c>
      <c r="O92" s="8" t="s">
        <v>66</v>
      </c>
      <c r="P92" s="8" t="s">
        <v>67</v>
      </c>
      <c r="Q92" s="8" t="s">
        <v>68</v>
      </c>
      <c r="R92" s="7" t="s">
        <v>564</v>
      </c>
      <c r="S92" s="8" t="s">
        <v>111</v>
      </c>
      <c r="T92" s="8" t="s">
        <v>952</v>
      </c>
      <c r="U92" s="28" t="s">
        <v>953</v>
      </c>
      <c r="V92" s="28" t="s">
        <v>904</v>
      </c>
      <c r="W92" s="28" t="s">
        <v>954</v>
      </c>
    </row>
    <row r="93" ht="15.0" customHeight="1">
      <c r="A93" s="7" t="s">
        <v>956</v>
      </c>
      <c r="B93" s="8" t="s">
        <v>957</v>
      </c>
      <c r="C93" s="8" t="s">
        <v>252</v>
      </c>
      <c r="D93" s="7" t="s">
        <v>958</v>
      </c>
      <c r="E93" s="28" t="s">
        <v>705</v>
      </c>
      <c r="F93" s="28" t="s">
        <v>959</v>
      </c>
      <c r="G93" s="7" t="str">
        <f t="shared" si="1"/>
        <v>Soportar la carga por eje hasta _____ t</v>
      </c>
      <c r="H93" s="7" t="s">
        <v>79</v>
      </c>
      <c r="I93" s="8" t="s">
        <v>960</v>
      </c>
      <c r="J93" s="7"/>
      <c r="K93" s="7" t="s">
        <v>961</v>
      </c>
      <c r="L93" s="7" t="s">
        <v>962</v>
      </c>
      <c r="M93" s="7" t="s">
        <v>963</v>
      </c>
      <c r="N93" s="8">
        <v>3.0</v>
      </c>
      <c r="O93" s="8" t="s">
        <v>260</v>
      </c>
      <c r="P93" s="8" t="s">
        <v>86</v>
      </c>
      <c r="Q93" s="8" t="s">
        <v>87</v>
      </c>
      <c r="R93" s="7" t="s">
        <v>261</v>
      </c>
      <c r="S93" s="8" t="s">
        <v>111</v>
      </c>
      <c r="T93" s="8" t="s">
        <v>964</v>
      </c>
      <c r="U93" s="28" t="s">
        <v>965</v>
      </c>
      <c r="V93" s="28" t="s">
        <v>919</v>
      </c>
      <c r="W93" s="28" t="s">
        <v>967</v>
      </c>
    </row>
    <row r="94" ht="15.0" customHeight="1">
      <c r="A94" s="7" t="s">
        <v>956</v>
      </c>
      <c r="B94" s="8" t="s">
        <v>968</v>
      </c>
      <c r="C94" s="8" t="s">
        <v>265</v>
      </c>
      <c r="D94" s="7" t="s">
        <v>266</v>
      </c>
      <c r="E94" s="7" t="s">
        <v>267</v>
      </c>
      <c r="F94" s="7" t="s">
        <v>268</v>
      </c>
      <c r="G94" s="7" t="str">
        <f t="shared" si="1"/>
        <v>Impedir el remonte de pestaña con cota qR ≥ 6,5 mm</v>
      </c>
      <c r="H94" s="7" t="s">
        <v>79</v>
      </c>
      <c r="I94" s="8" t="s">
        <v>960</v>
      </c>
      <c r="J94" s="7" t="s">
        <v>269</v>
      </c>
      <c r="K94" s="7" t="s">
        <v>270</v>
      </c>
      <c r="L94" s="7" t="s">
        <v>962</v>
      </c>
      <c r="M94" s="7" t="s">
        <v>963</v>
      </c>
      <c r="N94" s="8">
        <v>3.0</v>
      </c>
      <c r="O94" s="8" t="s">
        <v>85</v>
      </c>
      <c r="P94" s="8" t="s">
        <v>67</v>
      </c>
      <c r="Q94" s="8" t="s">
        <v>87</v>
      </c>
      <c r="R94" s="7" t="s">
        <v>271</v>
      </c>
      <c r="S94" s="8" t="s">
        <v>89</v>
      </c>
      <c r="T94" s="8" t="s">
        <v>71</v>
      </c>
      <c r="U94" s="7" t="s">
        <v>965</v>
      </c>
      <c r="V94" s="7" t="s">
        <v>919</v>
      </c>
      <c r="W94" s="7" t="s">
        <v>972</v>
      </c>
    </row>
    <row r="95" ht="15.0" customHeight="1">
      <c r="A95" s="7" t="s">
        <v>956</v>
      </c>
      <c r="B95" s="8" t="s">
        <v>973</v>
      </c>
      <c r="C95" s="8" t="s">
        <v>152</v>
      </c>
      <c r="D95" s="7" t="s">
        <v>480</v>
      </c>
      <c r="E95" s="7" t="s">
        <v>481</v>
      </c>
      <c r="F95" s="7" t="s">
        <v>268</v>
      </c>
      <c r="G95" s="7" t="str">
        <f t="shared" si="1"/>
        <v>Mantener la distancia entre ruedas de 1.357 a 1.363 mm</v>
      </c>
      <c r="H95" s="7" t="s">
        <v>79</v>
      </c>
      <c r="I95" s="8" t="s">
        <v>960</v>
      </c>
      <c r="J95" s="7" t="s">
        <v>269</v>
      </c>
      <c r="K95" s="7" t="s">
        <v>484</v>
      </c>
      <c r="L95" s="7" t="s">
        <v>962</v>
      </c>
      <c r="M95" s="7" t="s">
        <v>963</v>
      </c>
      <c r="N95" s="8">
        <v>3.0</v>
      </c>
      <c r="O95" s="8" t="s">
        <v>85</v>
      </c>
      <c r="P95" s="8" t="s">
        <v>86</v>
      </c>
      <c r="Q95" s="8" t="s">
        <v>87</v>
      </c>
      <c r="R95" s="7" t="s">
        <v>485</v>
      </c>
      <c r="S95" s="8" t="s">
        <v>89</v>
      </c>
      <c r="T95" s="8" t="s">
        <v>71</v>
      </c>
      <c r="U95" s="7" t="s">
        <v>965</v>
      </c>
      <c r="V95" s="7" t="s">
        <v>919</v>
      </c>
      <c r="W95" s="7" t="s">
        <v>975</v>
      </c>
    </row>
    <row r="96" ht="15.0" customHeight="1">
      <c r="A96" s="7" t="s">
        <v>956</v>
      </c>
      <c r="B96" s="8" t="s">
        <v>977</v>
      </c>
      <c r="C96" s="8" t="s">
        <v>978</v>
      </c>
      <c r="D96" s="7" t="s">
        <v>979</v>
      </c>
      <c r="E96" s="28" t="s">
        <v>980</v>
      </c>
      <c r="F96" s="28" t="s">
        <v>268</v>
      </c>
      <c r="G96" s="7" t="str">
        <f t="shared" si="1"/>
        <v>Guiar el eje con pestaña de _____ mm</v>
      </c>
      <c r="H96" s="7" t="s">
        <v>79</v>
      </c>
      <c r="I96" s="8" t="s">
        <v>960</v>
      </c>
      <c r="J96" s="7"/>
      <c r="K96" s="7" t="s">
        <v>981</v>
      </c>
      <c r="L96" s="7" t="s">
        <v>962</v>
      </c>
      <c r="M96" s="7" t="s">
        <v>963</v>
      </c>
      <c r="N96" s="8">
        <v>3.0</v>
      </c>
      <c r="O96" s="8" t="s">
        <v>85</v>
      </c>
      <c r="P96" s="8" t="s">
        <v>86</v>
      </c>
      <c r="Q96" s="8" t="s">
        <v>87</v>
      </c>
      <c r="R96" s="7" t="s">
        <v>271</v>
      </c>
      <c r="S96" s="8" t="s">
        <v>111</v>
      </c>
      <c r="T96" s="8" t="s">
        <v>71</v>
      </c>
      <c r="U96" s="28" t="s">
        <v>965</v>
      </c>
      <c r="V96" s="28" t="s">
        <v>919</v>
      </c>
      <c r="W96" s="28" t="s">
        <v>983</v>
      </c>
    </row>
    <row r="97" ht="15.0" customHeight="1">
      <c r="A97" s="7" t="s">
        <v>984</v>
      </c>
      <c r="B97" s="8" t="s">
        <v>985</v>
      </c>
      <c r="C97" s="8" t="s">
        <v>798</v>
      </c>
      <c r="D97" s="7" t="s">
        <v>799</v>
      </c>
      <c r="E97" s="7" t="s">
        <v>986</v>
      </c>
      <c r="F97" s="7" t="s">
        <v>801</v>
      </c>
      <c r="G97" s="7" t="str">
        <f t="shared" si="1"/>
        <v>Recorrer curvas con radio mínimo de 90 m</v>
      </c>
      <c r="H97" s="7" t="s">
        <v>79</v>
      </c>
      <c r="I97" s="8" t="s">
        <v>989</v>
      </c>
      <c r="J97" s="7" t="s">
        <v>803</v>
      </c>
      <c r="K97" s="7"/>
      <c r="L97" s="7" t="s">
        <v>984</v>
      </c>
      <c r="M97" s="7" t="s">
        <v>991</v>
      </c>
      <c r="N97" s="8">
        <v>1.0</v>
      </c>
      <c r="O97" s="8" t="s">
        <v>85</v>
      </c>
      <c r="P97" s="8" t="s">
        <v>86</v>
      </c>
      <c r="Q97" s="8" t="s">
        <v>68</v>
      </c>
      <c r="R97" s="7" t="s">
        <v>807</v>
      </c>
      <c r="S97" s="8" t="s">
        <v>111</v>
      </c>
      <c r="T97" s="8" t="s">
        <v>71</v>
      </c>
      <c r="U97" s="7" t="s">
        <v>992</v>
      </c>
      <c r="V97" s="7" t="s">
        <v>904</v>
      </c>
      <c r="W97" s="7" t="s">
        <v>993</v>
      </c>
    </row>
    <row r="98" ht="15.0" customHeight="1">
      <c r="A98" s="7" t="s">
        <v>994</v>
      </c>
      <c r="B98" s="8" t="s">
        <v>995</v>
      </c>
      <c r="C98" s="8" t="s">
        <v>996</v>
      </c>
      <c r="D98" s="7" t="s">
        <v>997</v>
      </c>
      <c r="E98" s="28" t="s">
        <v>998</v>
      </c>
      <c r="F98" s="28" t="s">
        <v>743</v>
      </c>
      <c r="G98" s="7" t="str">
        <f t="shared" si="1"/>
        <v>Evitar el vuelco de la máquina en izaje con momento de _____ kN·m</v>
      </c>
      <c r="H98" s="7" t="s">
        <v>79</v>
      </c>
      <c r="I98" s="8" t="s">
        <v>1000</v>
      </c>
      <c r="J98" s="7"/>
      <c r="K98" s="7" t="s">
        <v>745</v>
      </c>
      <c r="L98" s="7" t="s">
        <v>1001</v>
      </c>
      <c r="M98" s="7" t="s">
        <v>1002</v>
      </c>
      <c r="N98" s="8">
        <v>1.0</v>
      </c>
      <c r="O98" s="8" t="s">
        <v>85</v>
      </c>
      <c r="P98" s="8" t="s">
        <v>67</v>
      </c>
      <c r="Q98" s="8" t="s">
        <v>68</v>
      </c>
      <c r="R98" s="7" t="s">
        <v>748</v>
      </c>
      <c r="S98" s="8" t="s">
        <v>111</v>
      </c>
      <c r="T98" s="8" t="s">
        <v>859</v>
      </c>
      <c r="U98" s="28" t="s">
        <v>1003</v>
      </c>
      <c r="V98" s="28" t="s">
        <v>904</v>
      </c>
      <c r="W98" s="28" t="s">
        <v>1004</v>
      </c>
    </row>
    <row r="99" ht="23.25" customHeight="1">
      <c r="A99" s="7" t="s">
        <v>1006</v>
      </c>
      <c r="B99" s="8" t="s">
        <v>1007</v>
      </c>
      <c r="C99" s="8" t="s">
        <v>1008</v>
      </c>
      <c r="D99" s="7" t="s">
        <v>588</v>
      </c>
      <c r="E99" s="28" t="s">
        <v>1009</v>
      </c>
      <c r="F99" s="28" t="s">
        <v>1010</v>
      </c>
      <c r="G99" s="7" t="str">
        <f t="shared" si="1"/>
        <v>Acoplar vehículos con tracción de _____ kN</v>
      </c>
      <c r="H99" s="7" t="s">
        <v>61</v>
      </c>
      <c r="I99" s="8" t="s">
        <v>1011</v>
      </c>
      <c r="J99" s="7"/>
      <c r="K99" s="7" t="s">
        <v>1012</v>
      </c>
      <c r="L99" s="7" t="s">
        <v>1013</v>
      </c>
      <c r="M99" s="7" t="s">
        <v>1014</v>
      </c>
      <c r="N99" s="8">
        <v>1.0</v>
      </c>
      <c r="O99" s="8" t="s">
        <v>1015</v>
      </c>
      <c r="P99" s="8" t="s">
        <v>67</v>
      </c>
      <c r="Q99" s="8" t="s">
        <v>68</v>
      </c>
      <c r="R99" s="7" t="s">
        <v>1016</v>
      </c>
      <c r="S99" s="8" t="s">
        <v>111</v>
      </c>
      <c r="T99" s="8" t="s">
        <v>1018</v>
      </c>
      <c r="U99" s="28" t="s">
        <v>1019</v>
      </c>
      <c r="V99" s="28" t="s">
        <v>919</v>
      </c>
      <c r="W99" s="28" t="s">
        <v>1020</v>
      </c>
    </row>
    <row r="100" ht="23.25" customHeight="1">
      <c r="A100" s="7" t="s">
        <v>1006</v>
      </c>
      <c r="B100" s="8" t="s">
        <v>1021</v>
      </c>
      <c r="C100" s="8" t="s">
        <v>152</v>
      </c>
      <c r="D100" s="7" t="s">
        <v>1023</v>
      </c>
      <c r="E100" s="28" t="s">
        <v>1024</v>
      </c>
      <c r="F100" s="28" t="s">
        <v>268</v>
      </c>
      <c r="G100" s="7" t="str">
        <f t="shared" si="1"/>
        <v>Mantener la altura del enganche entre _____ y _____ mm</v>
      </c>
      <c r="H100" s="7" t="s">
        <v>79</v>
      </c>
      <c r="I100" s="8" t="s">
        <v>1011</v>
      </c>
      <c r="J100" s="7"/>
      <c r="K100" s="7" t="s">
        <v>1026</v>
      </c>
      <c r="L100" s="7" t="s">
        <v>1013</v>
      </c>
      <c r="M100" s="7" t="s">
        <v>1014</v>
      </c>
      <c r="N100" s="8">
        <v>1.0</v>
      </c>
      <c r="O100" s="8" t="s">
        <v>1015</v>
      </c>
      <c r="P100" s="8" t="s">
        <v>86</v>
      </c>
      <c r="Q100" s="8" t="s">
        <v>68</v>
      </c>
      <c r="R100" s="7" t="s">
        <v>1027</v>
      </c>
      <c r="S100" s="8" t="s">
        <v>111</v>
      </c>
      <c r="T100" s="8" t="s">
        <v>71</v>
      </c>
      <c r="U100" s="28" t="s">
        <v>1019</v>
      </c>
      <c r="V100" s="28" t="s">
        <v>919</v>
      </c>
      <c r="W100" s="28" t="s">
        <v>1028</v>
      </c>
    </row>
    <row r="101" ht="15.0" customHeight="1">
      <c r="A101" s="7" t="s">
        <v>1029</v>
      </c>
      <c r="B101" s="8" t="s">
        <v>1030</v>
      </c>
      <c r="C101" s="8" t="s">
        <v>587</v>
      </c>
      <c r="D101" s="7" t="s">
        <v>683</v>
      </c>
      <c r="E101" s="28" t="s">
        <v>705</v>
      </c>
      <c r="F101" s="28" t="s">
        <v>959</v>
      </c>
      <c r="G101" s="7" t="str">
        <f t="shared" si="1"/>
        <v>Remolcar trenes de trabajo hasta _____ t</v>
      </c>
      <c r="H101" s="7" t="s">
        <v>61</v>
      </c>
      <c r="I101" s="8" t="s">
        <v>1032</v>
      </c>
      <c r="J101" s="7"/>
      <c r="K101" s="7" t="s">
        <v>687</v>
      </c>
      <c r="L101" s="7" t="s">
        <v>1029</v>
      </c>
      <c r="M101" s="7" t="s">
        <v>1033</v>
      </c>
      <c r="N101" s="8">
        <v>1.0</v>
      </c>
      <c r="O101" s="8" t="s">
        <v>66</v>
      </c>
      <c r="P101" s="8" t="s">
        <v>67</v>
      </c>
      <c r="Q101" s="8" t="s">
        <v>68</v>
      </c>
      <c r="R101" s="7" t="s">
        <v>595</v>
      </c>
      <c r="S101" s="8" t="s">
        <v>111</v>
      </c>
      <c r="T101" s="8" t="s">
        <v>71</v>
      </c>
      <c r="U101" s="28" t="s">
        <v>1034</v>
      </c>
      <c r="V101" s="28" t="s">
        <v>904</v>
      </c>
      <c r="W101" s="28" t="s">
        <v>1035</v>
      </c>
    </row>
    <row r="102" ht="15.0" customHeight="1">
      <c r="A102" s="7" t="s">
        <v>1037</v>
      </c>
      <c r="B102" s="8" t="s">
        <v>1038</v>
      </c>
      <c r="C102" s="8" t="s">
        <v>232</v>
      </c>
      <c r="D102" s="7" t="s">
        <v>165</v>
      </c>
      <c r="E102" s="28" t="s">
        <v>374</v>
      </c>
      <c r="F102" s="28" t="s">
        <v>155</v>
      </c>
      <c r="G102" s="7" t="str">
        <f t="shared" si="1"/>
        <v>Comprimir el aire a una presión de _____ bar</v>
      </c>
      <c r="H102" s="7" t="s">
        <v>61</v>
      </c>
      <c r="I102" s="8" t="s">
        <v>1039</v>
      </c>
      <c r="J102" s="7"/>
      <c r="K102" s="7" t="s">
        <v>376</v>
      </c>
      <c r="L102" s="7" t="s">
        <v>812</v>
      </c>
      <c r="M102" s="7" t="s">
        <v>1040</v>
      </c>
      <c r="N102" s="8">
        <v>1.0</v>
      </c>
      <c r="O102" s="8" t="s">
        <v>66</v>
      </c>
      <c r="P102" s="8" t="s">
        <v>67</v>
      </c>
      <c r="Q102" s="8" t="s">
        <v>68</v>
      </c>
      <c r="R102" s="7" t="s">
        <v>379</v>
      </c>
      <c r="S102" s="8" t="s">
        <v>111</v>
      </c>
      <c r="T102" s="8" t="s">
        <v>303</v>
      </c>
      <c r="U102" s="28" t="s">
        <v>1042</v>
      </c>
      <c r="V102" s="28" t="s">
        <v>1043</v>
      </c>
      <c r="W102" s="28" t="s">
        <v>305</v>
      </c>
    </row>
    <row r="103" ht="15.0" customHeight="1">
      <c r="A103" s="7" t="s">
        <v>1037</v>
      </c>
      <c r="B103" s="8" t="s">
        <v>1045</v>
      </c>
      <c r="C103" s="8" t="s">
        <v>192</v>
      </c>
      <c r="D103" s="7" t="s">
        <v>223</v>
      </c>
      <c r="E103" s="28" t="s">
        <v>935</v>
      </c>
      <c r="F103" s="28" t="s">
        <v>384</v>
      </c>
      <c r="G103" s="7" t="str">
        <f t="shared" si="1"/>
        <v>Suministrar caudal de aire de _____ L/min</v>
      </c>
      <c r="H103" s="7" t="s">
        <v>61</v>
      </c>
      <c r="I103" s="8" t="s">
        <v>1039</v>
      </c>
      <c r="J103" s="7"/>
      <c r="K103" s="7" t="s">
        <v>696</v>
      </c>
      <c r="L103" s="7" t="s">
        <v>812</v>
      </c>
      <c r="M103" s="7" t="s">
        <v>1040</v>
      </c>
      <c r="N103" s="8">
        <v>1.0</v>
      </c>
      <c r="O103" s="8" t="s">
        <v>66</v>
      </c>
      <c r="P103" s="8" t="s">
        <v>86</v>
      </c>
      <c r="Q103" s="8" t="s">
        <v>68</v>
      </c>
      <c r="R103" s="7" t="s">
        <v>228</v>
      </c>
      <c r="S103" s="8" t="s">
        <v>111</v>
      </c>
      <c r="T103" s="8" t="s">
        <v>1048</v>
      </c>
      <c r="U103" s="28" t="s">
        <v>1042</v>
      </c>
      <c r="V103" s="28" t="s">
        <v>1043</v>
      </c>
      <c r="W103" s="28" t="s">
        <v>1049</v>
      </c>
    </row>
    <row r="104" ht="15.0" customHeight="1">
      <c r="A104" s="7" t="s">
        <v>1050</v>
      </c>
      <c r="B104" s="8" t="s">
        <v>1051</v>
      </c>
      <c r="C104" s="8" t="s">
        <v>177</v>
      </c>
      <c r="D104" s="7" t="s">
        <v>178</v>
      </c>
      <c r="E104" s="7" t="s">
        <v>179</v>
      </c>
      <c r="F104" s="7" t="s">
        <v>180</v>
      </c>
      <c r="G104" s="7" t="str">
        <f t="shared" si="1"/>
        <v>Secar el aire comprimido con punto de rocío máximo de +3 °C</v>
      </c>
      <c r="H104" s="7" t="s">
        <v>61</v>
      </c>
      <c r="I104" s="8" t="s">
        <v>1053</v>
      </c>
      <c r="J104" s="7" t="s">
        <v>182</v>
      </c>
      <c r="K104" s="7" t="s">
        <v>183</v>
      </c>
      <c r="L104" s="7" t="s">
        <v>184</v>
      </c>
      <c r="M104" s="7" t="s">
        <v>1054</v>
      </c>
      <c r="N104" s="8">
        <v>1.0</v>
      </c>
      <c r="O104" s="8" t="s">
        <v>187</v>
      </c>
      <c r="P104" s="8" t="s">
        <v>67</v>
      </c>
      <c r="Q104" s="8" t="s">
        <v>87</v>
      </c>
      <c r="R104" s="7" t="s">
        <v>188</v>
      </c>
      <c r="S104" s="8" t="s">
        <v>89</v>
      </c>
      <c r="T104" s="8" t="s">
        <v>922</v>
      </c>
      <c r="U104" s="7" t="s">
        <v>1055</v>
      </c>
      <c r="V104" s="7" t="s">
        <v>1057</v>
      </c>
      <c r="W104" s="7" t="s">
        <v>1058</v>
      </c>
    </row>
    <row r="105" ht="15.0" customHeight="1">
      <c r="A105" s="7" t="s">
        <v>1059</v>
      </c>
      <c r="B105" s="8" t="s">
        <v>1060</v>
      </c>
      <c r="C105" s="8" t="s">
        <v>1061</v>
      </c>
      <c r="D105" s="7" t="s">
        <v>488</v>
      </c>
      <c r="E105" s="28" t="s">
        <v>1062</v>
      </c>
      <c r="F105" s="28" t="s">
        <v>155</v>
      </c>
      <c r="G105" s="7" t="str">
        <f t="shared" si="1"/>
        <v>Conducir el aceite hidráulico a presión máxima de _____ bar</v>
      </c>
      <c r="H105" s="7" t="s">
        <v>61</v>
      </c>
      <c r="I105" s="8" t="s">
        <v>1063</v>
      </c>
      <c r="J105" s="7" t="s">
        <v>1064</v>
      </c>
      <c r="K105" s="7" t="s">
        <v>1065</v>
      </c>
      <c r="L105" s="7" t="s">
        <v>1066</v>
      </c>
      <c r="M105" s="7" t="s">
        <v>1068</v>
      </c>
      <c r="N105" s="8">
        <v>1.0</v>
      </c>
      <c r="O105" s="8" t="s">
        <v>173</v>
      </c>
      <c r="P105" s="8" t="s">
        <v>67</v>
      </c>
      <c r="Q105" s="8" t="s">
        <v>68</v>
      </c>
      <c r="R105" s="7" t="s">
        <v>1070</v>
      </c>
      <c r="S105" s="8" t="s">
        <v>111</v>
      </c>
      <c r="T105" s="8" t="s">
        <v>1071</v>
      </c>
      <c r="U105" s="28" t="s">
        <v>1073</v>
      </c>
      <c r="V105" s="28" t="s">
        <v>904</v>
      </c>
      <c r="W105" s="28" t="s">
        <v>1075</v>
      </c>
    </row>
    <row r="106" ht="15.0" customHeight="1">
      <c r="A106" s="7" t="s">
        <v>1076</v>
      </c>
      <c r="B106" s="8" t="s">
        <v>1077</v>
      </c>
      <c r="C106" s="8" t="s">
        <v>143</v>
      </c>
      <c r="D106" s="7" t="s">
        <v>1078</v>
      </c>
      <c r="E106" s="28" t="s">
        <v>935</v>
      </c>
      <c r="F106" s="28" t="s">
        <v>1010</v>
      </c>
      <c r="G106" s="7" t="str">
        <f t="shared" si="1"/>
        <v>Entregar esfuerzo de tracción de _____ kN</v>
      </c>
      <c r="H106" s="7" t="s">
        <v>61</v>
      </c>
      <c r="I106" s="8" t="s">
        <v>1080</v>
      </c>
      <c r="J106" s="7"/>
      <c r="K106" s="7" t="s">
        <v>1081</v>
      </c>
      <c r="L106" s="7" t="s">
        <v>1082</v>
      </c>
      <c r="M106" s="7" t="s">
        <v>1083</v>
      </c>
      <c r="N106" s="8">
        <v>2.0</v>
      </c>
      <c r="O106" s="8" t="s">
        <v>66</v>
      </c>
      <c r="P106" s="8" t="s">
        <v>67</v>
      </c>
      <c r="Q106" s="8" t="s">
        <v>68</v>
      </c>
      <c r="R106" s="7" t="s">
        <v>346</v>
      </c>
      <c r="S106" s="8" t="s">
        <v>111</v>
      </c>
      <c r="T106" s="8" t="s">
        <v>1084</v>
      </c>
      <c r="U106" s="28" t="s">
        <v>1086</v>
      </c>
      <c r="V106" s="28" t="s">
        <v>904</v>
      </c>
      <c r="W106" s="28" t="s">
        <v>1087</v>
      </c>
    </row>
    <row r="107" ht="15.0" customHeight="1">
      <c r="A107" s="7" t="s">
        <v>1088</v>
      </c>
      <c r="B107" s="8" t="s">
        <v>1089</v>
      </c>
      <c r="C107" s="8" t="s">
        <v>252</v>
      </c>
      <c r="D107" s="7" t="s">
        <v>253</v>
      </c>
      <c r="E107" s="28" t="s">
        <v>705</v>
      </c>
      <c r="F107" s="28" t="s">
        <v>959</v>
      </c>
      <c r="G107" s="7" t="str">
        <f t="shared" si="1"/>
        <v>Soportar la carga vertical hasta _____ t</v>
      </c>
      <c r="H107" s="7" t="s">
        <v>79</v>
      </c>
      <c r="I107" s="8" t="s">
        <v>1090</v>
      </c>
      <c r="J107" s="7"/>
      <c r="K107" s="7" t="s">
        <v>257</v>
      </c>
      <c r="L107" s="7" t="s">
        <v>1091</v>
      </c>
      <c r="M107" s="7" t="s">
        <v>1093</v>
      </c>
      <c r="N107" s="8">
        <v>2.0</v>
      </c>
      <c r="O107" s="8" t="s">
        <v>260</v>
      </c>
      <c r="P107" s="8" t="s">
        <v>67</v>
      </c>
      <c r="Q107" s="8" t="s">
        <v>87</v>
      </c>
      <c r="R107" s="7" t="s">
        <v>261</v>
      </c>
      <c r="S107" s="8" t="s">
        <v>111</v>
      </c>
      <c r="T107" s="8" t="s">
        <v>1094</v>
      </c>
      <c r="U107" s="28" t="s">
        <v>1095</v>
      </c>
      <c r="V107" s="28" t="s">
        <v>919</v>
      </c>
      <c r="W107" s="28" t="s">
        <v>1096</v>
      </c>
    </row>
    <row r="108" ht="23.25" customHeight="1">
      <c r="A108" s="7" t="s">
        <v>1088</v>
      </c>
      <c r="B108" s="8" t="s">
        <v>1097</v>
      </c>
      <c r="C108" s="8" t="s">
        <v>265</v>
      </c>
      <c r="D108" s="7" t="s">
        <v>266</v>
      </c>
      <c r="E108" s="7" t="s">
        <v>267</v>
      </c>
      <c r="F108" s="7" t="s">
        <v>268</v>
      </c>
      <c r="G108" s="7" t="str">
        <f t="shared" si="1"/>
        <v>Impedir el remonte de pestaña con cota qR ≥ 6,5 mm</v>
      </c>
      <c r="H108" s="7" t="s">
        <v>79</v>
      </c>
      <c r="I108" s="8" t="s">
        <v>1090</v>
      </c>
      <c r="J108" s="7" t="s">
        <v>269</v>
      </c>
      <c r="K108" s="7" t="s">
        <v>270</v>
      </c>
      <c r="L108" s="7" t="s">
        <v>1091</v>
      </c>
      <c r="M108" s="7" t="s">
        <v>1093</v>
      </c>
      <c r="N108" s="8">
        <v>2.0</v>
      </c>
      <c r="O108" s="8" t="s">
        <v>85</v>
      </c>
      <c r="P108" s="8" t="s">
        <v>86</v>
      </c>
      <c r="Q108" s="8" t="s">
        <v>87</v>
      </c>
      <c r="R108" s="7" t="s">
        <v>271</v>
      </c>
      <c r="S108" s="8" t="s">
        <v>89</v>
      </c>
      <c r="T108" s="8" t="s">
        <v>1101</v>
      </c>
      <c r="U108" s="7" t="s">
        <v>1095</v>
      </c>
      <c r="V108" s="7" t="s">
        <v>919</v>
      </c>
      <c r="W108" s="7" t="s">
        <v>972</v>
      </c>
    </row>
    <row r="109" ht="23.25" customHeight="1">
      <c r="A109" s="7" t="s">
        <v>1103</v>
      </c>
      <c r="B109" s="8" t="s">
        <v>1104</v>
      </c>
      <c r="C109" s="8" t="s">
        <v>335</v>
      </c>
      <c r="D109" s="7" t="s">
        <v>336</v>
      </c>
      <c r="E109" s="28" t="s">
        <v>705</v>
      </c>
      <c r="F109" s="28" t="s">
        <v>146</v>
      </c>
      <c r="G109" s="7" t="str">
        <f t="shared" si="1"/>
        <v>Transmitir el par motriz hasta _____ N·m</v>
      </c>
      <c r="H109" s="7" t="s">
        <v>61</v>
      </c>
      <c r="I109" s="8" t="s">
        <v>1105</v>
      </c>
      <c r="J109" s="7"/>
      <c r="K109" s="7" t="s">
        <v>791</v>
      </c>
      <c r="L109" s="7" t="s">
        <v>1106</v>
      </c>
      <c r="M109" s="7" t="s">
        <v>1107</v>
      </c>
      <c r="N109" s="8">
        <v>1.0</v>
      </c>
      <c r="O109" s="8" t="s">
        <v>66</v>
      </c>
      <c r="P109" s="8" t="s">
        <v>67</v>
      </c>
      <c r="Q109" s="8" t="s">
        <v>68</v>
      </c>
      <c r="R109" s="7" t="s">
        <v>346</v>
      </c>
      <c r="S109" s="8" t="s">
        <v>111</v>
      </c>
      <c r="T109" s="8" t="s">
        <v>957</v>
      </c>
      <c r="U109" s="28" t="s">
        <v>1109</v>
      </c>
      <c r="V109" s="28" t="s">
        <v>904</v>
      </c>
      <c r="W109" s="28" t="s">
        <v>1110</v>
      </c>
    </row>
    <row r="110" ht="15.0" customHeight="1">
      <c r="A110" s="7" t="s">
        <v>1111</v>
      </c>
      <c r="B110" s="8" t="s">
        <v>1112</v>
      </c>
      <c r="C110" s="8" t="s">
        <v>192</v>
      </c>
      <c r="D110" s="7" t="s">
        <v>289</v>
      </c>
      <c r="E110" s="7" t="s">
        <v>290</v>
      </c>
      <c r="F110" s="7" t="s">
        <v>291</v>
      </c>
      <c r="G110" s="7" t="str">
        <f t="shared" si="1"/>
        <v>Suministrar la corriente de arranque con tensión mínima de 19,2 V</v>
      </c>
      <c r="H110" s="7" t="s">
        <v>61</v>
      </c>
      <c r="I110" s="8" t="s">
        <v>1114</v>
      </c>
      <c r="J110" s="7"/>
      <c r="K110" s="7" t="s">
        <v>733</v>
      </c>
      <c r="L110" s="7" t="s">
        <v>628</v>
      </c>
      <c r="M110" s="7" t="s">
        <v>1115</v>
      </c>
      <c r="N110" s="8">
        <v>1.0</v>
      </c>
      <c r="O110" s="8" t="s">
        <v>66</v>
      </c>
      <c r="P110" s="8" t="s">
        <v>67</v>
      </c>
      <c r="Q110" s="8" t="s">
        <v>68</v>
      </c>
      <c r="R110" s="7" t="s">
        <v>297</v>
      </c>
      <c r="S110" s="8" t="s">
        <v>111</v>
      </c>
      <c r="T110" s="8" t="s">
        <v>977</v>
      </c>
      <c r="U110" s="7" t="s">
        <v>1116</v>
      </c>
      <c r="V110" s="7" t="s">
        <v>904</v>
      </c>
      <c r="W110" s="7" t="s">
        <v>1117</v>
      </c>
    </row>
    <row r="111" ht="15.0" customHeight="1">
      <c r="A111" s="7" t="s">
        <v>1111</v>
      </c>
      <c r="B111" s="8" t="s">
        <v>1118</v>
      </c>
      <c r="C111" s="8" t="s">
        <v>300</v>
      </c>
      <c r="D111" s="7" t="s">
        <v>301</v>
      </c>
      <c r="E111" s="7" t="s">
        <v>290</v>
      </c>
      <c r="F111" s="7" t="s">
        <v>291</v>
      </c>
      <c r="G111" s="7" t="str">
        <f t="shared" si="1"/>
        <v>Almacenar energía eléctrica con tensión mínima de 19,2 V</v>
      </c>
      <c r="H111" s="7" t="s">
        <v>61</v>
      </c>
      <c r="I111" s="8" t="s">
        <v>1114</v>
      </c>
      <c r="J111" s="7"/>
      <c r="K111" s="7" t="s">
        <v>302</v>
      </c>
      <c r="L111" s="7" t="s">
        <v>628</v>
      </c>
      <c r="M111" s="7" t="s">
        <v>1115</v>
      </c>
      <c r="N111" s="8">
        <v>1.0</v>
      </c>
      <c r="O111" s="8" t="s">
        <v>66</v>
      </c>
      <c r="P111" s="8" t="s">
        <v>67</v>
      </c>
      <c r="Q111" s="8" t="s">
        <v>68</v>
      </c>
      <c r="R111" s="7" t="s">
        <v>297</v>
      </c>
      <c r="S111" s="8" t="s">
        <v>111</v>
      </c>
      <c r="T111" s="8" t="s">
        <v>303</v>
      </c>
      <c r="U111" s="7" t="s">
        <v>1116</v>
      </c>
      <c r="V111" s="7" t="s">
        <v>904</v>
      </c>
      <c r="W111" s="7" t="s">
        <v>305</v>
      </c>
    </row>
    <row r="112" ht="15.0" customHeight="1">
      <c r="A112" s="7" t="s">
        <v>1121</v>
      </c>
      <c r="B112" s="8" t="s">
        <v>1122</v>
      </c>
      <c r="C112" s="8" t="s">
        <v>996</v>
      </c>
      <c r="D112" s="7" t="s">
        <v>997</v>
      </c>
      <c r="E112" s="28" t="s">
        <v>998</v>
      </c>
      <c r="F112" s="28" t="s">
        <v>743</v>
      </c>
      <c r="G112" s="7" t="str">
        <f t="shared" si="1"/>
        <v>Evitar el vuelco de la máquina en izaje con momento de _____ kN·m</v>
      </c>
      <c r="H112" s="7" t="s">
        <v>79</v>
      </c>
      <c r="I112" s="8" t="s">
        <v>1125</v>
      </c>
      <c r="J112" s="7"/>
      <c r="K112" s="7" t="s">
        <v>745</v>
      </c>
      <c r="L112" s="7" t="s">
        <v>1001</v>
      </c>
      <c r="M112" s="7" t="s">
        <v>1126</v>
      </c>
      <c r="N112" s="8">
        <v>1.0</v>
      </c>
      <c r="O112" s="8" t="s">
        <v>85</v>
      </c>
      <c r="P112" s="8" t="s">
        <v>67</v>
      </c>
      <c r="Q112" s="8" t="s">
        <v>68</v>
      </c>
      <c r="R112" s="7" t="s">
        <v>748</v>
      </c>
      <c r="S112" s="8" t="s">
        <v>111</v>
      </c>
      <c r="T112" s="8" t="s">
        <v>985</v>
      </c>
      <c r="U112" s="28" t="s">
        <v>1003</v>
      </c>
      <c r="V112" s="28" t="s">
        <v>904</v>
      </c>
      <c r="W112" s="28" t="s">
        <v>1004</v>
      </c>
    </row>
    <row r="113" ht="15.0" customHeight="1">
      <c r="A113" s="7" t="s">
        <v>1128</v>
      </c>
      <c r="B113" s="8" t="s">
        <v>1129</v>
      </c>
      <c r="C113" s="8" t="s">
        <v>767</v>
      </c>
      <c r="D113" s="7" t="s">
        <v>860</v>
      </c>
      <c r="E113" s="28" t="s">
        <v>998</v>
      </c>
      <c r="F113" s="28" t="s">
        <v>743</v>
      </c>
      <c r="G113" s="7" t="str">
        <f t="shared" si="1"/>
        <v>Elevar las cargas con momento de _____ kN·m</v>
      </c>
      <c r="H113" s="7" t="s">
        <v>79</v>
      </c>
      <c r="I113" s="8" t="s">
        <v>1130</v>
      </c>
      <c r="J113" s="7"/>
      <c r="K113" s="7" t="s">
        <v>1131</v>
      </c>
      <c r="L113" s="7" t="s">
        <v>1132</v>
      </c>
      <c r="M113" s="7" t="s">
        <v>1133</v>
      </c>
      <c r="N113" s="8">
        <v>1.0</v>
      </c>
      <c r="O113" s="8" t="s">
        <v>66</v>
      </c>
      <c r="P113" s="8" t="s">
        <v>67</v>
      </c>
      <c r="Q113" s="8" t="s">
        <v>68</v>
      </c>
      <c r="R113" s="7" t="s">
        <v>1135</v>
      </c>
      <c r="S113" s="8" t="s">
        <v>111</v>
      </c>
      <c r="T113" s="8" t="s">
        <v>1136</v>
      </c>
      <c r="U113" s="28" t="s">
        <v>1137</v>
      </c>
      <c r="V113" s="28" t="s">
        <v>904</v>
      </c>
      <c r="W113" s="28" t="s">
        <v>1138</v>
      </c>
    </row>
    <row r="114" ht="23.25" customHeight="1">
      <c r="A114" s="7" t="s">
        <v>1139</v>
      </c>
      <c r="B114" s="8" t="s">
        <v>1140</v>
      </c>
      <c r="C114" s="8" t="s">
        <v>309</v>
      </c>
      <c r="D114" s="7" t="s">
        <v>310</v>
      </c>
      <c r="E114" s="7" t="s">
        <v>311</v>
      </c>
      <c r="F114" s="7" t="s">
        <v>155</v>
      </c>
      <c r="G114" s="7" t="str">
        <f t="shared" si="1"/>
        <v>Presurizar los cilindros de freno entre 3,7 y 3,9 bar</v>
      </c>
      <c r="H114" s="7" t="s">
        <v>79</v>
      </c>
      <c r="I114" s="8" t="s">
        <v>1142</v>
      </c>
      <c r="J114" s="7" t="s">
        <v>315</v>
      </c>
      <c r="K114" s="7" t="s">
        <v>316</v>
      </c>
      <c r="L114" s="7" t="s">
        <v>1143</v>
      </c>
      <c r="M114" s="7" t="s">
        <v>1144</v>
      </c>
      <c r="N114" s="8">
        <v>1.0</v>
      </c>
      <c r="O114" s="8" t="s">
        <v>85</v>
      </c>
      <c r="P114" s="8" t="s">
        <v>67</v>
      </c>
      <c r="Q114" s="8" t="s">
        <v>68</v>
      </c>
      <c r="R114" s="7" t="s">
        <v>527</v>
      </c>
      <c r="S114" s="8" t="s">
        <v>89</v>
      </c>
      <c r="T114" s="8" t="s">
        <v>1145</v>
      </c>
      <c r="U114" s="7" t="s">
        <v>1146</v>
      </c>
      <c r="V114" s="7" t="s">
        <v>904</v>
      </c>
      <c r="W114" s="7" t="s">
        <v>1148</v>
      </c>
    </row>
    <row r="115" ht="15.0" customHeight="1">
      <c r="A115" s="7" t="s">
        <v>1149</v>
      </c>
      <c r="B115" s="8" t="s">
        <v>1150</v>
      </c>
      <c r="C115" s="8" t="s">
        <v>119</v>
      </c>
      <c r="D115" s="7" t="s">
        <v>1151</v>
      </c>
      <c r="E115" s="28" t="s">
        <v>1152</v>
      </c>
      <c r="F115" s="28" t="s">
        <v>1154</v>
      </c>
      <c r="G115" s="7" t="str">
        <f t="shared" si="1"/>
        <v>Inmovilizar la máquina estacionada en pendiente de _____ %</v>
      </c>
      <c r="H115" s="7" t="s">
        <v>79</v>
      </c>
      <c r="I115" s="8" t="s">
        <v>1155</v>
      </c>
      <c r="J115" s="7"/>
      <c r="K115" s="7" t="s">
        <v>1156</v>
      </c>
      <c r="L115" s="7" t="s">
        <v>1158</v>
      </c>
      <c r="M115" s="7" t="s">
        <v>1159</v>
      </c>
      <c r="N115" s="8">
        <v>1.0</v>
      </c>
      <c r="O115" s="8" t="s">
        <v>85</v>
      </c>
      <c r="P115" s="8" t="s">
        <v>67</v>
      </c>
      <c r="Q115" s="8" t="s">
        <v>68</v>
      </c>
      <c r="R115" s="7" t="s">
        <v>1160</v>
      </c>
      <c r="S115" s="8" t="s">
        <v>111</v>
      </c>
      <c r="T115" s="8" t="s">
        <v>995</v>
      </c>
      <c r="U115" s="28" t="s">
        <v>1161</v>
      </c>
      <c r="V115" s="28" t="s">
        <v>904</v>
      </c>
      <c r="W115" s="28" t="s">
        <v>1162</v>
      </c>
    </row>
    <row r="116" ht="15.0" customHeight="1">
      <c r="A116" s="7" t="s">
        <v>1163</v>
      </c>
      <c r="B116" s="8" t="s">
        <v>1164</v>
      </c>
      <c r="C116" s="8" t="s">
        <v>102</v>
      </c>
      <c r="D116" s="7" t="s">
        <v>1165</v>
      </c>
      <c r="E116" s="28" t="s">
        <v>1166</v>
      </c>
      <c r="F116" s="28" t="s">
        <v>801</v>
      </c>
      <c r="G116" s="7" t="str">
        <f t="shared" si="1"/>
        <v>Frenar la locomotora en una distancia máxima de _____ m</v>
      </c>
      <c r="H116" s="7" t="s">
        <v>79</v>
      </c>
      <c r="I116" s="8" t="s">
        <v>1168</v>
      </c>
      <c r="J116" s="7"/>
      <c r="K116" s="7" t="s">
        <v>1169</v>
      </c>
      <c r="L116" s="7" t="s">
        <v>1170</v>
      </c>
      <c r="M116" s="7" t="s">
        <v>1171</v>
      </c>
      <c r="N116" s="8">
        <v>1.0</v>
      </c>
      <c r="O116" s="8" t="s">
        <v>85</v>
      </c>
      <c r="P116" s="8" t="s">
        <v>67</v>
      </c>
      <c r="Q116" s="8" t="s">
        <v>68</v>
      </c>
      <c r="R116" s="7" t="s">
        <v>1172</v>
      </c>
      <c r="S116" s="8" t="s">
        <v>111</v>
      </c>
      <c r="T116" s="8" t="s">
        <v>1007</v>
      </c>
      <c r="U116" s="28" t="s">
        <v>1175</v>
      </c>
      <c r="V116" s="28" t="s">
        <v>904</v>
      </c>
      <c r="W116" s="28" t="s">
        <v>1177</v>
      </c>
    </row>
    <row r="117" ht="15.0" customHeight="1">
      <c r="A117" s="7" t="s">
        <v>1178</v>
      </c>
      <c r="B117" s="8" t="s">
        <v>1179</v>
      </c>
      <c r="C117" s="8" t="s">
        <v>102</v>
      </c>
      <c r="D117" s="7" t="s">
        <v>1180</v>
      </c>
      <c r="E117" s="28" t="s">
        <v>1166</v>
      </c>
      <c r="F117" s="28" t="s">
        <v>801</v>
      </c>
      <c r="G117" s="7" t="str">
        <f t="shared" si="1"/>
        <v>Frenar el tren de trabajo en una distancia máxima de _____ m</v>
      </c>
      <c r="H117" s="7" t="s">
        <v>79</v>
      </c>
      <c r="I117" s="8" t="s">
        <v>1181</v>
      </c>
      <c r="J117" s="7"/>
      <c r="K117" s="7" t="s">
        <v>1182</v>
      </c>
      <c r="L117" s="7" t="s">
        <v>1183</v>
      </c>
      <c r="M117" s="7" t="s">
        <v>1185</v>
      </c>
      <c r="N117" s="8">
        <v>1.0</v>
      </c>
      <c r="O117" s="8" t="s">
        <v>85</v>
      </c>
      <c r="P117" s="8" t="s">
        <v>67</v>
      </c>
      <c r="Q117" s="8" t="s">
        <v>68</v>
      </c>
      <c r="R117" s="7" t="s">
        <v>1172</v>
      </c>
      <c r="S117" s="8" t="s">
        <v>111</v>
      </c>
      <c r="T117" s="8" t="s">
        <v>1186</v>
      </c>
      <c r="U117" s="28" t="s">
        <v>1187</v>
      </c>
      <c r="V117" s="28" t="s">
        <v>904</v>
      </c>
      <c r="W117" s="28" t="s">
        <v>1188</v>
      </c>
    </row>
    <row r="118" ht="15.0" customHeight="1">
      <c r="A118" s="7" t="s">
        <v>1189</v>
      </c>
      <c r="B118" s="8" t="s">
        <v>1190</v>
      </c>
      <c r="C118" s="8" t="s">
        <v>335</v>
      </c>
      <c r="D118" s="7" t="s">
        <v>530</v>
      </c>
      <c r="E118" s="7" t="s">
        <v>531</v>
      </c>
      <c r="F118" s="7" t="s">
        <v>268</v>
      </c>
      <c r="G118" s="7" t="str">
        <f t="shared" si="1"/>
        <v>Transmitir la fuerza a zapatas con juego de 5 a 7 mm</v>
      </c>
      <c r="H118" s="7" t="s">
        <v>79</v>
      </c>
      <c r="I118" s="8" t="s">
        <v>1192</v>
      </c>
      <c r="J118" s="7" t="s">
        <v>533</v>
      </c>
      <c r="K118" s="7" t="s">
        <v>534</v>
      </c>
      <c r="L118" s="7" t="s">
        <v>884</v>
      </c>
      <c r="M118" s="7" t="s">
        <v>1193</v>
      </c>
      <c r="N118" s="8">
        <v>1.0</v>
      </c>
      <c r="O118" s="8" t="s">
        <v>85</v>
      </c>
      <c r="P118" s="8" t="s">
        <v>67</v>
      </c>
      <c r="Q118" s="8" t="s">
        <v>68</v>
      </c>
      <c r="R118" s="7" t="s">
        <v>537</v>
      </c>
      <c r="S118" s="8" t="s">
        <v>419</v>
      </c>
      <c r="T118" s="8" t="s">
        <v>1021</v>
      </c>
      <c r="U118" s="7" t="s">
        <v>1194</v>
      </c>
      <c r="V118" s="7" t="s">
        <v>904</v>
      </c>
      <c r="W118" s="7" t="s">
        <v>1196</v>
      </c>
    </row>
    <row r="119" ht="15.0" customHeight="1">
      <c r="A119" s="7" t="s">
        <v>1197</v>
      </c>
      <c r="B119" s="8" t="s">
        <v>1198</v>
      </c>
      <c r="C119" s="8" t="s">
        <v>143</v>
      </c>
      <c r="D119" s="7" t="s">
        <v>349</v>
      </c>
      <c r="E119" s="28" t="s">
        <v>935</v>
      </c>
      <c r="F119" s="28" t="s">
        <v>351</v>
      </c>
      <c r="G119" s="7" t="str">
        <f t="shared" si="1"/>
        <v>Entregar potencia mecánica de _____ kW</v>
      </c>
      <c r="H119" s="7" t="s">
        <v>61</v>
      </c>
      <c r="I119" s="8" t="s">
        <v>1199</v>
      </c>
      <c r="J119" s="7"/>
      <c r="K119" s="7" t="s">
        <v>781</v>
      </c>
      <c r="L119" s="7" t="s">
        <v>1202</v>
      </c>
      <c r="M119" s="7" t="s">
        <v>1203</v>
      </c>
      <c r="N119" s="8">
        <v>1.0</v>
      </c>
      <c r="O119" s="8" t="s">
        <v>66</v>
      </c>
      <c r="P119" s="8" t="s">
        <v>67</v>
      </c>
      <c r="Q119" s="8" t="s">
        <v>68</v>
      </c>
      <c r="R119" s="7" t="s">
        <v>784</v>
      </c>
      <c r="S119" s="8" t="s">
        <v>111</v>
      </c>
      <c r="T119" s="8" t="s">
        <v>1045</v>
      </c>
      <c r="U119" s="28" t="s">
        <v>943</v>
      </c>
      <c r="V119" s="28" t="s">
        <v>944</v>
      </c>
      <c r="W119" s="28" t="s">
        <v>945</v>
      </c>
    </row>
    <row r="120" ht="23.25" customHeight="1">
      <c r="A120" s="7" t="s">
        <v>1205</v>
      </c>
      <c r="B120" s="8" t="s">
        <v>1206</v>
      </c>
      <c r="C120" s="8" t="s">
        <v>1207</v>
      </c>
      <c r="D120" s="7" t="s">
        <v>1208</v>
      </c>
      <c r="E120" s="28" t="s">
        <v>1209</v>
      </c>
      <c r="F120" s="28" t="s">
        <v>155</v>
      </c>
      <c r="G120" s="7" t="str">
        <f t="shared" si="1"/>
        <v>Accionar los cambios con presión de mando de _____ bar</v>
      </c>
      <c r="H120" s="7" t="s">
        <v>61</v>
      </c>
      <c r="I120" s="8" t="s">
        <v>1211</v>
      </c>
      <c r="J120" s="7"/>
      <c r="K120" s="7" t="s">
        <v>1212</v>
      </c>
      <c r="L120" s="7" t="s">
        <v>1213</v>
      </c>
      <c r="M120" s="7" t="s">
        <v>1214</v>
      </c>
      <c r="N120" s="8">
        <v>1.0</v>
      </c>
      <c r="O120" s="8" t="s">
        <v>1215</v>
      </c>
      <c r="P120" s="8" t="s">
        <v>67</v>
      </c>
      <c r="Q120" s="8" t="s">
        <v>68</v>
      </c>
      <c r="R120" s="7" t="s">
        <v>208</v>
      </c>
      <c r="S120" s="8" t="s">
        <v>111</v>
      </c>
      <c r="T120" s="8" t="s">
        <v>1216</v>
      </c>
      <c r="U120" s="28" t="s">
        <v>1217</v>
      </c>
      <c r="V120" s="28" t="s">
        <v>904</v>
      </c>
      <c r="W120" s="28" t="s">
        <v>1218</v>
      </c>
    </row>
    <row r="121" ht="15.0" customHeight="1">
      <c r="A121" s="7" t="s">
        <v>1220</v>
      </c>
      <c r="B121" s="8" t="s">
        <v>1221</v>
      </c>
      <c r="C121" s="8" t="s">
        <v>55</v>
      </c>
      <c r="D121" s="7" t="s">
        <v>1222</v>
      </c>
      <c r="E121" s="28" t="s">
        <v>705</v>
      </c>
      <c r="F121" s="28" t="s">
        <v>1223</v>
      </c>
      <c r="G121" s="7" t="str">
        <f t="shared" si="1"/>
        <v>Transportar al personal hasta _____ personas</v>
      </c>
      <c r="H121" s="7" t="s">
        <v>61</v>
      </c>
      <c r="I121" s="8" t="s">
        <v>1224</v>
      </c>
      <c r="J121" s="7"/>
      <c r="K121" s="7" t="s">
        <v>1225</v>
      </c>
      <c r="L121" s="7" t="s">
        <v>1226</v>
      </c>
      <c r="M121" s="7" t="s">
        <v>1227</v>
      </c>
      <c r="N121" s="8">
        <v>2.0</v>
      </c>
      <c r="O121" s="8" t="s">
        <v>66</v>
      </c>
      <c r="P121" s="8" t="s">
        <v>67</v>
      </c>
      <c r="Q121" s="8" t="s">
        <v>68</v>
      </c>
      <c r="R121" s="7" t="s">
        <v>595</v>
      </c>
      <c r="S121" s="8" t="s">
        <v>111</v>
      </c>
      <c r="T121" s="8" t="s">
        <v>71</v>
      </c>
      <c r="U121" s="28" t="s">
        <v>1229</v>
      </c>
      <c r="V121" s="28" t="s">
        <v>904</v>
      </c>
      <c r="W121" s="28" t="s">
        <v>1230</v>
      </c>
    </row>
    <row r="122" ht="15.0" customHeight="1">
      <c r="A122" s="7" t="s">
        <v>1231</v>
      </c>
      <c r="B122" s="8" t="s">
        <v>1232</v>
      </c>
      <c r="C122" s="8" t="s">
        <v>232</v>
      </c>
      <c r="D122" s="7" t="s">
        <v>165</v>
      </c>
      <c r="E122" s="28" t="s">
        <v>374</v>
      </c>
      <c r="F122" s="28" t="s">
        <v>155</v>
      </c>
      <c r="G122" s="7" t="str">
        <f t="shared" si="1"/>
        <v>Comprimir el aire a una presión de _____ bar</v>
      </c>
      <c r="H122" s="7" t="s">
        <v>61</v>
      </c>
      <c r="I122" s="8" t="s">
        <v>1234</v>
      </c>
      <c r="J122" s="7"/>
      <c r="K122" s="7" t="s">
        <v>376</v>
      </c>
      <c r="L122" s="7" t="s">
        <v>1235</v>
      </c>
      <c r="M122" s="7" t="s">
        <v>1236</v>
      </c>
      <c r="N122" s="8">
        <v>2.0</v>
      </c>
      <c r="O122" s="8" t="s">
        <v>66</v>
      </c>
      <c r="P122" s="8" t="s">
        <v>67</v>
      </c>
      <c r="Q122" s="8" t="s">
        <v>68</v>
      </c>
      <c r="R122" s="7" t="s">
        <v>379</v>
      </c>
      <c r="S122" s="8" t="s">
        <v>111</v>
      </c>
      <c r="T122" s="8" t="s">
        <v>303</v>
      </c>
      <c r="U122" s="28" t="s">
        <v>1042</v>
      </c>
      <c r="V122" s="28" t="s">
        <v>1043</v>
      </c>
      <c r="W122" s="28" t="s">
        <v>305</v>
      </c>
    </row>
    <row r="123" ht="15.0" customHeight="1">
      <c r="A123" s="7" t="s">
        <v>1231</v>
      </c>
      <c r="B123" s="8" t="s">
        <v>1239</v>
      </c>
      <c r="C123" s="8" t="s">
        <v>192</v>
      </c>
      <c r="D123" s="7" t="s">
        <v>223</v>
      </c>
      <c r="E123" s="28" t="s">
        <v>935</v>
      </c>
      <c r="F123" s="28" t="s">
        <v>384</v>
      </c>
      <c r="G123" s="7" t="str">
        <f t="shared" si="1"/>
        <v>Suministrar caudal de aire de _____ L/min</v>
      </c>
      <c r="H123" s="7" t="s">
        <v>61</v>
      </c>
      <c r="I123" s="8" t="s">
        <v>1234</v>
      </c>
      <c r="J123" s="7"/>
      <c r="K123" s="7" t="s">
        <v>696</v>
      </c>
      <c r="L123" s="7" t="s">
        <v>1235</v>
      </c>
      <c r="M123" s="7" t="s">
        <v>1236</v>
      </c>
      <c r="N123" s="8">
        <v>2.0</v>
      </c>
      <c r="O123" s="8" t="s">
        <v>66</v>
      </c>
      <c r="P123" s="8" t="s">
        <v>86</v>
      </c>
      <c r="Q123" s="8" t="s">
        <v>68</v>
      </c>
      <c r="R123" s="7" t="s">
        <v>228</v>
      </c>
      <c r="S123" s="8" t="s">
        <v>111</v>
      </c>
      <c r="T123" s="8" t="s">
        <v>1240</v>
      </c>
      <c r="U123" s="28" t="s">
        <v>1042</v>
      </c>
      <c r="V123" s="28" t="s">
        <v>1043</v>
      </c>
      <c r="W123" s="28" t="s">
        <v>1049</v>
      </c>
    </row>
    <row r="124" ht="23.25" customHeight="1">
      <c r="A124" s="7" t="s">
        <v>1241</v>
      </c>
      <c r="B124" s="8" t="s">
        <v>1242</v>
      </c>
      <c r="C124" s="8" t="s">
        <v>611</v>
      </c>
      <c r="D124" s="7" t="s">
        <v>612</v>
      </c>
      <c r="E124" s="7" t="s">
        <v>76</v>
      </c>
      <c r="F124" s="7" t="s">
        <v>613</v>
      </c>
      <c r="G124" s="7" t="str">
        <f t="shared" si="1"/>
        <v>Sellar la cabina con 0 filtraciones en prueba de agua</v>
      </c>
      <c r="H124" s="7" t="s">
        <v>61</v>
      </c>
      <c r="I124" s="8" t="s">
        <v>1243</v>
      </c>
      <c r="J124" s="7" t="s">
        <v>279</v>
      </c>
      <c r="K124" s="7" t="s">
        <v>280</v>
      </c>
      <c r="L124" s="7" t="s">
        <v>1244</v>
      </c>
      <c r="M124" s="7" t="s">
        <v>1245</v>
      </c>
      <c r="N124" s="8">
        <v>2.0</v>
      </c>
      <c r="O124" s="8" t="s">
        <v>187</v>
      </c>
      <c r="P124" s="8" t="s">
        <v>67</v>
      </c>
      <c r="Q124" s="8" t="s">
        <v>68</v>
      </c>
      <c r="R124" s="7" t="s">
        <v>285</v>
      </c>
      <c r="S124" s="8" t="s">
        <v>111</v>
      </c>
      <c r="T124" s="8" t="s">
        <v>1250</v>
      </c>
      <c r="U124" s="7" t="s">
        <v>1251</v>
      </c>
      <c r="V124" s="7" t="s">
        <v>904</v>
      </c>
      <c r="W124" s="7" t="s">
        <v>1252</v>
      </c>
    </row>
    <row r="125" ht="15.0" customHeight="1">
      <c r="A125" s="7" t="s">
        <v>1253</v>
      </c>
      <c r="B125" s="8" t="s">
        <v>1254</v>
      </c>
      <c r="C125" s="8" t="s">
        <v>717</v>
      </c>
      <c r="D125" s="7" t="s">
        <v>718</v>
      </c>
      <c r="E125" s="7" t="s">
        <v>719</v>
      </c>
      <c r="F125" s="7" t="s">
        <v>155</v>
      </c>
      <c r="G125" s="7" t="str">
        <f t="shared" si="1"/>
        <v>Retener el combustible a presión de prueba de 0,3 bar</v>
      </c>
      <c r="H125" s="7" t="s">
        <v>79</v>
      </c>
      <c r="I125" s="8" t="s">
        <v>1256</v>
      </c>
      <c r="J125" s="7"/>
      <c r="K125" s="7" t="s">
        <v>721</v>
      </c>
      <c r="L125" s="7" t="s">
        <v>1257</v>
      </c>
      <c r="M125" s="7" t="s">
        <v>1258</v>
      </c>
      <c r="N125" s="8">
        <v>1.0</v>
      </c>
      <c r="O125" s="8" t="s">
        <v>724</v>
      </c>
      <c r="P125" s="8" t="s">
        <v>86</v>
      </c>
      <c r="Q125" s="8" t="s">
        <v>68</v>
      </c>
      <c r="R125" s="7" t="s">
        <v>725</v>
      </c>
      <c r="S125" s="8" t="s">
        <v>726</v>
      </c>
      <c r="T125" s="8" t="s">
        <v>71</v>
      </c>
      <c r="U125" s="7" t="s">
        <v>1260</v>
      </c>
      <c r="V125" s="7" t="s">
        <v>1261</v>
      </c>
      <c r="W125" s="7" t="s">
        <v>1262</v>
      </c>
    </row>
    <row r="126" ht="15.0" customHeight="1">
      <c r="A126" s="7" t="s">
        <v>1263</v>
      </c>
      <c r="B126" s="8" t="s">
        <v>1264</v>
      </c>
      <c r="C126" s="8" t="s">
        <v>204</v>
      </c>
      <c r="D126" s="7" t="s">
        <v>510</v>
      </c>
      <c r="E126" s="28" t="s">
        <v>935</v>
      </c>
      <c r="F126" s="28" t="s">
        <v>512</v>
      </c>
      <c r="G126" s="7" t="str">
        <f t="shared" si="1"/>
        <v>Generar corriente de carga de _____ A</v>
      </c>
      <c r="H126" s="7" t="s">
        <v>61</v>
      </c>
      <c r="I126" s="8" t="s">
        <v>1266</v>
      </c>
      <c r="J126" s="7"/>
      <c r="K126" s="7" t="s">
        <v>1267</v>
      </c>
      <c r="L126" s="7" t="s">
        <v>1268</v>
      </c>
      <c r="M126" s="7" t="s">
        <v>1269</v>
      </c>
      <c r="N126" s="8">
        <v>2.0</v>
      </c>
      <c r="O126" s="8" t="s">
        <v>66</v>
      </c>
      <c r="P126" s="8" t="s">
        <v>67</v>
      </c>
      <c r="Q126" s="8" t="s">
        <v>68</v>
      </c>
      <c r="R126" s="7" t="s">
        <v>297</v>
      </c>
      <c r="S126" s="8" t="s">
        <v>111</v>
      </c>
      <c r="T126" s="8" t="s">
        <v>1270</v>
      </c>
      <c r="U126" s="28" t="s">
        <v>1271</v>
      </c>
      <c r="V126" s="28" t="s">
        <v>1272</v>
      </c>
      <c r="W126" s="28" t="s">
        <v>1273</v>
      </c>
    </row>
    <row r="127" ht="15.0" customHeight="1">
      <c r="A127" s="7" t="s">
        <v>1274</v>
      </c>
      <c r="B127" s="8" t="s">
        <v>1276</v>
      </c>
      <c r="C127" s="8" t="s">
        <v>192</v>
      </c>
      <c r="D127" s="7" t="s">
        <v>289</v>
      </c>
      <c r="E127" s="7" t="s">
        <v>290</v>
      </c>
      <c r="F127" s="7" t="s">
        <v>291</v>
      </c>
      <c r="G127" s="7" t="str">
        <f t="shared" si="1"/>
        <v>Suministrar la corriente de arranque con tensión mínima de 19,2 V</v>
      </c>
      <c r="H127" s="7" t="s">
        <v>61</v>
      </c>
      <c r="I127" s="8" t="s">
        <v>1280</v>
      </c>
      <c r="J127" s="7"/>
      <c r="K127" s="7" t="s">
        <v>733</v>
      </c>
      <c r="L127" s="7" t="s">
        <v>1281</v>
      </c>
      <c r="M127" s="7" t="s">
        <v>1282</v>
      </c>
      <c r="N127" s="8">
        <v>2.0</v>
      </c>
      <c r="O127" s="8" t="s">
        <v>66</v>
      </c>
      <c r="P127" s="8" t="s">
        <v>67</v>
      </c>
      <c r="Q127" s="8" t="s">
        <v>68</v>
      </c>
      <c r="R127" s="7" t="s">
        <v>297</v>
      </c>
      <c r="S127" s="8" t="s">
        <v>111</v>
      </c>
      <c r="T127" s="8" t="s">
        <v>1283</v>
      </c>
      <c r="U127" s="7" t="s">
        <v>1116</v>
      </c>
      <c r="V127" s="7" t="s">
        <v>904</v>
      </c>
      <c r="W127" s="7" t="s">
        <v>1117</v>
      </c>
    </row>
    <row r="128" ht="15.0" customHeight="1">
      <c r="A128" s="7" t="s">
        <v>1274</v>
      </c>
      <c r="B128" s="8" t="s">
        <v>1285</v>
      </c>
      <c r="C128" s="8" t="s">
        <v>300</v>
      </c>
      <c r="D128" s="7" t="s">
        <v>301</v>
      </c>
      <c r="E128" s="7" t="s">
        <v>290</v>
      </c>
      <c r="F128" s="7" t="s">
        <v>291</v>
      </c>
      <c r="G128" s="7" t="str">
        <f t="shared" si="1"/>
        <v>Almacenar energía eléctrica con tensión mínima de 19,2 V</v>
      </c>
      <c r="H128" s="7" t="s">
        <v>61</v>
      </c>
      <c r="I128" s="8" t="s">
        <v>1280</v>
      </c>
      <c r="J128" s="7"/>
      <c r="K128" s="7" t="s">
        <v>302</v>
      </c>
      <c r="L128" s="7" t="s">
        <v>1281</v>
      </c>
      <c r="M128" s="7" t="s">
        <v>1282</v>
      </c>
      <c r="N128" s="8">
        <v>2.0</v>
      </c>
      <c r="O128" s="8" t="s">
        <v>66</v>
      </c>
      <c r="P128" s="8" t="s">
        <v>67</v>
      </c>
      <c r="Q128" s="8" t="s">
        <v>68</v>
      </c>
      <c r="R128" s="7" t="s">
        <v>297</v>
      </c>
      <c r="S128" s="8" t="s">
        <v>111</v>
      </c>
      <c r="T128" s="8" t="s">
        <v>303</v>
      </c>
      <c r="U128" s="7" t="s">
        <v>1116</v>
      </c>
      <c r="V128" s="7" t="s">
        <v>904</v>
      </c>
      <c r="W128" s="7" t="s">
        <v>305</v>
      </c>
    </row>
    <row r="129" ht="15.0" customHeight="1">
      <c r="A129" s="7" t="s">
        <v>1287</v>
      </c>
      <c r="B129" s="8" t="s">
        <v>1288</v>
      </c>
      <c r="C129" s="8" t="s">
        <v>309</v>
      </c>
      <c r="D129" s="7" t="s">
        <v>310</v>
      </c>
      <c r="E129" s="7" t="s">
        <v>311</v>
      </c>
      <c r="F129" s="7" t="s">
        <v>155</v>
      </c>
      <c r="G129" s="7" t="str">
        <f t="shared" si="1"/>
        <v>Presurizar los cilindros de freno entre 3,7 y 3,9 bar</v>
      </c>
      <c r="H129" s="7" t="s">
        <v>79</v>
      </c>
      <c r="I129" s="8" t="s">
        <v>1290</v>
      </c>
      <c r="J129" s="7" t="s">
        <v>315</v>
      </c>
      <c r="K129" s="7" t="s">
        <v>316</v>
      </c>
      <c r="L129" s="7" t="s">
        <v>317</v>
      </c>
      <c r="M129" s="7" t="s">
        <v>1291</v>
      </c>
      <c r="N129" s="8">
        <v>2.0</v>
      </c>
      <c r="O129" s="8" t="s">
        <v>85</v>
      </c>
      <c r="P129" s="8" t="s">
        <v>86</v>
      </c>
      <c r="Q129" s="8" t="s">
        <v>68</v>
      </c>
      <c r="R129" s="7" t="s">
        <v>208</v>
      </c>
      <c r="S129" s="8" t="s">
        <v>89</v>
      </c>
      <c r="T129" s="8" t="s">
        <v>71</v>
      </c>
      <c r="U129" s="7" t="s">
        <v>1293</v>
      </c>
      <c r="V129" s="7" t="s">
        <v>904</v>
      </c>
      <c r="W129" s="7" t="s">
        <v>1148</v>
      </c>
    </row>
    <row r="130" ht="15.0" customHeight="1">
      <c r="A130" s="7" t="s">
        <v>1296</v>
      </c>
      <c r="B130" s="8" t="s">
        <v>1297</v>
      </c>
      <c r="C130" s="8" t="s">
        <v>335</v>
      </c>
      <c r="D130" s="7" t="s">
        <v>530</v>
      </c>
      <c r="E130" s="28" t="s">
        <v>1298</v>
      </c>
      <c r="F130" s="28" t="s">
        <v>268</v>
      </c>
      <c r="G130" s="7" t="str">
        <f t="shared" si="1"/>
        <v>Transmitir la fuerza a zapatas con juego de _____ mm</v>
      </c>
      <c r="H130" s="7" t="s">
        <v>79</v>
      </c>
      <c r="I130" s="8" t="s">
        <v>1300</v>
      </c>
      <c r="J130" s="7"/>
      <c r="K130" s="7" t="s">
        <v>760</v>
      </c>
      <c r="L130" s="7" t="s">
        <v>1301</v>
      </c>
      <c r="M130" s="7" t="s">
        <v>1302</v>
      </c>
      <c r="N130" s="8">
        <v>2.0</v>
      </c>
      <c r="O130" s="8" t="s">
        <v>85</v>
      </c>
      <c r="P130" s="8" t="s">
        <v>67</v>
      </c>
      <c r="Q130" s="8" t="s">
        <v>68</v>
      </c>
      <c r="R130" s="7" t="s">
        <v>657</v>
      </c>
      <c r="S130" s="8" t="s">
        <v>111</v>
      </c>
      <c r="T130" s="8" t="s">
        <v>1303</v>
      </c>
      <c r="U130" s="28" t="s">
        <v>1194</v>
      </c>
      <c r="V130" s="28" t="s">
        <v>904</v>
      </c>
      <c r="W130" s="28" t="s">
        <v>1304</v>
      </c>
    </row>
    <row r="131" ht="15.0" customHeight="1">
      <c r="A131" s="7" t="s">
        <v>1306</v>
      </c>
      <c r="B131" s="8" t="s">
        <v>1307</v>
      </c>
      <c r="C131" s="8" t="s">
        <v>143</v>
      </c>
      <c r="D131" s="7" t="s">
        <v>349</v>
      </c>
      <c r="E131" s="28" t="s">
        <v>935</v>
      </c>
      <c r="F131" s="28" t="s">
        <v>351</v>
      </c>
      <c r="G131" s="7" t="str">
        <f t="shared" si="1"/>
        <v>Entregar potencia mecánica de _____ kW</v>
      </c>
      <c r="H131" s="7" t="s">
        <v>61</v>
      </c>
      <c r="I131" s="8" t="s">
        <v>1308</v>
      </c>
      <c r="J131" s="7"/>
      <c r="K131" s="7" t="s">
        <v>781</v>
      </c>
      <c r="L131" s="7" t="s">
        <v>1309</v>
      </c>
      <c r="M131" s="7" t="s">
        <v>1310</v>
      </c>
      <c r="N131" s="8">
        <v>2.0</v>
      </c>
      <c r="O131" s="8" t="s">
        <v>66</v>
      </c>
      <c r="P131" s="8" t="s">
        <v>67</v>
      </c>
      <c r="Q131" s="8" t="s">
        <v>68</v>
      </c>
      <c r="R131" s="7" t="s">
        <v>784</v>
      </c>
      <c r="S131" s="8" t="s">
        <v>111</v>
      </c>
      <c r="T131" s="8" t="s">
        <v>1312</v>
      </c>
      <c r="U131" s="28" t="s">
        <v>943</v>
      </c>
      <c r="V131" s="28" t="s">
        <v>944</v>
      </c>
      <c r="W131" s="28" t="s">
        <v>945</v>
      </c>
    </row>
    <row r="132" ht="15.0" customHeight="1">
      <c r="A132" s="7" t="s">
        <v>1313</v>
      </c>
      <c r="B132" s="8" t="s">
        <v>1314</v>
      </c>
      <c r="C132" s="8" t="s">
        <v>335</v>
      </c>
      <c r="D132" s="7" t="s">
        <v>336</v>
      </c>
      <c r="E132" s="28" t="s">
        <v>705</v>
      </c>
      <c r="F132" s="28" t="s">
        <v>146</v>
      </c>
      <c r="G132" s="7" t="str">
        <f t="shared" si="1"/>
        <v>Transmitir el par motriz hasta _____ N·m</v>
      </c>
      <c r="H132" s="7" t="s">
        <v>61</v>
      </c>
      <c r="I132" s="8" t="s">
        <v>1316</v>
      </c>
      <c r="J132" s="7"/>
      <c r="K132" s="7" t="s">
        <v>791</v>
      </c>
      <c r="L132" s="7" t="s">
        <v>1317</v>
      </c>
      <c r="M132" s="7" t="s">
        <v>1318</v>
      </c>
      <c r="N132" s="8">
        <v>6.0</v>
      </c>
      <c r="O132" s="8" t="s">
        <v>66</v>
      </c>
      <c r="P132" s="8" t="s">
        <v>67</v>
      </c>
      <c r="Q132" s="8" t="s">
        <v>68</v>
      </c>
      <c r="R132" s="7" t="s">
        <v>346</v>
      </c>
      <c r="S132" s="8" t="s">
        <v>111</v>
      </c>
      <c r="T132" s="8" t="s">
        <v>1321</v>
      </c>
      <c r="U132" s="28" t="s">
        <v>1322</v>
      </c>
      <c r="V132" s="28" t="s">
        <v>904</v>
      </c>
      <c r="W132" s="28" t="s">
        <v>1110</v>
      </c>
    </row>
    <row r="133" ht="15.0" customHeight="1">
      <c r="A133" s="7" t="s">
        <v>1323</v>
      </c>
      <c r="B133" s="8" t="s">
        <v>1324</v>
      </c>
      <c r="C133" s="8" t="s">
        <v>335</v>
      </c>
      <c r="D133" s="7" t="s">
        <v>1326</v>
      </c>
      <c r="E133" s="28" t="s">
        <v>705</v>
      </c>
      <c r="F133" s="28" t="s">
        <v>351</v>
      </c>
      <c r="G133" s="7" t="str">
        <f t="shared" si="1"/>
        <v>Transmitir potencia auxiliar hasta _____ kW</v>
      </c>
      <c r="H133" s="7" t="s">
        <v>61</v>
      </c>
      <c r="I133" s="8" t="s">
        <v>1327</v>
      </c>
      <c r="J133" s="7"/>
      <c r="K133" s="7" t="s">
        <v>1328</v>
      </c>
      <c r="L133" s="7" t="s">
        <v>1329</v>
      </c>
      <c r="M133" s="7" t="s">
        <v>1330</v>
      </c>
      <c r="N133" s="8">
        <v>2.0</v>
      </c>
      <c r="O133" s="8" t="s">
        <v>66</v>
      </c>
      <c r="P133" s="8" t="s">
        <v>67</v>
      </c>
      <c r="Q133" s="8" t="s">
        <v>68</v>
      </c>
      <c r="R133" s="7" t="s">
        <v>748</v>
      </c>
      <c r="S133" s="8" t="s">
        <v>111</v>
      </c>
      <c r="T133" s="8" t="s">
        <v>1331</v>
      </c>
      <c r="U133" s="28" t="s">
        <v>1332</v>
      </c>
      <c r="V133" s="28" t="s">
        <v>904</v>
      </c>
      <c r="W133" s="28" t="s">
        <v>1334</v>
      </c>
    </row>
    <row r="134" ht="23.25" customHeight="1">
      <c r="A134" s="7" t="s">
        <v>1335</v>
      </c>
      <c r="B134" s="8" t="s">
        <v>1336</v>
      </c>
      <c r="C134" s="8" t="s">
        <v>1008</v>
      </c>
      <c r="D134" s="7" t="s">
        <v>588</v>
      </c>
      <c r="E134" s="28" t="s">
        <v>1009</v>
      </c>
      <c r="F134" s="28" t="s">
        <v>1010</v>
      </c>
      <c r="G134" s="7" t="str">
        <f t="shared" si="1"/>
        <v>Acoplar vehículos con tracción de _____ kN</v>
      </c>
      <c r="H134" s="7" t="s">
        <v>61</v>
      </c>
      <c r="I134" s="8" t="s">
        <v>1337</v>
      </c>
      <c r="J134" s="7"/>
      <c r="K134" s="7" t="s">
        <v>1012</v>
      </c>
      <c r="L134" s="7" t="s">
        <v>1335</v>
      </c>
      <c r="M134" s="7" t="s">
        <v>1338</v>
      </c>
      <c r="N134" s="8">
        <v>1.0</v>
      </c>
      <c r="O134" s="8" t="s">
        <v>1015</v>
      </c>
      <c r="P134" s="8" t="s">
        <v>67</v>
      </c>
      <c r="Q134" s="8" t="s">
        <v>68</v>
      </c>
      <c r="R134" s="7" t="s">
        <v>1016</v>
      </c>
      <c r="S134" s="8" t="s">
        <v>111</v>
      </c>
      <c r="T134" s="8" t="s">
        <v>1164</v>
      </c>
      <c r="U134" s="28" t="s">
        <v>1019</v>
      </c>
      <c r="V134" s="28" t="s">
        <v>919</v>
      </c>
      <c r="W134" s="28" t="s">
        <v>1020</v>
      </c>
    </row>
    <row r="135" ht="15.0" customHeight="1">
      <c r="A135" s="7" t="s">
        <v>1335</v>
      </c>
      <c r="B135" s="8" t="s">
        <v>1340</v>
      </c>
      <c r="C135" s="8" t="s">
        <v>152</v>
      </c>
      <c r="D135" s="7" t="s">
        <v>1023</v>
      </c>
      <c r="E135" s="28" t="s">
        <v>1024</v>
      </c>
      <c r="F135" s="28" t="s">
        <v>268</v>
      </c>
      <c r="G135" s="7" t="str">
        <f t="shared" si="1"/>
        <v>Mantener la altura del enganche entre _____ y _____ mm</v>
      </c>
      <c r="H135" s="7" t="s">
        <v>79</v>
      </c>
      <c r="I135" s="8" t="s">
        <v>1337</v>
      </c>
      <c r="J135" s="7"/>
      <c r="K135" s="7" t="s">
        <v>1026</v>
      </c>
      <c r="L135" s="7" t="s">
        <v>1335</v>
      </c>
      <c r="M135" s="7" t="s">
        <v>1338</v>
      </c>
      <c r="N135" s="8">
        <v>1.0</v>
      </c>
      <c r="O135" s="8" t="s">
        <v>1015</v>
      </c>
      <c r="P135" s="8" t="s">
        <v>86</v>
      </c>
      <c r="Q135" s="8" t="s">
        <v>68</v>
      </c>
      <c r="R135" s="7" t="s">
        <v>1027</v>
      </c>
      <c r="S135" s="8" t="s">
        <v>111</v>
      </c>
      <c r="T135" s="8" t="s">
        <v>71</v>
      </c>
      <c r="U135" s="28" t="s">
        <v>1019</v>
      </c>
      <c r="V135" s="28" t="s">
        <v>919</v>
      </c>
      <c r="W135" s="28" t="s">
        <v>1028</v>
      </c>
    </row>
    <row r="136" ht="15.0" customHeight="1">
      <c r="A136" s="7" t="s">
        <v>1346</v>
      </c>
      <c r="B136" s="8" t="s">
        <v>1347</v>
      </c>
      <c r="C136" s="8" t="s">
        <v>587</v>
      </c>
      <c r="D136" s="7" t="s">
        <v>683</v>
      </c>
      <c r="E136" s="28" t="s">
        <v>705</v>
      </c>
      <c r="F136" s="28" t="s">
        <v>959</v>
      </c>
      <c r="G136" s="7" t="str">
        <f t="shared" si="1"/>
        <v>Remolcar trenes de trabajo hasta _____ t</v>
      </c>
      <c r="H136" s="7" t="s">
        <v>61</v>
      </c>
      <c r="I136" s="8" t="s">
        <v>1348</v>
      </c>
      <c r="J136" s="7"/>
      <c r="K136" s="7" t="s">
        <v>687</v>
      </c>
      <c r="L136" s="7" t="s">
        <v>1346</v>
      </c>
      <c r="M136" s="7" t="s">
        <v>1349</v>
      </c>
      <c r="N136" s="8">
        <v>1.0</v>
      </c>
      <c r="O136" s="8" t="s">
        <v>66</v>
      </c>
      <c r="P136" s="8" t="s">
        <v>67</v>
      </c>
      <c r="Q136" s="8" t="s">
        <v>68</v>
      </c>
      <c r="R136" s="7" t="s">
        <v>595</v>
      </c>
      <c r="S136" s="8" t="s">
        <v>111</v>
      </c>
      <c r="T136" s="8" t="s">
        <v>71</v>
      </c>
      <c r="U136" s="28" t="s">
        <v>1034</v>
      </c>
      <c r="V136" s="28" t="s">
        <v>904</v>
      </c>
      <c r="W136" s="28" t="s">
        <v>1035</v>
      </c>
    </row>
    <row r="137" ht="15.0" customHeight="1">
      <c r="A137" s="7" t="s">
        <v>1352</v>
      </c>
      <c r="B137" s="8" t="s">
        <v>1353</v>
      </c>
      <c r="C137" s="8" t="s">
        <v>232</v>
      </c>
      <c r="D137" s="7" t="s">
        <v>165</v>
      </c>
      <c r="E137" s="28" t="s">
        <v>374</v>
      </c>
      <c r="F137" s="28" t="s">
        <v>155</v>
      </c>
      <c r="G137" s="7" t="str">
        <f t="shared" si="1"/>
        <v>Comprimir el aire a una presión de _____ bar</v>
      </c>
      <c r="H137" s="7" t="s">
        <v>61</v>
      </c>
      <c r="I137" s="8" t="s">
        <v>1354</v>
      </c>
      <c r="J137" s="7"/>
      <c r="K137" s="7" t="s">
        <v>376</v>
      </c>
      <c r="L137" s="7" t="s">
        <v>1356</v>
      </c>
      <c r="M137" s="7" t="s">
        <v>1357</v>
      </c>
      <c r="N137" s="8">
        <v>1.0</v>
      </c>
      <c r="O137" s="8" t="s">
        <v>66</v>
      </c>
      <c r="P137" s="8" t="s">
        <v>67</v>
      </c>
      <c r="Q137" s="8" t="s">
        <v>68</v>
      </c>
      <c r="R137" s="7" t="s">
        <v>379</v>
      </c>
      <c r="S137" s="8" t="s">
        <v>111</v>
      </c>
      <c r="T137" s="8" t="s">
        <v>303</v>
      </c>
      <c r="U137" s="28" t="s">
        <v>1042</v>
      </c>
      <c r="V137" s="28" t="s">
        <v>1043</v>
      </c>
      <c r="W137" s="28" t="s">
        <v>305</v>
      </c>
    </row>
    <row r="138" ht="15.0" customHeight="1">
      <c r="A138" s="7" t="s">
        <v>1352</v>
      </c>
      <c r="B138" s="8" t="s">
        <v>1358</v>
      </c>
      <c r="C138" s="8" t="s">
        <v>192</v>
      </c>
      <c r="D138" s="7" t="s">
        <v>223</v>
      </c>
      <c r="E138" s="28" t="s">
        <v>935</v>
      </c>
      <c r="F138" s="28" t="s">
        <v>384</v>
      </c>
      <c r="G138" s="7" t="str">
        <f t="shared" si="1"/>
        <v>Suministrar caudal de aire de _____ L/min</v>
      </c>
      <c r="H138" s="7" t="s">
        <v>61</v>
      </c>
      <c r="I138" s="8" t="s">
        <v>1354</v>
      </c>
      <c r="J138" s="7"/>
      <c r="K138" s="7" t="s">
        <v>696</v>
      </c>
      <c r="L138" s="7" t="s">
        <v>1356</v>
      </c>
      <c r="M138" s="7" t="s">
        <v>1357</v>
      </c>
      <c r="N138" s="8">
        <v>1.0</v>
      </c>
      <c r="O138" s="8" t="s">
        <v>66</v>
      </c>
      <c r="P138" s="8" t="s">
        <v>86</v>
      </c>
      <c r="Q138" s="8" t="s">
        <v>68</v>
      </c>
      <c r="R138" s="7" t="s">
        <v>228</v>
      </c>
      <c r="S138" s="8" t="s">
        <v>111</v>
      </c>
      <c r="T138" s="8" t="s">
        <v>1360</v>
      </c>
      <c r="U138" s="28" t="s">
        <v>1042</v>
      </c>
      <c r="V138" s="28" t="s">
        <v>1043</v>
      </c>
      <c r="W138" s="28" t="s">
        <v>1049</v>
      </c>
    </row>
    <row r="139" ht="15.0" customHeight="1">
      <c r="A139" s="7" t="s">
        <v>1363</v>
      </c>
      <c r="B139" s="8" t="s">
        <v>1364</v>
      </c>
      <c r="C139" s="8" t="s">
        <v>611</v>
      </c>
      <c r="D139" s="7" t="s">
        <v>612</v>
      </c>
      <c r="E139" s="7" t="s">
        <v>76</v>
      </c>
      <c r="F139" s="7" t="s">
        <v>613</v>
      </c>
      <c r="G139" s="7" t="str">
        <f t="shared" si="1"/>
        <v>Sellar la cabina con 0 filtraciones en prueba de agua</v>
      </c>
      <c r="H139" s="7" t="s">
        <v>61</v>
      </c>
      <c r="I139" s="8" t="s">
        <v>1365</v>
      </c>
      <c r="J139" s="7" t="s">
        <v>279</v>
      </c>
      <c r="K139" s="7" t="s">
        <v>280</v>
      </c>
      <c r="L139" s="7" t="s">
        <v>1366</v>
      </c>
      <c r="M139" s="7" t="s">
        <v>1368</v>
      </c>
      <c r="N139" s="8">
        <v>1.0</v>
      </c>
      <c r="O139" s="8" t="s">
        <v>187</v>
      </c>
      <c r="P139" s="8" t="s">
        <v>67</v>
      </c>
      <c r="Q139" s="8" t="s">
        <v>68</v>
      </c>
      <c r="R139" s="7" t="s">
        <v>285</v>
      </c>
      <c r="S139" s="8" t="s">
        <v>111</v>
      </c>
      <c r="T139" s="8" t="s">
        <v>1206</v>
      </c>
      <c r="U139" s="7" t="s">
        <v>1251</v>
      </c>
      <c r="V139" s="7" t="s">
        <v>904</v>
      </c>
      <c r="W139" s="7" t="s">
        <v>1252</v>
      </c>
    </row>
    <row r="140" ht="23.25" customHeight="1">
      <c r="A140" s="7" t="s">
        <v>1369</v>
      </c>
      <c r="B140" s="8" t="s">
        <v>1370</v>
      </c>
      <c r="C140" s="8" t="s">
        <v>204</v>
      </c>
      <c r="D140" s="7" t="s">
        <v>510</v>
      </c>
      <c r="E140" s="28" t="s">
        <v>935</v>
      </c>
      <c r="F140" s="28" t="s">
        <v>512</v>
      </c>
      <c r="G140" s="7" t="str">
        <f t="shared" si="1"/>
        <v>Generar corriente de carga de _____ A</v>
      </c>
      <c r="H140" s="7" t="s">
        <v>61</v>
      </c>
      <c r="I140" s="8" t="s">
        <v>1372</v>
      </c>
      <c r="J140" s="7"/>
      <c r="K140" s="7" t="s">
        <v>1267</v>
      </c>
      <c r="L140" s="7" t="s">
        <v>1373</v>
      </c>
      <c r="M140" s="7" t="s">
        <v>1374</v>
      </c>
      <c r="N140" s="8">
        <v>1.0</v>
      </c>
      <c r="O140" s="8" t="s">
        <v>66</v>
      </c>
      <c r="P140" s="8" t="s">
        <v>67</v>
      </c>
      <c r="Q140" s="8" t="s">
        <v>68</v>
      </c>
      <c r="R140" s="7" t="s">
        <v>297</v>
      </c>
      <c r="S140" s="8" t="s">
        <v>111</v>
      </c>
      <c r="T140" s="8" t="s">
        <v>1239</v>
      </c>
      <c r="U140" s="28" t="s">
        <v>1271</v>
      </c>
      <c r="V140" s="28" t="s">
        <v>1272</v>
      </c>
      <c r="W140" s="28" t="s">
        <v>1273</v>
      </c>
    </row>
    <row r="141" ht="15.0" customHeight="1">
      <c r="A141" s="7" t="s">
        <v>1376</v>
      </c>
      <c r="B141" s="8" t="s">
        <v>1377</v>
      </c>
      <c r="C141" s="8" t="s">
        <v>192</v>
      </c>
      <c r="D141" s="7" t="s">
        <v>289</v>
      </c>
      <c r="E141" s="7" t="s">
        <v>290</v>
      </c>
      <c r="F141" s="7" t="s">
        <v>291</v>
      </c>
      <c r="G141" s="7" t="str">
        <f t="shared" si="1"/>
        <v>Suministrar la corriente de arranque con tensión mínima de 19,2 V</v>
      </c>
      <c r="H141" s="7" t="s">
        <v>61</v>
      </c>
      <c r="I141" s="8" t="s">
        <v>1378</v>
      </c>
      <c r="J141" s="7"/>
      <c r="K141" s="7" t="s">
        <v>733</v>
      </c>
      <c r="L141" s="7" t="s">
        <v>1379</v>
      </c>
      <c r="M141" s="7" t="s">
        <v>1380</v>
      </c>
      <c r="N141" s="8">
        <v>1.0</v>
      </c>
      <c r="O141" s="8" t="s">
        <v>66</v>
      </c>
      <c r="P141" s="8" t="s">
        <v>67</v>
      </c>
      <c r="Q141" s="8" t="s">
        <v>68</v>
      </c>
      <c r="R141" s="7" t="s">
        <v>297</v>
      </c>
      <c r="S141" s="8" t="s">
        <v>111</v>
      </c>
      <c r="T141" s="8" t="s">
        <v>1382</v>
      </c>
      <c r="U141" s="7" t="s">
        <v>1116</v>
      </c>
      <c r="V141" s="7" t="s">
        <v>904</v>
      </c>
      <c r="W141" s="7" t="s">
        <v>1117</v>
      </c>
    </row>
    <row r="142" ht="15.0" customHeight="1">
      <c r="A142" s="7" t="s">
        <v>1376</v>
      </c>
      <c r="B142" s="8" t="s">
        <v>1383</v>
      </c>
      <c r="C142" s="8" t="s">
        <v>300</v>
      </c>
      <c r="D142" s="7" t="s">
        <v>301</v>
      </c>
      <c r="E142" s="7" t="s">
        <v>290</v>
      </c>
      <c r="F142" s="7" t="s">
        <v>291</v>
      </c>
      <c r="G142" s="7" t="str">
        <f t="shared" si="1"/>
        <v>Almacenar energía eléctrica con tensión mínima de 19,2 V</v>
      </c>
      <c r="H142" s="7" t="s">
        <v>61</v>
      </c>
      <c r="I142" s="8" t="s">
        <v>1378</v>
      </c>
      <c r="J142" s="7"/>
      <c r="K142" s="7" t="s">
        <v>302</v>
      </c>
      <c r="L142" s="7" t="s">
        <v>1379</v>
      </c>
      <c r="M142" s="7" t="s">
        <v>1380</v>
      </c>
      <c r="N142" s="8">
        <v>1.0</v>
      </c>
      <c r="O142" s="8" t="s">
        <v>66</v>
      </c>
      <c r="P142" s="8" t="s">
        <v>67</v>
      </c>
      <c r="Q142" s="8" t="s">
        <v>68</v>
      </c>
      <c r="R142" s="7" t="s">
        <v>297</v>
      </c>
      <c r="S142" s="8" t="s">
        <v>111</v>
      </c>
      <c r="T142" s="8" t="s">
        <v>303</v>
      </c>
      <c r="U142" s="7" t="s">
        <v>1116</v>
      </c>
      <c r="V142" s="7" t="s">
        <v>904</v>
      </c>
      <c r="W142" s="7" t="s">
        <v>305</v>
      </c>
    </row>
    <row r="143" ht="15.0" customHeight="1">
      <c r="A143" s="7" t="s">
        <v>1387</v>
      </c>
      <c r="B143" s="8" t="s">
        <v>1388</v>
      </c>
      <c r="C143" s="8" t="s">
        <v>1389</v>
      </c>
      <c r="D143" s="7" t="s">
        <v>1390</v>
      </c>
      <c r="E143" s="28" t="s">
        <v>1391</v>
      </c>
      <c r="F143" s="28" t="s">
        <v>1392</v>
      </c>
      <c r="G143" s="7" t="str">
        <f t="shared" si="1"/>
        <v>Arrancar el motor diésel en un máximo de _____ s</v>
      </c>
      <c r="H143" s="7" t="s">
        <v>61</v>
      </c>
      <c r="I143" s="8" t="s">
        <v>1393</v>
      </c>
      <c r="J143" s="7"/>
      <c r="K143" s="7" t="s">
        <v>1394</v>
      </c>
      <c r="L143" s="7" t="s">
        <v>1395</v>
      </c>
      <c r="M143" s="7" t="s">
        <v>1396</v>
      </c>
      <c r="N143" s="8">
        <v>1.0</v>
      </c>
      <c r="O143" s="8" t="s">
        <v>66</v>
      </c>
      <c r="P143" s="8" t="s">
        <v>67</v>
      </c>
      <c r="Q143" s="8" t="s">
        <v>68</v>
      </c>
      <c r="R143" s="7" t="s">
        <v>1397</v>
      </c>
      <c r="S143" s="8" t="s">
        <v>111</v>
      </c>
      <c r="T143" s="8" t="s">
        <v>1398</v>
      </c>
      <c r="U143" s="28" t="s">
        <v>1399</v>
      </c>
      <c r="V143" s="28" t="s">
        <v>904</v>
      </c>
      <c r="W143" s="28" t="s">
        <v>1400</v>
      </c>
    </row>
    <row r="144" ht="23.25" customHeight="1">
      <c r="A144" s="7" t="s">
        <v>1401</v>
      </c>
      <c r="B144" s="8" t="s">
        <v>1402</v>
      </c>
      <c r="C144" s="8" t="s">
        <v>555</v>
      </c>
      <c r="D144" s="7" t="s">
        <v>557</v>
      </c>
      <c r="E144" s="28" t="s">
        <v>705</v>
      </c>
      <c r="F144" s="28" t="s">
        <v>146</v>
      </c>
      <c r="G144" s="7" t="str">
        <f t="shared" si="1"/>
        <v>Distribuir el par entre ejes hasta _____ N·m</v>
      </c>
      <c r="H144" s="7" t="s">
        <v>61</v>
      </c>
      <c r="I144" s="8" t="s">
        <v>1404</v>
      </c>
      <c r="J144" s="7"/>
      <c r="K144" s="7" t="s">
        <v>561</v>
      </c>
      <c r="L144" s="7" t="s">
        <v>1405</v>
      </c>
      <c r="M144" s="7" t="s">
        <v>1406</v>
      </c>
      <c r="N144" s="8">
        <v>1.0</v>
      </c>
      <c r="O144" s="8" t="s">
        <v>66</v>
      </c>
      <c r="P144" s="8" t="s">
        <v>67</v>
      </c>
      <c r="Q144" s="8" t="s">
        <v>68</v>
      </c>
      <c r="R144" s="7" t="s">
        <v>564</v>
      </c>
      <c r="S144" s="8" t="s">
        <v>111</v>
      </c>
      <c r="T144" s="8" t="s">
        <v>1254</v>
      </c>
      <c r="U144" s="28" t="s">
        <v>953</v>
      </c>
      <c r="V144" s="28" t="s">
        <v>904</v>
      </c>
      <c r="W144" s="28" t="s">
        <v>954</v>
      </c>
    </row>
    <row r="145" ht="15.0" customHeight="1">
      <c r="A145" s="7" t="s">
        <v>1412</v>
      </c>
      <c r="B145" s="8" t="s">
        <v>1413</v>
      </c>
      <c r="C145" s="8" t="s">
        <v>335</v>
      </c>
      <c r="D145" s="7" t="s">
        <v>336</v>
      </c>
      <c r="E145" s="28" t="s">
        <v>705</v>
      </c>
      <c r="F145" s="28" t="s">
        <v>146</v>
      </c>
      <c r="G145" s="7" t="str">
        <f t="shared" si="1"/>
        <v>Transmitir el par motriz hasta _____ N·m</v>
      </c>
      <c r="H145" s="7" t="s">
        <v>61</v>
      </c>
      <c r="I145" s="8" t="s">
        <v>1414</v>
      </c>
      <c r="J145" s="7"/>
      <c r="K145" s="7" t="s">
        <v>791</v>
      </c>
      <c r="L145" s="7" t="s">
        <v>1415</v>
      </c>
      <c r="M145" s="7" t="s">
        <v>1416</v>
      </c>
      <c r="N145" s="8">
        <v>1.0</v>
      </c>
      <c r="O145" s="8" t="s">
        <v>66</v>
      </c>
      <c r="P145" s="8" t="s">
        <v>67</v>
      </c>
      <c r="Q145" s="8" t="s">
        <v>68</v>
      </c>
      <c r="R145" s="7" t="s">
        <v>346</v>
      </c>
      <c r="S145" s="8" t="s">
        <v>111</v>
      </c>
      <c r="T145" s="8" t="s">
        <v>1417</v>
      </c>
      <c r="U145" s="28" t="s">
        <v>1322</v>
      </c>
      <c r="V145" s="28" t="s">
        <v>904</v>
      </c>
      <c r="W145" s="28" t="s">
        <v>1110</v>
      </c>
    </row>
    <row r="146" ht="15.0" customHeight="1">
      <c r="A146" s="7" t="s">
        <v>1418</v>
      </c>
      <c r="B146" s="8" t="s">
        <v>1419</v>
      </c>
      <c r="C146" s="8" t="s">
        <v>55</v>
      </c>
      <c r="D146" s="7" t="s">
        <v>1420</v>
      </c>
      <c r="E146" s="28" t="s">
        <v>705</v>
      </c>
      <c r="F146" s="28" t="s">
        <v>959</v>
      </c>
      <c r="G146" s="7" t="str">
        <f t="shared" si="1"/>
        <v>Transportar material de vía hasta _____ t</v>
      </c>
      <c r="H146" s="7" t="s">
        <v>61</v>
      </c>
      <c r="I146" s="8" t="s">
        <v>1424</v>
      </c>
      <c r="J146" s="7"/>
      <c r="K146" s="7" t="s">
        <v>1428</v>
      </c>
      <c r="L146" s="7" t="s">
        <v>1429</v>
      </c>
      <c r="M146" s="7" t="s">
        <v>1430</v>
      </c>
      <c r="N146" s="8">
        <v>7.0</v>
      </c>
      <c r="O146" s="8" t="s">
        <v>66</v>
      </c>
      <c r="P146" s="8" t="s">
        <v>67</v>
      </c>
      <c r="Q146" s="8" t="s">
        <v>68</v>
      </c>
      <c r="R146" s="7" t="s">
        <v>1431</v>
      </c>
      <c r="S146" s="8" t="s">
        <v>111</v>
      </c>
      <c r="T146" s="8" t="s">
        <v>71</v>
      </c>
      <c r="U146" s="28" t="s">
        <v>1432</v>
      </c>
      <c r="V146" s="28" t="s">
        <v>904</v>
      </c>
      <c r="W146" s="28" t="s">
        <v>1433</v>
      </c>
    </row>
    <row r="147" ht="15.0" customHeight="1">
      <c r="A147" s="7" t="s">
        <v>1434</v>
      </c>
      <c r="B147" s="8" t="s">
        <v>1435</v>
      </c>
      <c r="C147" s="8" t="s">
        <v>265</v>
      </c>
      <c r="D147" s="7" t="s">
        <v>266</v>
      </c>
      <c r="E147" s="7" t="s">
        <v>267</v>
      </c>
      <c r="F147" s="7" t="s">
        <v>268</v>
      </c>
      <c r="G147" s="7" t="str">
        <f t="shared" si="1"/>
        <v>Impedir el remonte de pestaña con cota qR ≥ 6,5 mm</v>
      </c>
      <c r="H147" s="7" t="s">
        <v>79</v>
      </c>
      <c r="I147" s="8" t="s">
        <v>1436</v>
      </c>
      <c r="J147" s="7" t="s">
        <v>269</v>
      </c>
      <c r="K147" s="7" t="s">
        <v>270</v>
      </c>
      <c r="L147" s="7" t="s">
        <v>1434</v>
      </c>
      <c r="M147" s="7" t="s">
        <v>1437</v>
      </c>
      <c r="N147" s="8">
        <v>1.0</v>
      </c>
      <c r="O147" s="8" t="s">
        <v>85</v>
      </c>
      <c r="P147" s="8" t="s">
        <v>86</v>
      </c>
      <c r="Q147" s="8" t="s">
        <v>87</v>
      </c>
      <c r="R147" s="7" t="s">
        <v>271</v>
      </c>
      <c r="S147" s="8" t="s">
        <v>89</v>
      </c>
      <c r="T147" s="8" t="s">
        <v>1276</v>
      </c>
      <c r="U147" s="7" t="s">
        <v>1095</v>
      </c>
      <c r="V147" s="7" t="s">
        <v>919</v>
      </c>
      <c r="W147" s="7" t="s">
        <v>972</v>
      </c>
    </row>
    <row r="148" ht="15.0" customHeight="1">
      <c r="A148" s="7" t="s">
        <v>1438</v>
      </c>
      <c r="B148" s="8" t="s">
        <v>1439</v>
      </c>
      <c r="C148" s="8" t="s">
        <v>252</v>
      </c>
      <c r="D148" s="7" t="s">
        <v>958</v>
      </c>
      <c r="E148" s="28" t="s">
        <v>705</v>
      </c>
      <c r="F148" s="28" t="s">
        <v>959</v>
      </c>
      <c r="G148" s="7" t="str">
        <f t="shared" si="1"/>
        <v>Soportar la carga por eje hasta _____ t</v>
      </c>
      <c r="H148" s="7" t="s">
        <v>79</v>
      </c>
      <c r="I148" s="8" t="s">
        <v>1441</v>
      </c>
      <c r="J148" s="7"/>
      <c r="K148" s="7" t="s">
        <v>961</v>
      </c>
      <c r="L148" s="7" t="s">
        <v>1443</v>
      </c>
      <c r="M148" s="7" t="s">
        <v>1445</v>
      </c>
      <c r="N148" s="8">
        <v>6.0</v>
      </c>
      <c r="O148" s="8" t="s">
        <v>260</v>
      </c>
      <c r="P148" s="8" t="s">
        <v>86</v>
      </c>
      <c r="Q148" s="8" t="s">
        <v>87</v>
      </c>
      <c r="R148" s="7" t="s">
        <v>261</v>
      </c>
      <c r="S148" s="8" t="s">
        <v>111</v>
      </c>
      <c r="T148" s="8" t="s">
        <v>1446</v>
      </c>
      <c r="U148" s="28" t="s">
        <v>1447</v>
      </c>
      <c r="V148" s="28" t="s">
        <v>919</v>
      </c>
      <c r="W148" s="28" t="s">
        <v>967</v>
      </c>
    </row>
    <row r="149" ht="23.25" customHeight="1">
      <c r="A149" s="7" t="s">
        <v>1438</v>
      </c>
      <c r="B149" s="8" t="s">
        <v>1448</v>
      </c>
      <c r="C149" s="8" t="s">
        <v>265</v>
      </c>
      <c r="D149" s="7" t="s">
        <v>266</v>
      </c>
      <c r="E149" s="7" t="s">
        <v>267</v>
      </c>
      <c r="F149" s="7" t="s">
        <v>268</v>
      </c>
      <c r="G149" s="7" t="str">
        <f t="shared" si="1"/>
        <v>Impedir el remonte de pestaña con cota qR ≥ 6,5 mm</v>
      </c>
      <c r="H149" s="7" t="s">
        <v>79</v>
      </c>
      <c r="I149" s="8" t="s">
        <v>1441</v>
      </c>
      <c r="J149" s="7" t="s">
        <v>269</v>
      </c>
      <c r="K149" s="7" t="s">
        <v>270</v>
      </c>
      <c r="L149" s="7" t="s">
        <v>1443</v>
      </c>
      <c r="M149" s="7" t="s">
        <v>1445</v>
      </c>
      <c r="N149" s="8">
        <v>6.0</v>
      </c>
      <c r="O149" s="8" t="s">
        <v>85</v>
      </c>
      <c r="P149" s="8" t="s">
        <v>67</v>
      </c>
      <c r="Q149" s="8" t="s">
        <v>87</v>
      </c>
      <c r="R149" s="7" t="s">
        <v>271</v>
      </c>
      <c r="S149" s="8" t="s">
        <v>89</v>
      </c>
      <c r="T149" s="8" t="s">
        <v>1450</v>
      </c>
      <c r="U149" s="7" t="s">
        <v>1447</v>
      </c>
      <c r="V149" s="7" t="s">
        <v>919</v>
      </c>
      <c r="W149" s="7" t="s">
        <v>972</v>
      </c>
    </row>
    <row r="150" ht="23.25" customHeight="1">
      <c r="A150" s="7" t="s">
        <v>1438</v>
      </c>
      <c r="B150" s="8" t="s">
        <v>1451</v>
      </c>
      <c r="C150" s="8" t="s">
        <v>152</v>
      </c>
      <c r="D150" s="7" t="s">
        <v>480</v>
      </c>
      <c r="E150" s="7" t="s">
        <v>481</v>
      </c>
      <c r="F150" s="7" t="s">
        <v>268</v>
      </c>
      <c r="G150" s="7" t="str">
        <f t="shared" si="1"/>
        <v>Mantener la distancia entre ruedas de 1.357 a 1.363 mm</v>
      </c>
      <c r="H150" s="7" t="s">
        <v>79</v>
      </c>
      <c r="I150" s="8" t="s">
        <v>1441</v>
      </c>
      <c r="J150" s="7" t="s">
        <v>269</v>
      </c>
      <c r="K150" s="7" t="s">
        <v>484</v>
      </c>
      <c r="L150" s="7" t="s">
        <v>1443</v>
      </c>
      <c r="M150" s="7" t="s">
        <v>1445</v>
      </c>
      <c r="N150" s="8">
        <v>6.0</v>
      </c>
      <c r="O150" s="8" t="s">
        <v>85</v>
      </c>
      <c r="P150" s="8" t="s">
        <v>86</v>
      </c>
      <c r="Q150" s="8" t="s">
        <v>87</v>
      </c>
      <c r="R150" s="7" t="s">
        <v>485</v>
      </c>
      <c r="S150" s="8" t="s">
        <v>89</v>
      </c>
      <c r="T150" s="8" t="s">
        <v>71</v>
      </c>
      <c r="U150" s="7" t="s">
        <v>1447</v>
      </c>
      <c r="V150" s="7" t="s">
        <v>919</v>
      </c>
      <c r="W150" s="7" t="s">
        <v>975</v>
      </c>
    </row>
    <row r="151" ht="15.0" customHeight="1">
      <c r="A151" s="7" t="s">
        <v>1438</v>
      </c>
      <c r="B151" s="8" t="s">
        <v>1452</v>
      </c>
      <c r="C151" s="8" t="s">
        <v>978</v>
      </c>
      <c r="D151" s="7" t="s">
        <v>979</v>
      </c>
      <c r="E151" s="28" t="s">
        <v>980</v>
      </c>
      <c r="F151" s="28" t="s">
        <v>268</v>
      </c>
      <c r="G151" s="7" t="str">
        <f t="shared" si="1"/>
        <v>Guiar el eje con pestaña de _____ mm</v>
      </c>
      <c r="H151" s="7" t="s">
        <v>79</v>
      </c>
      <c r="I151" s="8" t="s">
        <v>1441</v>
      </c>
      <c r="J151" s="7"/>
      <c r="K151" s="7" t="s">
        <v>981</v>
      </c>
      <c r="L151" s="7" t="s">
        <v>1443</v>
      </c>
      <c r="M151" s="7" t="s">
        <v>1445</v>
      </c>
      <c r="N151" s="8">
        <v>6.0</v>
      </c>
      <c r="O151" s="8" t="s">
        <v>85</v>
      </c>
      <c r="P151" s="8" t="s">
        <v>86</v>
      </c>
      <c r="Q151" s="8" t="s">
        <v>87</v>
      </c>
      <c r="R151" s="7" t="s">
        <v>271</v>
      </c>
      <c r="S151" s="8" t="s">
        <v>111</v>
      </c>
      <c r="T151" s="8" t="s">
        <v>71</v>
      </c>
      <c r="U151" s="28" t="s">
        <v>1447</v>
      </c>
      <c r="V151" s="28" t="s">
        <v>919</v>
      </c>
      <c r="W151" s="28" t="s">
        <v>983</v>
      </c>
    </row>
    <row r="152" ht="15.0" customHeight="1">
      <c r="A152" s="7" t="s">
        <v>1455</v>
      </c>
      <c r="B152" s="8" t="s">
        <v>1456</v>
      </c>
      <c r="C152" s="8" t="s">
        <v>1008</v>
      </c>
      <c r="D152" s="7" t="s">
        <v>588</v>
      </c>
      <c r="E152" s="28" t="s">
        <v>1009</v>
      </c>
      <c r="F152" s="28" t="s">
        <v>1010</v>
      </c>
      <c r="G152" s="7" t="str">
        <f t="shared" si="1"/>
        <v>Acoplar vehículos con tracción de _____ kN</v>
      </c>
      <c r="H152" s="7" t="s">
        <v>61</v>
      </c>
      <c r="I152" s="8" t="s">
        <v>1457</v>
      </c>
      <c r="J152" s="7"/>
      <c r="K152" s="7" t="s">
        <v>1012</v>
      </c>
      <c r="L152" s="7" t="s">
        <v>1455</v>
      </c>
      <c r="M152" s="7" t="s">
        <v>1459</v>
      </c>
      <c r="N152" s="8">
        <v>1.0</v>
      </c>
      <c r="O152" s="8" t="s">
        <v>1015</v>
      </c>
      <c r="P152" s="8" t="s">
        <v>67</v>
      </c>
      <c r="Q152" s="8" t="s">
        <v>68</v>
      </c>
      <c r="R152" s="7" t="s">
        <v>1016</v>
      </c>
      <c r="S152" s="8" t="s">
        <v>111</v>
      </c>
      <c r="T152" s="8" t="s">
        <v>1460</v>
      </c>
      <c r="U152" s="28" t="s">
        <v>1019</v>
      </c>
      <c r="V152" s="28" t="s">
        <v>919</v>
      </c>
      <c r="W152" s="28" t="s">
        <v>1020</v>
      </c>
    </row>
    <row r="153" ht="23.25" customHeight="1">
      <c r="A153" s="7" t="s">
        <v>1455</v>
      </c>
      <c r="B153" s="8" t="s">
        <v>1461</v>
      </c>
      <c r="C153" s="8" t="s">
        <v>152</v>
      </c>
      <c r="D153" s="7" t="s">
        <v>1023</v>
      </c>
      <c r="E153" s="28" t="s">
        <v>1024</v>
      </c>
      <c r="F153" s="28" t="s">
        <v>268</v>
      </c>
      <c r="G153" s="7" t="str">
        <f t="shared" si="1"/>
        <v>Mantener la altura del enganche entre _____ y _____ mm</v>
      </c>
      <c r="H153" s="7" t="s">
        <v>79</v>
      </c>
      <c r="I153" s="8" t="s">
        <v>1457</v>
      </c>
      <c r="J153" s="7"/>
      <c r="K153" s="7" t="s">
        <v>1026</v>
      </c>
      <c r="L153" s="7" t="s">
        <v>1455</v>
      </c>
      <c r="M153" s="7" t="s">
        <v>1459</v>
      </c>
      <c r="N153" s="8">
        <v>1.0</v>
      </c>
      <c r="O153" s="8" t="s">
        <v>1015</v>
      </c>
      <c r="P153" s="8" t="s">
        <v>86</v>
      </c>
      <c r="Q153" s="8" t="s">
        <v>68</v>
      </c>
      <c r="R153" s="7" t="s">
        <v>1027</v>
      </c>
      <c r="S153" s="8" t="s">
        <v>111</v>
      </c>
      <c r="T153" s="8" t="s">
        <v>71</v>
      </c>
      <c r="U153" s="28" t="s">
        <v>1019</v>
      </c>
      <c r="V153" s="28" t="s">
        <v>919</v>
      </c>
      <c r="W153" s="28" t="s">
        <v>1028</v>
      </c>
    </row>
    <row r="154" ht="23.25" customHeight="1">
      <c r="A154" s="7" t="s">
        <v>1462</v>
      </c>
      <c r="B154" s="8" t="s">
        <v>1464</v>
      </c>
      <c r="C154" s="8" t="s">
        <v>192</v>
      </c>
      <c r="D154" s="7" t="s">
        <v>1465</v>
      </c>
      <c r="E154" s="28" t="s">
        <v>935</v>
      </c>
      <c r="F154" s="28" t="s">
        <v>155</v>
      </c>
      <c r="G154" s="7" t="str">
        <f t="shared" si="1"/>
        <v>Suministrar agua a presión de _____ bar</v>
      </c>
      <c r="H154" s="7" t="s">
        <v>61</v>
      </c>
      <c r="I154" s="8" t="s">
        <v>1467</v>
      </c>
      <c r="J154" s="7"/>
      <c r="K154" s="7" t="s">
        <v>1468</v>
      </c>
      <c r="L154" s="7" t="s">
        <v>1469</v>
      </c>
      <c r="M154" s="7" t="s">
        <v>1470</v>
      </c>
      <c r="N154" s="8">
        <v>1.0</v>
      </c>
      <c r="O154" s="8" t="s">
        <v>85</v>
      </c>
      <c r="P154" s="8" t="s">
        <v>67</v>
      </c>
      <c r="Q154" s="8" t="s">
        <v>68</v>
      </c>
      <c r="R154" s="7" t="s">
        <v>208</v>
      </c>
      <c r="S154" s="8" t="s">
        <v>111</v>
      </c>
      <c r="T154" s="8" t="s">
        <v>1471</v>
      </c>
      <c r="U154" s="28" t="s">
        <v>1472</v>
      </c>
      <c r="V154" s="28" t="s">
        <v>1473</v>
      </c>
      <c r="W154" s="28" t="s">
        <v>1474</v>
      </c>
    </row>
    <row r="155" ht="15.0" customHeight="1">
      <c r="A155" s="7" t="s">
        <v>1475</v>
      </c>
      <c r="B155" s="8" t="s">
        <v>1476</v>
      </c>
      <c r="C155" s="8" t="s">
        <v>300</v>
      </c>
      <c r="D155" s="7" t="s">
        <v>1477</v>
      </c>
      <c r="E155" s="7" t="s">
        <v>1478</v>
      </c>
      <c r="F155" s="7" t="s">
        <v>490</v>
      </c>
      <c r="G155" s="7" t="str">
        <f t="shared" si="1"/>
        <v>Almacenar agua contra incendio de 3.000 L</v>
      </c>
      <c r="H155" s="7" t="s">
        <v>61</v>
      </c>
      <c r="I155" s="8" t="s">
        <v>1479</v>
      </c>
      <c r="J155" s="7" t="s">
        <v>1480</v>
      </c>
      <c r="K155" s="7" t="s">
        <v>1481</v>
      </c>
      <c r="L155" s="7" t="s">
        <v>1482</v>
      </c>
      <c r="M155" s="7" t="s">
        <v>1483</v>
      </c>
      <c r="N155" s="8">
        <v>1.0</v>
      </c>
      <c r="O155" s="8" t="s">
        <v>173</v>
      </c>
      <c r="P155" s="8" t="s">
        <v>67</v>
      </c>
      <c r="Q155" s="8" t="s">
        <v>68</v>
      </c>
      <c r="R155" s="7" t="s">
        <v>667</v>
      </c>
      <c r="S155" s="8" t="s">
        <v>419</v>
      </c>
      <c r="T155" s="8" t="s">
        <v>1314</v>
      </c>
      <c r="U155" s="7" t="s">
        <v>1484</v>
      </c>
      <c r="V155" s="7" t="s">
        <v>1261</v>
      </c>
      <c r="W155" s="7" t="s">
        <v>1485</v>
      </c>
    </row>
    <row r="156" ht="23.25" customHeight="1">
      <c r="A156" s="7" t="s">
        <v>1486</v>
      </c>
      <c r="B156" s="8" t="s">
        <v>1487</v>
      </c>
      <c r="C156" s="8" t="s">
        <v>232</v>
      </c>
      <c r="D156" s="7" t="s">
        <v>165</v>
      </c>
      <c r="E156" s="28" t="s">
        <v>374</v>
      </c>
      <c r="F156" s="28" t="s">
        <v>155</v>
      </c>
      <c r="G156" s="7" t="str">
        <f t="shared" si="1"/>
        <v>Comprimir el aire a una presión de _____ bar</v>
      </c>
      <c r="H156" s="7" t="s">
        <v>61</v>
      </c>
      <c r="I156" s="8" t="s">
        <v>1488</v>
      </c>
      <c r="J156" s="7"/>
      <c r="K156" s="7" t="s">
        <v>376</v>
      </c>
      <c r="L156" s="7" t="s">
        <v>1489</v>
      </c>
      <c r="M156" s="7" t="s">
        <v>1490</v>
      </c>
      <c r="N156" s="8">
        <v>1.0</v>
      </c>
      <c r="O156" s="8" t="s">
        <v>66</v>
      </c>
      <c r="P156" s="8" t="s">
        <v>67</v>
      </c>
      <c r="Q156" s="8" t="s">
        <v>68</v>
      </c>
      <c r="R156" s="7" t="s">
        <v>379</v>
      </c>
      <c r="S156" s="8" t="s">
        <v>111</v>
      </c>
      <c r="T156" s="8" t="s">
        <v>303</v>
      </c>
      <c r="U156" s="28" t="s">
        <v>1042</v>
      </c>
      <c r="V156" s="28" t="s">
        <v>1043</v>
      </c>
      <c r="W156" s="28" t="s">
        <v>305</v>
      </c>
    </row>
    <row r="157" ht="23.25" customHeight="1">
      <c r="A157" s="7" t="s">
        <v>1486</v>
      </c>
      <c r="B157" s="8" t="s">
        <v>1492</v>
      </c>
      <c r="C157" s="8" t="s">
        <v>192</v>
      </c>
      <c r="D157" s="7" t="s">
        <v>223</v>
      </c>
      <c r="E157" s="28" t="s">
        <v>935</v>
      </c>
      <c r="F157" s="28" t="s">
        <v>384</v>
      </c>
      <c r="G157" s="7" t="str">
        <f t="shared" si="1"/>
        <v>Suministrar caudal de aire de _____ L/min</v>
      </c>
      <c r="H157" s="7" t="s">
        <v>61</v>
      </c>
      <c r="I157" s="8" t="s">
        <v>1488</v>
      </c>
      <c r="J157" s="7"/>
      <c r="K157" s="7" t="s">
        <v>696</v>
      </c>
      <c r="L157" s="7" t="s">
        <v>1489</v>
      </c>
      <c r="M157" s="7" t="s">
        <v>1490</v>
      </c>
      <c r="N157" s="8">
        <v>1.0</v>
      </c>
      <c r="O157" s="8" t="s">
        <v>66</v>
      </c>
      <c r="P157" s="8" t="s">
        <v>86</v>
      </c>
      <c r="Q157" s="8" t="s">
        <v>68</v>
      </c>
      <c r="R157" s="7" t="s">
        <v>228</v>
      </c>
      <c r="S157" s="8" t="s">
        <v>111</v>
      </c>
      <c r="T157" s="8" t="s">
        <v>1494</v>
      </c>
      <c r="U157" s="28" t="s">
        <v>1042</v>
      </c>
      <c r="V157" s="28" t="s">
        <v>1043</v>
      </c>
      <c r="W157" s="28" t="s">
        <v>1049</v>
      </c>
    </row>
    <row r="158" ht="15.0" customHeight="1">
      <c r="A158" s="7" t="s">
        <v>1495</v>
      </c>
      <c r="B158" s="8" t="s">
        <v>1496</v>
      </c>
      <c r="C158" s="8" t="s">
        <v>177</v>
      </c>
      <c r="D158" s="7" t="s">
        <v>178</v>
      </c>
      <c r="E158" s="7" t="s">
        <v>179</v>
      </c>
      <c r="F158" s="7" t="s">
        <v>180</v>
      </c>
      <c r="G158" s="7" t="str">
        <f t="shared" si="1"/>
        <v>Secar el aire comprimido con punto de rocío máximo de +3 °C</v>
      </c>
      <c r="H158" s="7" t="s">
        <v>61</v>
      </c>
      <c r="I158" s="8" t="s">
        <v>1497</v>
      </c>
      <c r="J158" s="7" t="s">
        <v>182</v>
      </c>
      <c r="K158" s="7" t="s">
        <v>183</v>
      </c>
      <c r="L158" s="7" t="s">
        <v>1498</v>
      </c>
      <c r="M158" s="7" t="s">
        <v>1499</v>
      </c>
      <c r="N158" s="8">
        <v>1.0</v>
      </c>
      <c r="O158" s="8" t="s">
        <v>187</v>
      </c>
      <c r="P158" s="8" t="s">
        <v>67</v>
      </c>
      <c r="Q158" s="8" t="s">
        <v>87</v>
      </c>
      <c r="R158" s="7" t="s">
        <v>188</v>
      </c>
      <c r="S158" s="8" t="s">
        <v>89</v>
      </c>
      <c r="T158" s="8" t="s">
        <v>1500</v>
      </c>
      <c r="U158" s="7" t="s">
        <v>1055</v>
      </c>
      <c r="V158" s="7" t="s">
        <v>1057</v>
      </c>
      <c r="W158" s="7" t="s">
        <v>1058</v>
      </c>
    </row>
    <row r="159" ht="15.0" customHeight="1">
      <c r="A159" s="7" t="s">
        <v>1501</v>
      </c>
      <c r="B159" s="8" t="s">
        <v>1502</v>
      </c>
      <c r="C159" s="8" t="s">
        <v>300</v>
      </c>
      <c r="D159" s="7" t="s">
        <v>488</v>
      </c>
      <c r="E159" s="28" t="s">
        <v>705</v>
      </c>
      <c r="F159" s="28" t="s">
        <v>490</v>
      </c>
      <c r="G159" s="7" t="str">
        <f t="shared" si="1"/>
        <v>Almacenar el aceite hidráulico hasta _____ L</v>
      </c>
      <c r="H159" s="7" t="s">
        <v>61</v>
      </c>
      <c r="I159" s="8" t="s">
        <v>1503</v>
      </c>
      <c r="J159" s="7"/>
      <c r="K159" s="7" t="s">
        <v>493</v>
      </c>
      <c r="L159" s="7" t="s">
        <v>1504</v>
      </c>
      <c r="M159" s="7" t="s">
        <v>1505</v>
      </c>
      <c r="N159" s="8">
        <v>1.0</v>
      </c>
      <c r="O159" s="8" t="s">
        <v>173</v>
      </c>
      <c r="P159" s="8" t="s">
        <v>67</v>
      </c>
      <c r="Q159" s="8" t="s">
        <v>68</v>
      </c>
      <c r="R159" s="7" t="s">
        <v>496</v>
      </c>
      <c r="S159" s="8" t="s">
        <v>111</v>
      </c>
      <c r="T159" s="8" t="s">
        <v>1324</v>
      </c>
      <c r="U159" s="28" t="s">
        <v>1507</v>
      </c>
      <c r="V159" s="28" t="s">
        <v>1261</v>
      </c>
      <c r="W159" s="28" t="s">
        <v>1509</v>
      </c>
    </row>
    <row r="160" ht="15.0" customHeight="1">
      <c r="A160" s="7" t="s">
        <v>1510</v>
      </c>
      <c r="B160" s="8" t="s">
        <v>1512</v>
      </c>
      <c r="C160" s="8" t="s">
        <v>192</v>
      </c>
      <c r="D160" s="7" t="s">
        <v>211</v>
      </c>
      <c r="E160" s="28" t="s">
        <v>935</v>
      </c>
      <c r="F160" s="28" t="s">
        <v>384</v>
      </c>
      <c r="G160" s="7" t="str">
        <f t="shared" si="1"/>
        <v>Suministrar caudal de emergencia de _____ L/min</v>
      </c>
      <c r="H160" s="7" t="s">
        <v>79</v>
      </c>
      <c r="I160" s="8" t="s">
        <v>1513</v>
      </c>
      <c r="J160" s="7"/>
      <c r="K160" s="7" t="s">
        <v>215</v>
      </c>
      <c r="L160" s="7" t="s">
        <v>1514</v>
      </c>
      <c r="M160" s="7" t="s">
        <v>1516</v>
      </c>
      <c r="N160" s="8">
        <v>1.0</v>
      </c>
      <c r="O160" s="8" t="s">
        <v>187</v>
      </c>
      <c r="P160" s="8" t="s">
        <v>86</v>
      </c>
      <c r="Q160" s="8" t="s">
        <v>87</v>
      </c>
      <c r="R160" s="7" t="s">
        <v>445</v>
      </c>
      <c r="S160" s="8" t="s">
        <v>111</v>
      </c>
      <c r="T160" s="8" t="s">
        <v>1336</v>
      </c>
      <c r="U160" s="28" t="s">
        <v>1517</v>
      </c>
      <c r="V160" s="28" t="s">
        <v>1473</v>
      </c>
      <c r="W160" s="28" t="s">
        <v>1518</v>
      </c>
    </row>
    <row r="161" ht="15.0" customHeight="1">
      <c r="A161" s="7" t="s">
        <v>1520</v>
      </c>
      <c r="B161" s="8" t="s">
        <v>1521</v>
      </c>
      <c r="C161" s="8" t="s">
        <v>1061</v>
      </c>
      <c r="D161" s="7" t="s">
        <v>488</v>
      </c>
      <c r="E161" s="28" t="s">
        <v>1062</v>
      </c>
      <c r="F161" s="28" t="s">
        <v>155</v>
      </c>
      <c r="G161" s="7" t="str">
        <f t="shared" si="1"/>
        <v>Conducir el aceite hidráulico a presión máxima de _____ bar</v>
      </c>
      <c r="H161" s="7" t="s">
        <v>61</v>
      </c>
      <c r="I161" s="8" t="s">
        <v>1522</v>
      </c>
      <c r="J161" s="7" t="s">
        <v>1064</v>
      </c>
      <c r="K161" s="7" t="s">
        <v>1065</v>
      </c>
      <c r="L161" s="7" t="s">
        <v>1523</v>
      </c>
      <c r="M161" s="7" t="s">
        <v>1525</v>
      </c>
      <c r="N161" s="8">
        <v>1.0</v>
      </c>
      <c r="O161" s="8" t="s">
        <v>173</v>
      </c>
      <c r="P161" s="8" t="s">
        <v>67</v>
      </c>
      <c r="Q161" s="8" t="s">
        <v>68</v>
      </c>
      <c r="R161" s="7" t="s">
        <v>1070</v>
      </c>
      <c r="S161" s="8" t="s">
        <v>111</v>
      </c>
      <c r="T161" s="8" t="s">
        <v>1526</v>
      </c>
      <c r="U161" s="28" t="s">
        <v>1073</v>
      </c>
      <c r="V161" s="28" t="s">
        <v>904</v>
      </c>
      <c r="W161" s="28" t="s">
        <v>1075</v>
      </c>
    </row>
    <row r="162" ht="23.25" customHeight="1">
      <c r="A162" s="7" t="s">
        <v>1527</v>
      </c>
      <c r="B162" s="8" t="s">
        <v>1528</v>
      </c>
      <c r="C162" s="8" t="s">
        <v>252</v>
      </c>
      <c r="D162" s="7" t="s">
        <v>958</v>
      </c>
      <c r="E162" s="28" t="s">
        <v>705</v>
      </c>
      <c r="F162" s="28" t="s">
        <v>959</v>
      </c>
      <c r="G162" s="7" t="str">
        <f t="shared" si="1"/>
        <v>Soportar la carga por eje hasta _____ t</v>
      </c>
      <c r="H162" s="7" t="s">
        <v>79</v>
      </c>
      <c r="I162" s="8" t="s">
        <v>1532</v>
      </c>
      <c r="J162" s="7"/>
      <c r="K162" s="7" t="s">
        <v>961</v>
      </c>
      <c r="L162" s="7" t="s">
        <v>1533</v>
      </c>
      <c r="M162" s="7" t="s">
        <v>1534</v>
      </c>
      <c r="N162" s="8">
        <v>1.0</v>
      </c>
      <c r="O162" s="8" t="s">
        <v>260</v>
      </c>
      <c r="P162" s="8" t="s">
        <v>86</v>
      </c>
      <c r="Q162" s="8" t="s">
        <v>87</v>
      </c>
      <c r="R162" s="7" t="s">
        <v>261</v>
      </c>
      <c r="S162" s="8" t="s">
        <v>111</v>
      </c>
      <c r="T162" s="8" t="s">
        <v>1370</v>
      </c>
      <c r="U162" s="28" t="s">
        <v>965</v>
      </c>
      <c r="V162" s="28" t="s">
        <v>919</v>
      </c>
      <c r="W162" s="28" t="s">
        <v>967</v>
      </c>
    </row>
    <row r="163" ht="15.0" customHeight="1">
      <c r="A163" s="7" t="s">
        <v>1527</v>
      </c>
      <c r="B163" s="8" t="s">
        <v>1535</v>
      </c>
      <c r="C163" s="8" t="s">
        <v>265</v>
      </c>
      <c r="D163" s="7" t="s">
        <v>266</v>
      </c>
      <c r="E163" s="7" t="s">
        <v>267</v>
      </c>
      <c r="F163" s="7" t="s">
        <v>268</v>
      </c>
      <c r="G163" s="7" t="str">
        <f t="shared" si="1"/>
        <v>Impedir el remonte de pestaña con cota qR ≥ 6,5 mm</v>
      </c>
      <c r="H163" s="7" t="s">
        <v>79</v>
      </c>
      <c r="I163" s="8" t="s">
        <v>1532</v>
      </c>
      <c r="J163" s="7" t="s">
        <v>269</v>
      </c>
      <c r="K163" s="7" t="s">
        <v>270</v>
      </c>
      <c r="L163" s="7" t="s">
        <v>1533</v>
      </c>
      <c r="M163" s="7" t="s">
        <v>1534</v>
      </c>
      <c r="N163" s="8">
        <v>1.0</v>
      </c>
      <c r="O163" s="8" t="s">
        <v>85</v>
      </c>
      <c r="P163" s="8" t="s">
        <v>67</v>
      </c>
      <c r="Q163" s="8" t="s">
        <v>87</v>
      </c>
      <c r="R163" s="7" t="s">
        <v>271</v>
      </c>
      <c r="S163" s="8" t="s">
        <v>89</v>
      </c>
      <c r="T163" s="8" t="s">
        <v>71</v>
      </c>
      <c r="U163" s="7" t="s">
        <v>965</v>
      </c>
      <c r="V163" s="7" t="s">
        <v>919</v>
      </c>
      <c r="W163" s="7" t="s">
        <v>972</v>
      </c>
    </row>
    <row r="164" ht="15.0" customHeight="1">
      <c r="A164" s="7" t="s">
        <v>1527</v>
      </c>
      <c r="B164" s="8" t="s">
        <v>1539</v>
      </c>
      <c r="C164" s="8" t="s">
        <v>152</v>
      </c>
      <c r="D164" s="7" t="s">
        <v>480</v>
      </c>
      <c r="E164" s="7" t="s">
        <v>481</v>
      </c>
      <c r="F164" s="7" t="s">
        <v>268</v>
      </c>
      <c r="G164" s="7" t="str">
        <f t="shared" si="1"/>
        <v>Mantener la distancia entre ruedas de 1.357 a 1.363 mm</v>
      </c>
      <c r="H164" s="7" t="s">
        <v>79</v>
      </c>
      <c r="I164" s="8" t="s">
        <v>1532</v>
      </c>
      <c r="J164" s="7" t="s">
        <v>269</v>
      </c>
      <c r="K164" s="7" t="s">
        <v>484</v>
      </c>
      <c r="L164" s="7" t="s">
        <v>1533</v>
      </c>
      <c r="M164" s="7" t="s">
        <v>1534</v>
      </c>
      <c r="N164" s="8">
        <v>1.0</v>
      </c>
      <c r="O164" s="8" t="s">
        <v>85</v>
      </c>
      <c r="P164" s="8" t="s">
        <v>86</v>
      </c>
      <c r="Q164" s="8" t="s">
        <v>87</v>
      </c>
      <c r="R164" s="7" t="s">
        <v>485</v>
      </c>
      <c r="S164" s="8" t="s">
        <v>89</v>
      </c>
      <c r="T164" s="8" t="s">
        <v>71</v>
      </c>
      <c r="U164" s="7" t="s">
        <v>965</v>
      </c>
      <c r="V164" s="7" t="s">
        <v>919</v>
      </c>
      <c r="W164" s="7" t="s">
        <v>975</v>
      </c>
    </row>
    <row r="165" ht="15.0" customHeight="1">
      <c r="A165" s="7" t="s">
        <v>1527</v>
      </c>
      <c r="B165" s="8" t="s">
        <v>1543</v>
      </c>
      <c r="C165" s="8" t="s">
        <v>978</v>
      </c>
      <c r="D165" s="7" t="s">
        <v>979</v>
      </c>
      <c r="E165" s="28" t="s">
        <v>980</v>
      </c>
      <c r="F165" s="28" t="s">
        <v>268</v>
      </c>
      <c r="G165" s="7" t="str">
        <f t="shared" si="1"/>
        <v>Guiar el eje con pestaña de _____ mm</v>
      </c>
      <c r="H165" s="7" t="s">
        <v>79</v>
      </c>
      <c r="I165" s="8" t="s">
        <v>1532</v>
      </c>
      <c r="J165" s="7"/>
      <c r="K165" s="7" t="s">
        <v>981</v>
      </c>
      <c r="L165" s="7" t="s">
        <v>1533</v>
      </c>
      <c r="M165" s="7" t="s">
        <v>1534</v>
      </c>
      <c r="N165" s="8">
        <v>1.0</v>
      </c>
      <c r="O165" s="8" t="s">
        <v>85</v>
      </c>
      <c r="P165" s="8" t="s">
        <v>86</v>
      </c>
      <c r="Q165" s="8" t="s">
        <v>87</v>
      </c>
      <c r="R165" s="7" t="s">
        <v>271</v>
      </c>
      <c r="S165" s="8" t="s">
        <v>111</v>
      </c>
      <c r="T165" s="8" t="s">
        <v>71</v>
      </c>
      <c r="U165" s="28" t="s">
        <v>965</v>
      </c>
      <c r="V165" s="28" t="s">
        <v>919</v>
      </c>
      <c r="W165" s="28" t="s">
        <v>983</v>
      </c>
    </row>
    <row r="166" ht="23.25" customHeight="1">
      <c r="A166" s="7" t="s">
        <v>1545</v>
      </c>
      <c r="B166" s="8" t="s">
        <v>1546</v>
      </c>
      <c r="C166" s="8" t="s">
        <v>1547</v>
      </c>
      <c r="D166" s="7" t="s">
        <v>1548</v>
      </c>
      <c r="E166" s="28" t="s">
        <v>1549</v>
      </c>
      <c r="F166" s="28" t="s">
        <v>180</v>
      </c>
      <c r="G166" s="7" t="str">
        <f t="shared" si="1"/>
        <v>Enfriar el aire de cabina a temperatura de consigna de _____ °C</v>
      </c>
      <c r="H166" s="7" t="s">
        <v>61</v>
      </c>
      <c r="I166" s="8" t="s">
        <v>1550</v>
      </c>
      <c r="J166" s="7"/>
      <c r="K166" s="7" t="s">
        <v>1551</v>
      </c>
      <c r="L166" s="7" t="s">
        <v>1552</v>
      </c>
      <c r="M166" s="7" t="s">
        <v>1553</v>
      </c>
      <c r="N166" s="8">
        <v>1.0</v>
      </c>
      <c r="O166" s="8" t="s">
        <v>66</v>
      </c>
      <c r="P166" s="8" t="s">
        <v>67</v>
      </c>
      <c r="Q166" s="8" t="s">
        <v>68</v>
      </c>
      <c r="R166" s="7" t="s">
        <v>1554</v>
      </c>
      <c r="S166" s="8" t="s">
        <v>111</v>
      </c>
      <c r="T166" s="8" t="s">
        <v>1377</v>
      </c>
      <c r="U166" s="28" t="s">
        <v>1555</v>
      </c>
      <c r="V166" s="28" t="s">
        <v>904</v>
      </c>
      <c r="W166" s="28" t="s">
        <v>1556</v>
      </c>
    </row>
    <row r="167" ht="23.25" customHeight="1">
      <c r="A167" s="7" t="s">
        <v>1558</v>
      </c>
      <c r="B167" s="8" t="s">
        <v>1559</v>
      </c>
      <c r="C167" s="8" t="s">
        <v>611</v>
      </c>
      <c r="D167" s="7" t="s">
        <v>612</v>
      </c>
      <c r="E167" s="7" t="s">
        <v>76</v>
      </c>
      <c r="F167" s="7" t="s">
        <v>613</v>
      </c>
      <c r="G167" s="7" t="str">
        <f t="shared" si="1"/>
        <v>Sellar la cabina con 0 filtraciones en prueba de agua</v>
      </c>
      <c r="H167" s="7" t="s">
        <v>61</v>
      </c>
      <c r="I167" s="8" t="s">
        <v>1561</v>
      </c>
      <c r="J167" s="7" t="s">
        <v>279</v>
      </c>
      <c r="K167" s="7" t="s">
        <v>280</v>
      </c>
      <c r="L167" s="7" t="s">
        <v>1562</v>
      </c>
      <c r="M167" s="7" t="s">
        <v>1563</v>
      </c>
      <c r="N167" s="8">
        <v>2.0</v>
      </c>
      <c r="O167" s="8" t="s">
        <v>187</v>
      </c>
      <c r="P167" s="8" t="s">
        <v>67</v>
      </c>
      <c r="Q167" s="8" t="s">
        <v>68</v>
      </c>
      <c r="R167" s="7" t="s">
        <v>285</v>
      </c>
      <c r="S167" s="8" t="s">
        <v>111</v>
      </c>
      <c r="T167" s="8" t="s">
        <v>1564</v>
      </c>
      <c r="U167" s="7" t="s">
        <v>1251</v>
      </c>
      <c r="V167" s="7" t="s">
        <v>904</v>
      </c>
      <c r="W167" s="7" t="s">
        <v>1252</v>
      </c>
    </row>
    <row r="168" ht="15.0" customHeight="1">
      <c r="A168" s="7" t="s">
        <v>1565</v>
      </c>
      <c r="B168" s="8" t="s">
        <v>1566</v>
      </c>
      <c r="C168" s="8" t="s">
        <v>1567</v>
      </c>
      <c r="D168" s="7" t="s">
        <v>1568</v>
      </c>
      <c r="E168" s="28" t="s">
        <v>1569</v>
      </c>
      <c r="F168" s="28" t="s">
        <v>490</v>
      </c>
      <c r="G168" s="7" t="str">
        <f t="shared" si="1"/>
        <v>Extinguir los conatos de incendio con capacidad de _____ L</v>
      </c>
      <c r="H168" s="7" t="s">
        <v>79</v>
      </c>
      <c r="I168" s="8" t="s">
        <v>1571</v>
      </c>
      <c r="J168" s="7"/>
      <c r="K168" s="7" t="s">
        <v>1572</v>
      </c>
      <c r="L168" s="7" t="s">
        <v>1573</v>
      </c>
      <c r="M168" s="7" t="s">
        <v>1574</v>
      </c>
      <c r="N168" s="8">
        <v>1.0</v>
      </c>
      <c r="O168" s="8" t="s">
        <v>85</v>
      </c>
      <c r="P168" s="8" t="s">
        <v>67</v>
      </c>
      <c r="Q168" s="8" t="s">
        <v>87</v>
      </c>
      <c r="R168" s="7" t="s">
        <v>1575</v>
      </c>
      <c r="S168" s="8" t="s">
        <v>111</v>
      </c>
      <c r="T168" s="8" t="s">
        <v>1577</v>
      </c>
      <c r="U168" s="28" t="s">
        <v>1578</v>
      </c>
      <c r="V168" s="28" t="s">
        <v>904</v>
      </c>
      <c r="W168" s="28" t="s">
        <v>1579</v>
      </c>
    </row>
    <row r="169" ht="15.0" customHeight="1">
      <c r="A169" s="7" t="s">
        <v>1580</v>
      </c>
      <c r="B169" s="8" t="s">
        <v>1581</v>
      </c>
      <c r="C169" s="8" t="s">
        <v>717</v>
      </c>
      <c r="D169" s="7" t="s">
        <v>1582</v>
      </c>
      <c r="E169" s="28" t="s">
        <v>1583</v>
      </c>
      <c r="F169" s="28" t="s">
        <v>1584</v>
      </c>
      <c r="G169" s="7" t="str">
        <f t="shared" si="1"/>
        <v>Retener el polvo de esmerilado hasta presión diferencial de _____ Pa</v>
      </c>
      <c r="H169" s="7" t="s">
        <v>79</v>
      </c>
      <c r="I169" s="8" t="s">
        <v>1586</v>
      </c>
      <c r="J169" s="7"/>
      <c r="K169" s="7" t="s">
        <v>1587</v>
      </c>
      <c r="L169" s="7" t="s">
        <v>1588</v>
      </c>
      <c r="M169" s="7" t="s">
        <v>1589</v>
      </c>
      <c r="N169" s="8">
        <v>1.0</v>
      </c>
      <c r="O169" s="8" t="s">
        <v>724</v>
      </c>
      <c r="P169" s="8" t="s">
        <v>67</v>
      </c>
      <c r="Q169" s="8" t="s">
        <v>68</v>
      </c>
      <c r="R169" s="7" t="s">
        <v>1591</v>
      </c>
      <c r="S169" s="8" t="s">
        <v>111</v>
      </c>
      <c r="T169" s="8" t="s">
        <v>1388</v>
      </c>
      <c r="U169" s="28" t="s">
        <v>1592</v>
      </c>
      <c r="V169" s="28" t="s">
        <v>904</v>
      </c>
      <c r="W169" s="28" t="s">
        <v>1593</v>
      </c>
    </row>
    <row r="170" ht="15.0" customHeight="1">
      <c r="A170" s="7" t="s">
        <v>1594</v>
      </c>
      <c r="B170" s="8" t="s">
        <v>1595</v>
      </c>
      <c r="C170" s="8" t="s">
        <v>192</v>
      </c>
      <c r="D170" s="7" t="s">
        <v>289</v>
      </c>
      <c r="E170" s="7" t="s">
        <v>290</v>
      </c>
      <c r="F170" s="7" t="s">
        <v>291</v>
      </c>
      <c r="G170" s="7" t="str">
        <f t="shared" si="1"/>
        <v>Suministrar la corriente de arranque con tensión mínima de 19,2 V</v>
      </c>
      <c r="H170" s="7" t="s">
        <v>61</v>
      </c>
      <c r="I170" s="8" t="s">
        <v>1597</v>
      </c>
      <c r="J170" s="7"/>
      <c r="K170" s="7" t="s">
        <v>733</v>
      </c>
      <c r="L170" s="7" t="s">
        <v>1598</v>
      </c>
      <c r="M170" s="7" t="s">
        <v>1599</v>
      </c>
      <c r="N170" s="8">
        <v>1.0</v>
      </c>
      <c r="O170" s="8" t="s">
        <v>66</v>
      </c>
      <c r="P170" s="8" t="s">
        <v>67</v>
      </c>
      <c r="Q170" s="8" t="s">
        <v>68</v>
      </c>
      <c r="R170" s="7" t="s">
        <v>297</v>
      </c>
      <c r="S170" s="8" t="s">
        <v>111</v>
      </c>
      <c r="T170" s="8" t="s">
        <v>1402</v>
      </c>
      <c r="U170" s="7" t="s">
        <v>1116</v>
      </c>
      <c r="V170" s="7" t="s">
        <v>904</v>
      </c>
      <c r="W170" s="7" t="s">
        <v>1117</v>
      </c>
    </row>
    <row r="171" ht="15.0" customHeight="1">
      <c r="A171" s="7" t="s">
        <v>1594</v>
      </c>
      <c r="B171" s="8" t="s">
        <v>1600</v>
      </c>
      <c r="C171" s="8" t="s">
        <v>300</v>
      </c>
      <c r="D171" s="7" t="s">
        <v>301</v>
      </c>
      <c r="E171" s="7" t="s">
        <v>290</v>
      </c>
      <c r="F171" s="7" t="s">
        <v>291</v>
      </c>
      <c r="G171" s="7" t="str">
        <f t="shared" si="1"/>
        <v>Almacenar energía eléctrica con tensión mínima de 19,2 V</v>
      </c>
      <c r="H171" s="7" t="s">
        <v>61</v>
      </c>
      <c r="I171" s="8" t="s">
        <v>1597</v>
      </c>
      <c r="J171" s="7"/>
      <c r="K171" s="7" t="s">
        <v>302</v>
      </c>
      <c r="L171" s="7" t="s">
        <v>1598</v>
      </c>
      <c r="M171" s="7" t="s">
        <v>1599</v>
      </c>
      <c r="N171" s="8">
        <v>1.0</v>
      </c>
      <c r="O171" s="8" t="s">
        <v>66</v>
      </c>
      <c r="P171" s="8" t="s">
        <v>67</v>
      </c>
      <c r="Q171" s="8" t="s">
        <v>68</v>
      </c>
      <c r="R171" s="7" t="s">
        <v>297</v>
      </c>
      <c r="S171" s="8" t="s">
        <v>111</v>
      </c>
      <c r="T171" s="8" t="s">
        <v>303</v>
      </c>
      <c r="U171" s="7" t="s">
        <v>1116</v>
      </c>
      <c r="V171" s="7" t="s">
        <v>904</v>
      </c>
      <c r="W171" s="7" t="s">
        <v>305</v>
      </c>
    </row>
    <row r="172" ht="23.25" customHeight="1">
      <c r="A172" s="7" t="s">
        <v>1603</v>
      </c>
      <c r="B172" s="8" t="s">
        <v>1604</v>
      </c>
      <c r="C172" s="8" t="s">
        <v>1605</v>
      </c>
      <c r="D172" s="7" t="s">
        <v>1606</v>
      </c>
      <c r="E172" s="28" t="s">
        <v>935</v>
      </c>
      <c r="F172" s="28" t="s">
        <v>1607</v>
      </c>
      <c r="G172" s="7" t="str">
        <f t="shared" si="1"/>
        <v>Remover metal del riel de _____ mm por pasada</v>
      </c>
      <c r="H172" s="7" t="s">
        <v>61</v>
      </c>
      <c r="I172" s="8" t="s">
        <v>1608</v>
      </c>
      <c r="J172" s="7"/>
      <c r="K172" s="7" t="s">
        <v>1610</v>
      </c>
      <c r="L172" s="7" t="s">
        <v>1611</v>
      </c>
      <c r="M172" s="7" t="s">
        <v>1612</v>
      </c>
      <c r="N172" s="8">
        <v>12.0</v>
      </c>
      <c r="O172" s="8" t="s">
        <v>66</v>
      </c>
      <c r="P172" s="8" t="s">
        <v>86</v>
      </c>
      <c r="Q172" s="8" t="s">
        <v>68</v>
      </c>
      <c r="R172" s="7" t="s">
        <v>1613</v>
      </c>
      <c r="S172" s="8" t="s">
        <v>111</v>
      </c>
      <c r="T172" s="8" t="s">
        <v>1614</v>
      </c>
      <c r="U172" s="28" t="s">
        <v>1616</v>
      </c>
      <c r="V172" s="28" t="s">
        <v>904</v>
      </c>
      <c r="W172" s="28" t="s">
        <v>1617</v>
      </c>
    </row>
    <row r="173" ht="23.25" customHeight="1">
      <c r="A173" s="7" t="s">
        <v>1603</v>
      </c>
      <c r="B173" s="8" t="s">
        <v>1618</v>
      </c>
      <c r="C173" s="8" t="s">
        <v>1619</v>
      </c>
      <c r="D173" s="7" t="s">
        <v>1620</v>
      </c>
      <c r="E173" s="7" t="s">
        <v>1621</v>
      </c>
      <c r="F173" s="7" t="s">
        <v>579</v>
      </c>
      <c r="G173" s="7" t="str">
        <f t="shared" si="1"/>
        <v>Girar la muela a 6.000 rpm</v>
      </c>
      <c r="H173" s="7" t="s">
        <v>61</v>
      </c>
      <c r="I173" s="8" t="s">
        <v>1608</v>
      </c>
      <c r="J173" s="7" t="s">
        <v>1480</v>
      </c>
      <c r="K173" s="7" t="s">
        <v>1623</v>
      </c>
      <c r="L173" s="7" t="s">
        <v>1611</v>
      </c>
      <c r="M173" s="7" t="s">
        <v>1612</v>
      </c>
      <c r="N173" s="8">
        <v>12.0</v>
      </c>
      <c r="O173" s="8" t="s">
        <v>66</v>
      </c>
      <c r="P173" s="8" t="s">
        <v>67</v>
      </c>
      <c r="Q173" s="8" t="s">
        <v>68</v>
      </c>
      <c r="R173" s="7" t="s">
        <v>1624</v>
      </c>
      <c r="S173" s="8" t="s">
        <v>419</v>
      </c>
      <c r="T173" s="8" t="s">
        <v>71</v>
      </c>
      <c r="U173" s="7" t="s">
        <v>1616</v>
      </c>
      <c r="V173" s="7" t="s">
        <v>904</v>
      </c>
      <c r="W173" s="7" t="s">
        <v>1626</v>
      </c>
    </row>
    <row r="174" ht="15.0" customHeight="1">
      <c r="A174" s="7" t="s">
        <v>1603</v>
      </c>
      <c r="B174" s="8" t="s">
        <v>1627</v>
      </c>
      <c r="C174" s="8" t="s">
        <v>1628</v>
      </c>
      <c r="D174" s="7" t="s">
        <v>1629</v>
      </c>
      <c r="E174" s="7" t="s">
        <v>1630</v>
      </c>
      <c r="F174" s="7" t="s">
        <v>1631</v>
      </c>
      <c r="G174" s="7" t="str">
        <f t="shared" si="1"/>
        <v>Orientar el cabezal de 45 (campo) a 75 (trocha) grados</v>
      </c>
      <c r="H174" s="7" t="s">
        <v>61</v>
      </c>
      <c r="I174" s="8" t="s">
        <v>1608</v>
      </c>
      <c r="J174" s="7" t="s">
        <v>1480</v>
      </c>
      <c r="K174" s="7"/>
      <c r="L174" s="7" t="s">
        <v>1611</v>
      </c>
      <c r="M174" s="7" t="s">
        <v>1612</v>
      </c>
      <c r="N174" s="8">
        <v>12.0</v>
      </c>
      <c r="O174" s="8" t="s">
        <v>1215</v>
      </c>
      <c r="P174" s="8" t="s">
        <v>86</v>
      </c>
      <c r="Q174" s="8" t="s">
        <v>68</v>
      </c>
      <c r="R174" s="7" t="s">
        <v>1632</v>
      </c>
      <c r="S174" s="8" t="s">
        <v>419</v>
      </c>
      <c r="T174" s="8" t="s">
        <v>71</v>
      </c>
      <c r="U174" s="7" t="s">
        <v>1616</v>
      </c>
      <c r="V174" s="7" t="s">
        <v>904</v>
      </c>
      <c r="W174" s="7" t="s">
        <v>1634</v>
      </c>
    </row>
    <row r="175" ht="15.0" customHeight="1">
      <c r="A175" s="7" t="s">
        <v>1635</v>
      </c>
      <c r="B175" s="8" t="s">
        <v>1637</v>
      </c>
      <c r="C175" s="8" t="s">
        <v>309</v>
      </c>
      <c r="D175" s="7" t="s">
        <v>310</v>
      </c>
      <c r="E175" s="7" t="s">
        <v>311</v>
      </c>
      <c r="F175" s="7" t="s">
        <v>155</v>
      </c>
      <c r="G175" s="7" t="str">
        <f t="shared" si="1"/>
        <v>Presurizar los cilindros de freno entre 3,7 y 3,9 bar</v>
      </c>
      <c r="H175" s="7" t="s">
        <v>79</v>
      </c>
      <c r="I175" s="8" t="s">
        <v>1639</v>
      </c>
      <c r="J175" s="7" t="s">
        <v>315</v>
      </c>
      <c r="K175" s="7" t="s">
        <v>316</v>
      </c>
      <c r="L175" s="7" t="s">
        <v>317</v>
      </c>
      <c r="M175" s="7" t="s">
        <v>1640</v>
      </c>
      <c r="N175" s="8">
        <v>1.0</v>
      </c>
      <c r="O175" s="8" t="s">
        <v>85</v>
      </c>
      <c r="P175" s="8" t="s">
        <v>86</v>
      </c>
      <c r="Q175" s="8" t="s">
        <v>68</v>
      </c>
      <c r="R175" s="7" t="s">
        <v>208</v>
      </c>
      <c r="S175" s="8" t="s">
        <v>89</v>
      </c>
      <c r="T175" s="8" t="s">
        <v>71</v>
      </c>
      <c r="U175" s="7" t="s">
        <v>1293</v>
      </c>
      <c r="V175" s="7" t="s">
        <v>904</v>
      </c>
      <c r="W175" s="7" t="s">
        <v>1148</v>
      </c>
    </row>
    <row r="176" ht="23.25" customHeight="1">
      <c r="A176" s="7" t="s">
        <v>1641</v>
      </c>
      <c r="B176" s="8" t="s">
        <v>1642</v>
      </c>
      <c r="C176" s="8" t="s">
        <v>890</v>
      </c>
      <c r="D176" s="7" t="s">
        <v>1643</v>
      </c>
      <c r="E176" s="28" t="s">
        <v>901</v>
      </c>
      <c r="F176" s="28" t="s">
        <v>268</v>
      </c>
      <c r="G176" s="7" t="str">
        <f t="shared" si="1"/>
        <v>Medir la corrugación del riel con exactitud de ±_____ mm</v>
      </c>
      <c r="H176" s="7" t="s">
        <v>61</v>
      </c>
      <c r="I176" s="8" t="s">
        <v>1645</v>
      </c>
      <c r="J176" s="7"/>
      <c r="K176" s="7" t="s">
        <v>1646</v>
      </c>
      <c r="L176" s="7" t="s">
        <v>1647</v>
      </c>
      <c r="M176" s="7" t="s">
        <v>1648</v>
      </c>
      <c r="N176" s="8">
        <v>1.0</v>
      </c>
      <c r="O176" s="8" t="s">
        <v>550</v>
      </c>
      <c r="P176" s="8" t="s">
        <v>67</v>
      </c>
      <c r="Q176" s="8" t="s">
        <v>87</v>
      </c>
      <c r="R176" s="7" t="s">
        <v>1649</v>
      </c>
      <c r="S176" s="8" t="s">
        <v>111</v>
      </c>
      <c r="T176" s="8" t="s">
        <v>1496</v>
      </c>
      <c r="U176" s="28" t="s">
        <v>1651</v>
      </c>
      <c r="V176" s="28" t="s">
        <v>904</v>
      </c>
      <c r="W176" s="28" t="s">
        <v>1652</v>
      </c>
    </row>
    <row r="177" ht="15.0" customHeight="1">
      <c r="A177" s="7" t="s">
        <v>1653</v>
      </c>
      <c r="B177" s="8" t="s">
        <v>1654</v>
      </c>
      <c r="C177" s="8" t="s">
        <v>890</v>
      </c>
      <c r="D177" s="7" t="s">
        <v>1656</v>
      </c>
      <c r="E177" s="28" t="s">
        <v>901</v>
      </c>
      <c r="F177" s="28" t="s">
        <v>268</v>
      </c>
      <c r="G177" s="7" t="str">
        <f t="shared" si="1"/>
        <v>Medir el perfil del riel con exactitud de ±_____ mm</v>
      </c>
      <c r="H177" s="7" t="s">
        <v>61</v>
      </c>
      <c r="I177" s="8" t="s">
        <v>1657</v>
      </c>
      <c r="J177" s="7"/>
      <c r="K177" s="7" t="s">
        <v>1658</v>
      </c>
      <c r="L177" s="7" t="s">
        <v>1659</v>
      </c>
      <c r="M177" s="7" t="s">
        <v>1660</v>
      </c>
      <c r="N177" s="8">
        <v>1.0</v>
      </c>
      <c r="O177" s="8" t="s">
        <v>550</v>
      </c>
      <c r="P177" s="8" t="s">
        <v>67</v>
      </c>
      <c r="Q177" s="8" t="s">
        <v>87</v>
      </c>
      <c r="R177" s="7" t="s">
        <v>551</v>
      </c>
      <c r="S177" s="8" t="s">
        <v>111</v>
      </c>
      <c r="T177" s="8" t="s">
        <v>1502</v>
      </c>
      <c r="U177" s="28" t="s">
        <v>1662</v>
      </c>
      <c r="V177" s="28" t="s">
        <v>904</v>
      </c>
      <c r="W177" s="28" t="s">
        <v>1663</v>
      </c>
    </row>
    <row r="178" ht="23.25" customHeight="1">
      <c r="A178" s="7" t="s">
        <v>1664</v>
      </c>
      <c r="B178" s="8" t="s">
        <v>1666</v>
      </c>
      <c r="C178" s="8" t="s">
        <v>335</v>
      </c>
      <c r="D178" s="7" t="s">
        <v>336</v>
      </c>
      <c r="E178" s="28" t="s">
        <v>705</v>
      </c>
      <c r="F178" s="28" t="s">
        <v>146</v>
      </c>
      <c r="G178" s="7" t="str">
        <f t="shared" si="1"/>
        <v>Transmitir el par motriz hasta _____ N·m</v>
      </c>
      <c r="H178" s="7" t="s">
        <v>61</v>
      </c>
      <c r="I178" s="8" t="s">
        <v>1669</v>
      </c>
      <c r="J178" s="7"/>
      <c r="K178" s="7" t="s">
        <v>791</v>
      </c>
      <c r="L178" s="7" t="s">
        <v>1670</v>
      </c>
      <c r="M178" s="7" t="s">
        <v>1671</v>
      </c>
      <c r="N178" s="8">
        <v>3.0</v>
      </c>
      <c r="O178" s="8" t="s">
        <v>66</v>
      </c>
      <c r="P178" s="8" t="s">
        <v>67</v>
      </c>
      <c r="Q178" s="8" t="s">
        <v>68</v>
      </c>
      <c r="R178" s="7" t="s">
        <v>346</v>
      </c>
      <c r="S178" s="8" t="s">
        <v>111</v>
      </c>
      <c r="T178" s="8" t="s">
        <v>1673</v>
      </c>
      <c r="U178" s="28" t="s">
        <v>1322</v>
      </c>
      <c r="V178" s="28" t="s">
        <v>904</v>
      </c>
      <c r="W178" s="28" t="s">
        <v>1110</v>
      </c>
    </row>
    <row r="179" ht="15.0" customHeight="1">
      <c r="A179" s="7" t="s">
        <v>1674</v>
      </c>
      <c r="B179" s="8" t="s">
        <v>1675</v>
      </c>
      <c r="C179" s="8" t="s">
        <v>717</v>
      </c>
      <c r="D179" s="7" t="s">
        <v>718</v>
      </c>
      <c r="E179" s="7" t="s">
        <v>719</v>
      </c>
      <c r="F179" s="7" t="s">
        <v>155</v>
      </c>
      <c r="G179" s="7" t="str">
        <f t="shared" si="1"/>
        <v>Retener el combustible a presión de prueba de 0,3 bar</v>
      </c>
      <c r="H179" s="7" t="s">
        <v>79</v>
      </c>
      <c r="I179" s="8" t="s">
        <v>1677</v>
      </c>
      <c r="J179" s="7"/>
      <c r="K179" s="7" t="s">
        <v>721</v>
      </c>
      <c r="L179" s="7" t="s">
        <v>1678</v>
      </c>
      <c r="M179" s="7" t="s">
        <v>1679</v>
      </c>
      <c r="N179" s="8">
        <v>1.0</v>
      </c>
      <c r="O179" s="8" t="s">
        <v>724</v>
      </c>
      <c r="P179" s="8" t="s">
        <v>86</v>
      </c>
      <c r="Q179" s="8" t="s">
        <v>68</v>
      </c>
      <c r="R179" s="7" t="s">
        <v>725</v>
      </c>
      <c r="S179" s="8" t="s">
        <v>726</v>
      </c>
      <c r="T179" s="8" t="s">
        <v>71</v>
      </c>
      <c r="U179" s="7" t="s">
        <v>1260</v>
      </c>
      <c r="V179" s="7" t="s">
        <v>1261</v>
      </c>
      <c r="W179" s="7" t="s">
        <v>1262</v>
      </c>
    </row>
    <row r="180" ht="15.0" customHeight="1">
      <c r="A180" s="7" t="s">
        <v>1681</v>
      </c>
      <c r="B180" s="8" t="s">
        <v>1682</v>
      </c>
      <c r="C180" s="8" t="s">
        <v>1683</v>
      </c>
      <c r="D180" s="7" t="s">
        <v>1684</v>
      </c>
      <c r="E180" s="28" t="s">
        <v>1685</v>
      </c>
      <c r="F180" s="28" t="s">
        <v>1686</v>
      </c>
      <c r="G180" s="7" t="str">
        <f t="shared" si="1"/>
        <v>Filtrar el aire de admisión con restricción máxima de _____ mbar</v>
      </c>
      <c r="H180" s="7" t="s">
        <v>61</v>
      </c>
      <c r="I180" s="8" t="s">
        <v>1687</v>
      </c>
      <c r="J180" s="7"/>
      <c r="K180" s="7" t="s">
        <v>1688</v>
      </c>
      <c r="L180" s="7" t="s">
        <v>1689</v>
      </c>
      <c r="M180" s="7" t="s">
        <v>1690</v>
      </c>
      <c r="N180" s="8">
        <v>1.0</v>
      </c>
      <c r="O180" s="8" t="s">
        <v>187</v>
      </c>
      <c r="P180" s="8" t="s">
        <v>67</v>
      </c>
      <c r="Q180" s="8" t="s">
        <v>87</v>
      </c>
      <c r="R180" s="7" t="s">
        <v>1691</v>
      </c>
      <c r="S180" s="8" t="s">
        <v>111</v>
      </c>
      <c r="T180" s="8" t="s">
        <v>1692</v>
      </c>
      <c r="U180" s="28" t="s">
        <v>1693</v>
      </c>
      <c r="V180" s="28" t="s">
        <v>904</v>
      </c>
      <c r="W180" s="28" t="s">
        <v>1694</v>
      </c>
    </row>
    <row r="181" ht="15.0" customHeight="1">
      <c r="A181" s="7" t="s">
        <v>1696</v>
      </c>
      <c r="B181" s="8" t="s">
        <v>1697</v>
      </c>
      <c r="C181" s="8" t="s">
        <v>143</v>
      </c>
      <c r="D181" s="7" t="s">
        <v>349</v>
      </c>
      <c r="E181" s="28" t="s">
        <v>935</v>
      </c>
      <c r="F181" s="28" t="s">
        <v>351</v>
      </c>
      <c r="G181" s="7" t="str">
        <f t="shared" si="1"/>
        <v>Entregar potencia mecánica de _____ kW</v>
      </c>
      <c r="H181" s="7" t="s">
        <v>61</v>
      </c>
      <c r="I181" s="8" t="s">
        <v>1700</v>
      </c>
      <c r="J181" s="7"/>
      <c r="K181" s="7" t="s">
        <v>781</v>
      </c>
      <c r="L181" s="7" t="s">
        <v>939</v>
      </c>
      <c r="M181" s="7" t="s">
        <v>1701</v>
      </c>
      <c r="N181" s="8">
        <v>1.0</v>
      </c>
      <c r="O181" s="8" t="s">
        <v>66</v>
      </c>
      <c r="P181" s="8" t="s">
        <v>67</v>
      </c>
      <c r="Q181" s="8" t="s">
        <v>68</v>
      </c>
      <c r="R181" s="7" t="s">
        <v>784</v>
      </c>
      <c r="S181" s="8" t="s">
        <v>111</v>
      </c>
      <c r="T181" s="8" t="s">
        <v>1521</v>
      </c>
      <c r="U181" s="28" t="s">
        <v>943</v>
      </c>
      <c r="V181" s="28" t="s">
        <v>944</v>
      </c>
      <c r="W181" s="28" t="s">
        <v>945</v>
      </c>
    </row>
    <row r="182" ht="15.0" customHeight="1">
      <c r="A182" s="7" t="s">
        <v>1702</v>
      </c>
      <c r="B182" s="8" t="s">
        <v>1703</v>
      </c>
      <c r="C182" s="8" t="s">
        <v>1704</v>
      </c>
      <c r="D182" s="7" t="s">
        <v>1706</v>
      </c>
      <c r="E182" s="28" t="s">
        <v>1707</v>
      </c>
      <c r="F182" s="28" t="s">
        <v>180</v>
      </c>
      <c r="G182" s="7" t="str">
        <f t="shared" si="1"/>
        <v>Disipar el calor del motor con temperatura máxima del refrigerante de _____ °C</v>
      </c>
      <c r="H182" s="7" t="s">
        <v>61</v>
      </c>
      <c r="I182" s="8" t="s">
        <v>1708</v>
      </c>
      <c r="J182" s="7"/>
      <c r="K182" s="7" t="s">
        <v>1709</v>
      </c>
      <c r="L182" s="7" t="s">
        <v>1710</v>
      </c>
      <c r="M182" s="7" t="s">
        <v>1711</v>
      </c>
      <c r="N182" s="8">
        <v>1.0</v>
      </c>
      <c r="O182" s="8" t="s">
        <v>187</v>
      </c>
      <c r="P182" s="8" t="s">
        <v>67</v>
      </c>
      <c r="Q182" s="8" t="s">
        <v>68</v>
      </c>
      <c r="R182" s="7" t="s">
        <v>1713</v>
      </c>
      <c r="S182" s="8" t="s">
        <v>111</v>
      </c>
      <c r="T182" s="8" t="s">
        <v>1714</v>
      </c>
      <c r="U182" s="28" t="s">
        <v>1715</v>
      </c>
      <c r="V182" s="28" t="s">
        <v>904</v>
      </c>
      <c r="W182" s="28" t="s">
        <v>1716</v>
      </c>
    </row>
    <row r="183" ht="15.0" customHeight="1">
      <c r="A183" s="7" t="s">
        <v>1717</v>
      </c>
      <c r="B183" s="8" t="s">
        <v>1718</v>
      </c>
      <c r="C183" s="8" t="s">
        <v>232</v>
      </c>
      <c r="D183" s="7" t="s">
        <v>165</v>
      </c>
      <c r="E183" s="28" t="s">
        <v>374</v>
      </c>
      <c r="F183" s="28" t="s">
        <v>155</v>
      </c>
      <c r="G183" s="7" t="str">
        <f t="shared" si="1"/>
        <v>Comprimir el aire a una presión de _____ bar</v>
      </c>
      <c r="H183" s="7" t="s">
        <v>61</v>
      </c>
      <c r="I183" s="8" t="s">
        <v>1720</v>
      </c>
      <c r="J183" s="7"/>
      <c r="K183" s="7" t="s">
        <v>376</v>
      </c>
      <c r="L183" s="7" t="s">
        <v>1721</v>
      </c>
      <c r="M183" s="7" t="s">
        <v>1723</v>
      </c>
      <c r="N183" s="8">
        <v>1.0</v>
      </c>
      <c r="O183" s="8" t="s">
        <v>66</v>
      </c>
      <c r="P183" s="8" t="s">
        <v>67</v>
      </c>
      <c r="Q183" s="8" t="s">
        <v>68</v>
      </c>
      <c r="R183" s="7" t="s">
        <v>379</v>
      </c>
      <c r="S183" s="8" t="s">
        <v>111</v>
      </c>
      <c r="T183" s="8" t="s">
        <v>303</v>
      </c>
      <c r="U183" s="28" t="s">
        <v>1042</v>
      </c>
      <c r="V183" s="28" t="s">
        <v>1043</v>
      </c>
      <c r="W183" s="28" t="s">
        <v>305</v>
      </c>
    </row>
    <row r="184" ht="15.0" customHeight="1">
      <c r="A184" s="7" t="s">
        <v>1717</v>
      </c>
      <c r="B184" s="8" t="s">
        <v>1725</v>
      </c>
      <c r="C184" s="8" t="s">
        <v>192</v>
      </c>
      <c r="D184" s="7" t="s">
        <v>223</v>
      </c>
      <c r="E184" s="28" t="s">
        <v>935</v>
      </c>
      <c r="F184" s="28" t="s">
        <v>384</v>
      </c>
      <c r="G184" s="7" t="str">
        <f t="shared" si="1"/>
        <v>Suministrar caudal de aire de _____ L/min</v>
      </c>
      <c r="H184" s="7" t="s">
        <v>61</v>
      </c>
      <c r="I184" s="8" t="s">
        <v>1720</v>
      </c>
      <c r="J184" s="7"/>
      <c r="K184" s="7" t="s">
        <v>696</v>
      </c>
      <c r="L184" s="7" t="s">
        <v>1721</v>
      </c>
      <c r="M184" s="7" t="s">
        <v>1723</v>
      </c>
      <c r="N184" s="8">
        <v>1.0</v>
      </c>
      <c r="O184" s="8" t="s">
        <v>66</v>
      </c>
      <c r="P184" s="8" t="s">
        <v>86</v>
      </c>
      <c r="Q184" s="8" t="s">
        <v>68</v>
      </c>
      <c r="R184" s="7" t="s">
        <v>228</v>
      </c>
      <c r="S184" s="8" t="s">
        <v>111</v>
      </c>
      <c r="T184" s="8" t="s">
        <v>1528</v>
      </c>
      <c r="U184" s="28" t="s">
        <v>1042</v>
      </c>
      <c r="V184" s="28" t="s">
        <v>1043</v>
      </c>
      <c r="W184" s="28" t="s">
        <v>1049</v>
      </c>
    </row>
    <row r="185" ht="15.0" customHeight="1">
      <c r="A185" s="7" t="s">
        <v>1729</v>
      </c>
      <c r="B185" s="8" t="s">
        <v>1730</v>
      </c>
      <c r="C185" s="8" t="s">
        <v>1619</v>
      </c>
      <c r="D185" s="7" t="s">
        <v>1620</v>
      </c>
      <c r="E185" s="28" t="s">
        <v>1731</v>
      </c>
      <c r="F185" s="28" t="s">
        <v>579</v>
      </c>
      <c r="G185" s="7" t="str">
        <f t="shared" si="1"/>
        <v>Girar la muela a _____ rpm</v>
      </c>
      <c r="H185" s="7" t="s">
        <v>61</v>
      </c>
      <c r="I185" s="8" t="s">
        <v>1732</v>
      </c>
      <c r="J185" s="7"/>
      <c r="K185" s="7" t="s">
        <v>1733</v>
      </c>
      <c r="L185" s="7" t="s">
        <v>1734</v>
      </c>
      <c r="M185" s="7" t="s">
        <v>1735</v>
      </c>
      <c r="N185" s="8">
        <v>13.0</v>
      </c>
      <c r="O185" s="8" t="s">
        <v>66</v>
      </c>
      <c r="P185" s="8" t="s">
        <v>67</v>
      </c>
      <c r="Q185" s="8" t="s">
        <v>68</v>
      </c>
      <c r="R185" s="7" t="s">
        <v>1624</v>
      </c>
      <c r="S185" s="8" t="s">
        <v>111</v>
      </c>
      <c r="T185" s="8" t="s">
        <v>1736</v>
      </c>
      <c r="U185" s="28" t="s">
        <v>1616</v>
      </c>
      <c r="V185" s="28" t="s">
        <v>904</v>
      </c>
      <c r="W185" s="28" t="s">
        <v>1737</v>
      </c>
    </row>
    <row r="186" ht="23.25" customHeight="1">
      <c r="A186" s="7" t="s">
        <v>1729</v>
      </c>
      <c r="B186" s="8" t="s">
        <v>1738</v>
      </c>
      <c r="C186" s="8" t="s">
        <v>1605</v>
      </c>
      <c r="D186" s="7" t="s">
        <v>1606</v>
      </c>
      <c r="E186" s="28" t="s">
        <v>935</v>
      </c>
      <c r="F186" s="28" t="s">
        <v>1607</v>
      </c>
      <c r="G186" s="7" t="str">
        <f t="shared" si="1"/>
        <v>Remover metal del riel de _____ mm por pasada</v>
      </c>
      <c r="H186" s="7" t="s">
        <v>61</v>
      </c>
      <c r="I186" s="8" t="s">
        <v>1732</v>
      </c>
      <c r="J186" s="7"/>
      <c r="K186" s="7" t="s">
        <v>1610</v>
      </c>
      <c r="L186" s="7" t="s">
        <v>1734</v>
      </c>
      <c r="M186" s="7" t="s">
        <v>1735</v>
      </c>
      <c r="N186" s="8">
        <v>13.0</v>
      </c>
      <c r="O186" s="8" t="s">
        <v>66</v>
      </c>
      <c r="P186" s="8" t="s">
        <v>86</v>
      </c>
      <c r="Q186" s="8" t="s">
        <v>68</v>
      </c>
      <c r="R186" s="7" t="s">
        <v>1613</v>
      </c>
      <c r="S186" s="8" t="s">
        <v>111</v>
      </c>
      <c r="T186" s="8" t="s">
        <v>71</v>
      </c>
      <c r="U186" s="28" t="s">
        <v>1616</v>
      </c>
      <c r="V186" s="28" t="s">
        <v>904</v>
      </c>
      <c r="W186" s="28" t="s">
        <v>1617</v>
      </c>
    </row>
    <row r="187" ht="15.0" customHeight="1">
      <c r="A187" s="7" t="s">
        <v>1739</v>
      </c>
      <c r="B187" s="8" t="s">
        <v>1740</v>
      </c>
      <c r="C187" s="8" t="s">
        <v>587</v>
      </c>
      <c r="D187" s="7" t="s">
        <v>683</v>
      </c>
      <c r="E187" s="28" t="s">
        <v>705</v>
      </c>
      <c r="F187" s="28" t="s">
        <v>959</v>
      </c>
      <c r="G187" s="7" t="str">
        <f t="shared" si="1"/>
        <v>Remolcar trenes de trabajo hasta _____ t</v>
      </c>
      <c r="H187" s="7" t="s">
        <v>61</v>
      </c>
      <c r="I187" s="8" t="s">
        <v>1741</v>
      </c>
      <c r="J187" s="7"/>
      <c r="K187" s="7" t="s">
        <v>687</v>
      </c>
      <c r="L187" s="7" t="s">
        <v>1739</v>
      </c>
      <c r="M187" s="7" t="s">
        <v>1742</v>
      </c>
      <c r="N187" s="8">
        <v>1.0</v>
      </c>
      <c r="O187" s="8" t="s">
        <v>66</v>
      </c>
      <c r="P187" s="8" t="s">
        <v>67</v>
      </c>
      <c r="Q187" s="8" t="s">
        <v>68</v>
      </c>
      <c r="R187" s="7" t="s">
        <v>595</v>
      </c>
      <c r="S187" s="8" t="s">
        <v>111</v>
      </c>
      <c r="T187" s="8" t="s">
        <v>71</v>
      </c>
      <c r="U187" s="28" t="s">
        <v>1034</v>
      </c>
      <c r="V187" s="28" t="s">
        <v>904</v>
      </c>
      <c r="W187" s="28" t="s">
        <v>1035</v>
      </c>
    </row>
    <row r="188" ht="23.25" customHeight="1">
      <c r="A188" s="7" t="s">
        <v>1747</v>
      </c>
      <c r="B188" s="8" t="s">
        <v>1748</v>
      </c>
      <c r="C188" s="8" t="s">
        <v>232</v>
      </c>
      <c r="D188" s="7" t="s">
        <v>165</v>
      </c>
      <c r="E188" s="28" t="s">
        <v>374</v>
      </c>
      <c r="F188" s="28" t="s">
        <v>155</v>
      </c>
      <c r="G188" s="7" t="str">
        <f t="shared" si="1"/>
        <v>Comprimir el aire a una presión de _____ bar</v>
      </c>
      <c r="H188" s="7" t="s">
        <v>61</v>
      </c>
      <c r="I188" s="8" t="s">
        <v>1750</v>
      </c>
      <c r="J188" s="7"/>
      <c r="K188" s="7" t="s">
        <v>376</v>
      </c>
      <c r="L188" s="7" t="s">
        <v>812</v>
      </c>
      <c r="M188" s="7" t="s">
        <v>1752</v>
      </c>
      <c r="N188" s="8">
        <v>1.0</v>
      </c>
      <c r="O188" s="8" t="s">
        <v>66</v>
      </c>
      <c r="P188" s="8" t="s">
        <v>67</v>
      </c>
      <c r="Q188" s="8" t="s">
        <v>68</v>
      </c>
      <c r="R188" s="7" t="s">
        <v>379</v>
      </c>
      <c r="S188" s="8" t="s">
        <v>111</v>
      </c>
      <c r="T188" s="8" t="s">
        <v>303</v>
      </c>
      <c r="U188" s="28" t="s">
        <v>1042</v>
      </c>
      <c r="V188" s="28" t="s">
        <v>1043</v>
      </c>
      <c r="W188" s="28" t="s">
        <v>305</v>
      </c>
    </row>
    <row r="189" ht="23.25" customHeight="1">
      <c r="A189" s="7" t="s">
        <v>1747</v>
      </c>
      <c r="B189" s="8" t="s">
        <v>1754</v>
      </c>
      <c r="C189" s="8" t="s">
        <v>192</v>
      </c>
      <c r="D189" s="7" t="s">
        <v>223</v>
      </c>
      <c r="E189" s="28" t="s">
        <v>935</v>
      </c>
      <c r="F189" s="28" t="s">
        <v>384</v>
      </c>
      <c r="G189" s="7" t="str">
        <f t="shared" si="1"/>
        <v>Suministrar caudal de aire de _____ L/min</v>
      </c>
      <c r="H189" s="7" t="s">
        <v>61</v>
      </c>
      <c r="I189" s="8" t="s">
        <v>1750</v>
      </c>
      <c r="J189" s="7"/>
      <c r="K189" s="7" t="s">
        <v>696</v>
      </c>
      <c r="L189" s="7" t="s">
        <v>812</v>
      </c>
      <c r="M189" s="7" t="s">
        <v>1752</v>
      </c>
      <c r="N189" s="8">
        <v>1.0</v>
      </c>
      <c r="O189" s="8" t="s">
        <v>66</v>
      </c>
      <c r="P189" s="8" t="s">
        <v>86</v>
      </c>
      <c r="Q189" s="8" t="s">
        <v>68</v>
      </c>
      <c r="R189" s="7" t="s">
        <v>228</v>
      </c>
      <c r="S189" s="8" t="s">
        <v>111</v>
      </c>
      <c r="T189" s="8" t="s">
        <v>1756</v>
      </c>
      <c r="U189" s="28" t="s">
        <v>1042</v>
      </c>
      <c r="V189" s="28" t="s">
        <v>1043</v>
      </c>
      <c r="W189" s="28" t="s">
        <v>1049</v>
      </c>
    </row>
    <row r="190" ht="15.0" customHeight="1">
      <c r="A190" s="7" t="s">
        <v>1757</v>
      </c>
      <c r="B190" s="8" t="s">
        <v>1758</v>
      </c>
      <c r="C190" s="8" t="s">
        <v>177</v>
      </c>
      <c r="D190" s="7" t="s">
        <v>178</v>
      </c>
      <c r="E190" s="7" t="s">
        <v>179</v>
      </c>
      <c r="F190" s="7" t="s">
        <v>180</v>
      </c>
      <c r="G190" s="7" t="str">
        <f t="shared" si="1"/>
        <v>Secar el aire comprimido con punto de rocío máximo de +3 °C</v>
      </c>
      <c r="H190" s="7" t="s">
        <v>61</v>
      </c>
      <c r="I190" s="8" t="s">
        <v>1760</v>
      </c>
      <c r="J190" s="7" t="s">
        <v>182</v>
      </c>
      <c r="K190" s="7" t="s">
        <v>183</v>
      </c>
      <c r="L190" s="7" t="s">
        <v>184</v>
      </c>
      <c r="M190" s="7" t="s">
        <v>1761</v>
      </c>
      <c r="N190" s="8">
        <v>1.0</v>
      </c>
      <c r="O190" s="8" t="s">
        <v>187</v>
      </c>
      <c r="P190" s="8" t="s">
        <v>67</v>
      </c>
      <c r="Q190" s="8" t="s">
        <v>87</v>
      </c>
      <c r="R190" s="7" t="s">
        <v>188</v>
      </c>
      <c r="S190" s="8" t="s">
        <v>89</v>
      </c>
      <c r="T190" s="8" t="s">
        <v>1765</v>
      </c>
      <c r="U190" s="7" t="s">
        <v>1055</v>
      </c>
      <c r="V190" s="7" t="s">
        <v>1057</v>
      </c>
      <c r="W190" s="7" t="s">
        <v>1058</v>
      </c>
    </row>
    <row r="191" ht="15.0" customHeight="1">
      <c r="A191" s="7" t="s">
        <v>1767</v>
      </c>
      <c r="B191" s="8" t="s">
        <v>1768</v>
      </c>
      <c r="C191" s="8" t="s">
        <v>1061</v>
      </c>
      <c r="D191" s="7" t="s">
        <v>488</v>
      </c>
      <c r="E191" s="28" t="s">
        <v>1062</v>
      </c>
      <c r="F191" s="28" t="s">
        <v>155</v>
      </c>
      <c r="G191" s="7" t="str">
        <f t="shared" si="1"/>
        <v>Conducir el aceite hidráulico a presión máxima de _____ bar</v>
      </c>
      <c r="H191" s="7" t="s">
        <v>61</v>
      </c>
      <c r="I191" s="8" t="s">
        <v>1769</v>
      </c>
      <c r="J191" s="7" t="s">
        <v>1064</v>
      </c>
      <c r="K191" s="7" t="s">
        <v>1065</v>
      </c>
      <c r="L191" s="7" t="s">
        <v>1066</v>
      </c>
      <c r="M191" s="7" t="s">
        <v>1771</v>
      </c>
      <c r="N191" s="8">
        <v>1.0</v>
      </c>
      <c r="O191" s="8" t="s">
        <v>173</v>
      </c>
      <c r="P191" s="8" t="s">
        <v>67</v>
      </c>
      <c r="Q191" s="8" t="s">
        <v>68</v>
      </c>
      <c r="R191" s="7" t="s">
        <v>1070</v>
      </c>
      <c r="S191" s="8" t="s">
        <v>111</v>
      </c>
      <c r="T191" s="8" t="s">
        <v>1772</v>
      </c>
      <c r="U191" s="28" t="s">
        <v>1073</v>
      </c>
      <c r="V191" s="28" t="s">
        <v>904</v>
      </c>
      <c r="W191" s="28" t="s">
        <v>1075</v>
      </c>
    </row>
    <row r="192" ht="15.0" customHeight="1">
      <c r="A192" s="7" t="s">
        <v>1773</v>
      </c>
      <c r="B192" s="8" t="s">
        <v>1774</v>
      </c>
      <c r="C192" s="8" t="s">
        <v>143</v>
      </c>
      <c r="D192" s="7" t="s">
        <v>1078</v>
      </c>
      <c r="E192" s="28" t="s">
        <v>935</v>
      </c>
      <c r="F192" s="28" t="s">
        <v>1010</v>
      </c>
      <c r="G192" s="7" t="str">
        <f t="shared" si="1"/>
        <v>Entregar esfuerzo de tracción de _____ kN</v>
      </c>
      <c r="H192" s="7" t="s">
        <v>61</v>
      </c>
      <c r="I192" s="8" t="s">
        <v>1776</v>
      </c>
      <c r="J192" s="7"/>
      <c r="K192" s="7" t="s">
        <v>1081</v>
      </c>
      <c r="L192" s="7" t="s">
        <v>1082</v>
      </c>
      <c r="M192" s="7" t="s">
        <v>1777</v>
      </c>
      <c r="N192" s="8">
        <v>2.0</v>
      </c>
      <c r="O192" s="8" t="s">
        <v>66</v>
      </c>
      <c r="P192" s="8" t="s">
        <v>67</v>
      </c>
      <c r="Q192" s="8" t="s">
        <v>68</v>
      </c>
      <c r="R192" s="7" t="s">
        <v>346</v>
      </c>
      <c r="S192" s="8" t="s">
        <v>111</v>
      </c>
      <c r="T192" s="8" t="s">
        <v>1778</v>
      </c>
      <c r="U192" s="28" t="s">
        <v>1086</v>
      </c>
      <c r="V192" s="28" t="s">
        <v>904</v>
      </c>
      <c r="W192" s="28" t="s">
        <v>1087</v>
      </c>
    </row>
    <row r="193" ht="23.25" customHeight="1">
      <c r="A193" s="7" t="s">
        <v>1780</v>
      </c>
      <c r="B193" s="8" t="s">
        <v>1781</v>
      </c>
      <c r="C193" s="8" t="s">
        <v>252</v>
      </c>
      <c r="D193" s="7" t="s">
        <v>253</v>
      </c>
      <c r="E193" s="28" t="s">
        <v>705</v>
      </c>
      <c r="F193" s="28" t="s">
        <v>959</v>
      </c>
      <c r="G193" s="7" t="str">
        <f t="shared" si="1"/>
        <v>Soportar la carga vertical hasta _____ t</v>
      </c>
      <c r="H193" s="7" t="s">
        <v>79</v>
      </c>
      <c r="I193" s="8" t="s">
        <v>1782</v>
      </c>
      <c r="J193" s="7"/>
      <c r="K193" s="7" t="s">
        <v>257</v>
      </c>
      <c r="L193" s="7" t="s">
        <v>1091</v>
      </c>
      <c r="M193" s="7" t="s">
        <v>1783</v>
      </c>
      <c r="N193" s="8">
        <v>2.0</v>
      </c>
      <c r="O193" s="8" t="s">
        <v>260</v>
      </c>
      <c r="P193" s="8" t="s">
        <v>67</v>
      </c>
      <c r="Q193" s="8" t="s">
        <v>87</v>
      </c>
      <c r="R193" s="7" t="s">
        <v>261</v>
      </c>
      <c r="S193" s="8" t="s">
        <v>111</v>
      </c>
      <c r="T193" s="8" t="s">
        <v>1784</v>
      </c>
      <c r="U193" s="28" t="s">
        <v>1095</v>
      </c>
      <c r="V193" s="28" t="s">
        <v>919</v>
      </c>
      <c r="W193" s="28" t="s">
        <v>1096</v>
      </c>
    </row>
    <row r="194" ht="15.0" customHeight="1">
      <c r="A194" s="7" t="s">
        <v>1780</v>
      </c>
      <c r="B194" s="8" t="s">
        <v>1785</v>
      </c>
      <c r="C194" s="8" t="s">
        <v>265</v>
      </c>
      <c r="D194" s="7" t="s">
        <v>266</v>
      </c>
      <c r="E194" s="7" t="s">
        <v>267</v>
      </c>
      <c r="F194" s="7" t="s">
        <v>268</v>
      </c>
      <c r="G194" s="7" t="str">
        <f t="shared" si="1"/>
        <v>Impedir el remonte de pestaña con cota qR ≥ 6,5 mm</v>
      </c>
      <c r="H194" s="7" t="s">
        <v>79</v>
      </c>
      <c r="I194" s="8" t="s">
        <v>1782</v>
      </c>
      <c r="J194" s="7" t="s">
        <v>269</v>
      </c>
      <c r="K194" s="7" t="s">
        <v>270</v>
      </c>
      <c r="L194" s="7" t="s">
        <v>1091</v>
      </c>
      <c r="M194" s="7" t="s">
        <v>1783</v>
      </c>
      <c r="N194" s="8">
        <v>2.0</v>
      </c>
      <c r="O194" s="8" t="s">
        <v>85</v>
      </c>
      <c r="P194" s="8" t="s">
        <v>86</v>
      </c>
      <c r="Q194" s="8" t="s">
        <v>87</v>
      </c>
      <c r="R194" s="7" t="s">
        <v>271</v>
      </c>
      <c r="S194" s="8" t="s">
        <v>89</v>
      </c>
      <c r="T194" s="8" t="s">
        <v>1788</v>
      </c>
      <c r="U194" s="7" t="s">
        <v>1095</v>
      </c>
      <c r="V194" s="7" t="s">
        <v>919</v>
      </c>
      <c r="W194" s="7" t="s">
        <v>972</v>
      </c>
    </row>
    <row r="195" ht="15.0" customHeight="1">
      <c r="A195" s="7" t="s">
        <v>1790</v>
      </c>
      <c r="B195" s="8" t="s">
        <v>1791</v>
      </c>
      <c r="C195" s="8" t="s">
        <v>335</v>
      </c>
      <c r="D195" s="7" t="s">
        <v>336</v>
      </c>
      <c r="E195" s="28" t="s">
        <v>705</v>
      </c>
      <c r="F195" s="28" t="s">
        <v>146</v>
      </c>
      <c r="G195" s="7" t="str">
        <f t="shared" si="1"/>
        <v>Transmitir el par motriz hasta _____ N·m</v>
      </c>
      <c r="H195" s="7" t="s">
        <v>61</v>
      </c>
      <c r="I195" s="8" t="s">
        <v>1793</v>
      </c>
      <c r="J195" s="7"/>
      <c r="K195" s="7" t="s">
        <v>791</v>
      </c>
      <c r="L195" s="7" t="s">
        <v>1106</v>
      </c>
      <c r="M195" s="7" t="s">
        <v>1795</v>
      </c>
      <c r="N195" s="8">
        <v>2.0</v>
      </c>
      <c r="O195" s="8" t="s">
        <v>66</v>
      </c>
      <c r="P195" s="8" t="s">
        <v>67</v>
      </c>
      <c r="Q195" s="8" t="s">
        <v>68</v>
      </c>
      <c r="R195" s="7" t="s">
        <v>346</v>
      </c>
      <c r="S195" s="8" t="s">
        <v>111</v>
      </c>
      <c r="T195" s="8" t="s">
        <v>1796</v>
      </c>
      <c r="U195" s="28" t="s">
        <v>1109</v>
      </c>
      <c r="V195" s="28" t="s">
        <v>904</v>
      </c>
      <c r="W195" s="28" t="s">
        <v>1110</v>
      </c>
    </row>
    <row r="196" ht="15.0" customHeight="1">
      <c r="A196" s="7" t="s">
        <v>1797</v>
      </c>
      <c r="B196" s="8" t="s">
        <v>1798</v>
      </c>
      <c r="C196" s="8" t="s">
        <v>192</v>
      </c>
      <c r="D196" s="7" t="s">
        <v>289</v>
      </c>
      <c r="E196" s="7" t="s">
        <v>290</v>
      </c>
      <c r="F196" s="7" t="s">
        <v>291</v>
      </c>
      <c r="G196" s="7" t="str">
        <f t="shared" si="1"/>
        <v>Suministrar la corriente de arranque con tensión mínima de 19,2 V</v>
      </c>
      <c r="H196" s="7" t="s">
        <v>61</v>
      </c>
      <c r="I196" s="8" t="s">
        <v>1801</v>
      </c>
      <c r="J196" s="7"/>
      <c r="K196" s="7" t="s">
        <v>733</v>
      </c>
      <c r="L196" s="7" t="s">
        <v>628</v>
      </c>
      <c r="M196" s="7" t="s">
        <v>1802</v>
      </c>
      <c r="N196" s="8">
        <v>1.0</v>
      </c>
      <c r="O196" s="8" t="s">
        <v>66</v>
      </c>
      <c r="P196" s="8" t="s">
        <v>67</v>
      </c>
      <c r="Q196" s="8" t="s">
        <v>68</v>
      </c>
      <c r="R196" s="7" t="s">
        <v>297</v>
      </c>
      <c r="S196" s="8" t="s">
        <v>111</v>
      </c>
      <c r="T196" s="8" t="s">
        <v>1804</v>
      </c>
      <c r="U196" s="7" t="s">
        <v>1116</v>
      </c>
      <c r="V196" s="7" t="s">
        <v>904</v>
      </c>
      <c r="W196" s="7" t="s">
        <v>1117</v>
      </c>
    </row>
    <row r="197" ht="15.0" customHeight="1">
      <c r="A197" s="7" t="s">
        <v>1797</v>
      </c>
      <c r="B197" s="8" t="s">
        <v>1805</v>
      </c>
      <c r="C197" s="8" t="s">
        <v>300</v>
      </c>
      <c r="D197" s="7" t="s">
        <v>301</v>
      </c>
      <c r="E197" s="7" t="s">
        <v>290</v>
      </c>
      <c r="F197" s="7" t="s">
        <v>291</v>
      </c>
      <c r="G197" s="7" t="str">
        <f t="shared" si="1"/>
        <v>Almacenar energía eléctrica con tensión mínima de 19,2 V</v>
      </c>
      <c r="H197" s="7" t="s">
        <v>61</v>
      </c>
      <c r="I197" s="8" t="s">
        <v>1801</v>
      </c>
      <c r="J197" s="7"/>
      <c r="K197" s="7" t="s">
        <v>302</v>
      </c>
      <c r="L197" s="7" t="s">
        <v>628</v>
      </c>
      <c r="M197" s="7" t="s">
        <v>1802</v>
      </c>
      <c r="N197" s="8">
        <v>1.0</v>
      </c>
      <c r="O197" s="8" t="s">
        <v>66</v>
      </c>
      <c r="P197" s="8" t="s">
        <v>67</v>
      </c>
      <c r="Q197" s="8" t="s">
        <v>68</v>
      </c>
      <c r="R197" s="7" t="s">
        <v>297</v>
      </c>
      <c r="S197" s="8" t="s">
        <v>111</v>
      </c>
      <c r="T197" s="8" t="s">
        <v>303</v>
      </c>
      <c r="U197" s="7" t="s">
        <v>1116</v>
      </c>
      <c r="V197" s="7" t="s">
        <v>904</v>
      </c>
      <c r="W197" s="7" t="s">
        <v>305</v>
      </c>
    </row>
    <row r="198" ht="15.0" customHeight="1">
      <c r="A198" s="7" t="s">
        <v>1806</v>
      </c>
      <c r="B198" s="8" t="s">
        <v>1807</v>
      </c>
      <c r="C198" s="8" t="s">
        <v>309</v>
      </c>
      <c r="D198" s="7" t="s">
        <v>310</v>
      </c>
      <c r="E198" s="7" t="s">
        <v>311</v>
      </c>
      <c r="F198" s="7" t="s">
        <v>155</v>
      </c>
      <c r="G198" s="7" t="str">
        <f t="shared" si="1"/>
        <v>Presurizar los cilindros de freno entre 3,7 y 3,9 bar</v>
      </c>
      <c r="H198" s="7" t="s">
        <v>79</v>
      </c>
      <c r="I198" s="8" t="s">
        <v>1810</v>
      </c>
      <c r="J198" s="7" t="s">
        <v>315</v>
      </c>
      <c r="K198" s="7" t="s">
        <v>316</v>
      </c>
      <c r="L198" s="7" t="s">
        <v>1143</v>
      </c>
      <c r="M198" s="7" t="s">
        <v>1811</v>
      </c>
      <c r="N198" s="8">
        <v>1.0</v>
      </c>
      <c r="O198" s="8" t="s">
        <v>85</v>
      </c>
      <c r="P198" s="8" t="s">
        <v>67</v>
      </c>
      <c r="Q198" s="8" t="s">
        <v>68</v>
      </c>
      <c r="R198" s="7" t="s">
        <v>527</v>
      </c>
      <c r="S198" s="8" t="s">
        <v>89</v>
      </c>
      <c r="T198" s="8" t="s">
        <v>1812</v>
      </c>
      <c r="U198" s="7" t="s">
        <v>1146</v>
      </c>
      <c r="V198" s="7" t="s">
        <v>904</v>
      </c>
      <c r="W198" s="7" t="s">
        <v>1148</v>
      </c>
    </row>
    <row r="199" ht="23.25" customHeight="1">
      <c r="A199" s="7" t="s">
        <v>1814</v>
      </c>
      <c r="B199" s="8" t="s">
        <v>1815</v>
      </c>
      <c r="C199" s="8" t="s">
        <v>119</v>
      </c>
      <c r="D199" s="7" t="s">
        <v>1151</v>
      </c>
      <c r="E199" s="28" t="s">
        <v>1152</v>
      </c>
      <c r="F199" s="28" t="s">
        <v>1154</v>
      </c>
      <c r="G199" s="7" t="str">
        <f t="shared" si="1"/>
        <v>Inmovilizar la máquina estacionada en pendiente de _____ %</v>
      </c>
      <c r="H199" s="7" t="s">
        <v>79</v>
      </c>
      <c r="I199" s="8" t="s">
        <v>1816</v>
      </c>
      <c r="J199" s="7"/>
      <c r="K199" s="7" t="s">
        <v>1156</v>
      </c>
      <c r="L199" s="7" t="s">
        <v>1158</v>
      </c>
      <c r="M199" s="7" t="s">
        <v>1817</v>
      </c>
      <c r="N199" s="8">
        <v>1.0</v>
      </c>
      <c r="O199" s="8" t="s">
        <v>85</v>
      </c>
      <c r="P199" s="8" t="s">
        <v>67</v>
      </c>
      <c r="Q199" s="8" t="s">
        <v>68</v>
      </c>
      <c r="R199" s="7" t="s">
        <v>1160</v>
      </c>
      <c r="S199" s="8" t="s">
        <v>111</v>
      </c>
      <c r="T199" s="8" t="s">
        <v>1819</v>
      </c>
      <c r="U199" s="28" t="s">
        <v>1161</v>
      </c>
      <c r="V199" s="28" t="s">
        <v>904</v>
      </c>
      <c r="W199" s="28" t="s">
        <v>1162</v>
      </c>
    </row>
    <row r="200" ht="15.0" customHeight="1">
      <c r="A200" s="7" t="s">
        <v>1820</v>
      </c>
      <c r="B200" s="8" t="s">
        <v>1821</v>
      </c>
      <c r="C200" s="8" t="s">
        <v>102</v>
      </c>
      <c r="D200" s="7" t="s">
        <v>1165</v>
      </c>
      <c r="E200" s="28" t="s">
        <v>1166</v>
      </c>
      <c r="F200" s="28" t="s">
        <v>801</v>
      </c>
      <c r="G200" s="7" t="str">
        <f t="shared" si="1"/>
        <v>Frenar la locomotora en una distancia máxima de _____ m</v>
      </c>
      <c r="H200" s="7" t="s">
        <v>79</v>
      </c>
      <c r="I200" s="8" t="s">
        <v>1823</v>
      </c>
      <c r="J200" s="7"/>
      <c r="K200" s="7" t="s">
        <v>1169</v>
      </c>
      <c r="L200" s="7" t="s">
        <v>1170</v>
      </c>
      <c r="M200" s="7" t="s">
        <v>1824</v>
      </c>
      <c r="N200" s="8">
        <v>1.0</v>
      </c>
      <c r="O200" s="8" t="s">
        <v>85</v>
      </c>
      <c r="P200" s="8" t="s">
        <v>67</v>
      </c>
      <c r="Q200" s="8" t="s">
        <v>68</v>
      </c>
      <c r="R200" s="7" t="s">
        <v>1172</v>
      </c>
      <c r="S200" s="8" t="s">
        <v>111</v>
      </c>
      <c r="T200" s="8" t="s">
        <v>1827</v>
      </c>
      <c r="U200" s="28" t="s">
        <v>1175</v>
      </c>
      <c r="V200" s="28" t="s">
        <v>904</v>
      </c>
      <c r="W200" s="28" t="s">
        <v>1177</v>
      </c>
    </row>
    <row r="201" ht="15.0" customHeight="1">
      <c r="A201" s="7" t="s">
        <v>1828</v>
      </c>
      <c r="B201" s="8" t="s">
        <v>1829</v>
      </c>
      <c r="C201" s="8" t="s">
        <v>102</v>
      </c>
      <c r="D201" s="7" t="s">
        <v>1180</v>
      </c>
      <c r="E201" s="28" t="s">
        <v>1166</v>
      </c>
      <c r="F201" s="28" t="s">
        <v>801</v>
      </c>
      <c r="G201" s="7" t="str">
        <f t="shared" si="1"/>
        <v>Frenar el tren de trabajo en una distancia máxima de _____ m</v>
      </c>
      <c r="H201" s="7" t="s">
        <v>79</v>
      </c>
      <c r="I201" s="8" t="s">
        <v>1830</v>
      </c>
      <c r="J201" s="7"/>
      <c r="K201" s="7" t="s">
        <v>1182</v>
      </c>
      <c r="L201" s="7" t="s">
        <v>1183</v>
      </c>
      <c r="M201" s="7" t="s">
        <v>1831</v>
      </c>
      <c r="N201" s="8">
        <v>1.0</v>
      </c>
      <c r="O201" s="8" t="s">
        <v>85</v>
      </c>
      <c r="P201" s="8" t="s">
        <v>67</v>
      </c>
      <c r="Q201" s="8" t="s">
        <v>68</v>
      </c>
      <c r="R201" s="7" t="s">
        <v>1172</v>
      </c>
      <c r="S201" s="8" t="s">
        <v>111</v>
      </c>
      <c r="T201" s="8" t="s">
        <v>1832</v>
      </c>
      <c r="U201" s="28" t="s">
        <v>1187</v>
      </c>
      <c r="V201" s="28" t="s">
        <v>904</v>
      </c>
      <c r="W201" s="28" t="s">
        <v>1188</v>
      </c>
    </row>
    <row r="202" ht="23.25" customHeight="1">
      <c r="A202" s="7" t="s">
        <v>1833</v>
      </c>
      <c r="B202" s="8" t="s">
        <v>1834</v>
      </c>
      <c r="C202" s="8" t="s">
        <v>335</v>
      </c>
      <c r="D202" s="7" t="s">
        <v>530</v>
      </c>
      <c r="E202" s="28" t="s">
        <v>1298</v>
      </c>
      <c r="F202" s="28" t="s">
        <v>268</v>
      </c>
      <c r="G202" s="7" t="str">
        <f t="shared" si="1"/>
        <v>Transmitir la fuerza a zapatas con juego de _____ mm</v>
      </c>
      <c r="H202" s="7" t="s">
        <v>79</v>
      </c>
      <c r="I202" s="8" t="s">
        <v>1835</v>
      </c>
      <c r="J202" s="7"/>
      <c r="K202" s="7" t="s">
        <v>760</v>
      </c>
      <c r="L202" s="7" t="s">
        <v>884</v>
      </c>
      <c r="M202" s="7" t="s">
        <v>1836</v>
      </c>
      <c r="N202" s="8">
        <v>1.0</v>
      </c>
      <c r="O202" s="8" t="s">
        <v>85</v>
      </c>
      <c r="P202" s="8" t="s">
        <v>67</v>
      </c>
      <c r="Q202" s="8" t="s">
        <v>68</v>
      </c>
      <c r="R202" s="7" t="s">
        <v>657</v>
      </c>
      <c r="S202" s="8" t="s">
        <v>111</v>
      </c>
      <c r="T202" s="8" t="s">
        <v>1642</v>
      </c>
      <c r="U202" s="28" t="s">
        <v>1194</v>
      </c>
      <c r="V202" s="28" t="s">
        <v>904</v>
      </c>
      <c r="W202" s="28" t="s">
        <v>1304</v>
      </c>
    </row>
    <row r="203" ht="15.0" customHeight="1">
      <c r="A203" s="7" t="s">
        <v>1837</v>
      </c>
      <c r="B203" s="8" t="s">
        <v>1838</v>
      </c>
      <c r="C203" s="8" t="s">
        <v>143</v>
      </c>
      <c r="D203" s="7" t="s">
        <v>349</v>
      </c>
      <c r="E203" s="28" t="s">
        <v>935</v>
      </c>
      <c r="F203" s="28" t="s">
        <v>351</v>
      </c>
      <c r="G203" s="7" t="str">
        <f t="shared" si="1"/>
        <v>Entregar potencia mecánica de _____ kW</v>
      </c>
      <c r="H203" s="7" t="s">
        <v>61</v>
      </c>
      <c r="I203" s="8" t="s">
        <v>1839</v>
      </c>
      <c r="J203" s="7"/>
      <c r="K203" s="7" t="s">
        <v>781</v>
      </c>
      <c r="L203" s="7" t="s">
        <v>939</v>
      </c>
      <c r="M203" s="7" t="s">
        <v>1841</v>
      </c>
      <c r="N203" s="8">
        <v>2.0</v>
      </c>
      <c r="O203" s="8" t="s">
        <v>66</v>
      </c>
      <c r="P203" s="8" t="s">
        <v>67</v>
      </c>
      <c r="Q203" s="8" t="s">
        <v>68</v>
      </c>
      <c r="R203" s="7" t="s">
        <v>784</v>
      </c>
      <c r="S203" s="8" t="s">
        <v>111</v>
      </c>
      <c r="T203" s="8" t="s">
        <v>1844</v>
      </c>
      <c r="U203" s="28" t="s">
        <v>943</v>
      </c>
      <c r="V203" s="28" t="s">
        <v>944</v>
      </c>
      <c r="W203" s="28" t="s">
        <v>945</v>
      </c>
    </row>
    <row r="204" ht="15.0" customHeight="1">
      <c r="A204" s="7" t="s">
        <v>1845</v>
      </c>
      <c r="B204" s="8" t="s">
        <v>1846</v>
      </c>
      <c r="C204" s="8" t="s">
        <v>55</v>
      </c>
      <c r="D204" s="7" t="s">
        <v>1420</v>
      </c>
      <c r="E204" s="28" t="s">
        <v>705</v>
      </c>
      <c r="F204" s="28" t="s">
        <v>959</v>
      </c>
      <c r="G204" s="7" t="str">
        <f t="shared" si="1"/>
        <v>Transportar material de vía hasta _____ t</v>
      </c>
      <c r="H204" s="7" t="s">
        <v>61</v>
      </c>
      <c r="I204" s="8" t="s">
        <v>1847</v>
      </c>
      <c r="J204" s="7"/>
      <c r="K204" s="7" t="s">
        <v>1428</v>
      </c>
      <c r="L204" s="7" t="s">
        <v>1848</v>
      </c>
      <c r="M204" s="7" t="s">
        <v>1849</v>
      </c>
      <c r="N204" s="8">
        <v>3.0</v>
      </c>
      <c r="O204" s="8" t="s">
        <v>66</v>
      </c>
      <c r="P204" s="8" t="s">
        <v>67</v>
      </c>
      <c r="Q204" s="8" t="s">
        <v>68</v>
      </c>
      <c r="R204" s="7" t="s">
        <v>1431</v>
      </c>
      <c r="S204" s="8" t="s">
        <v>111</v>
      </c>
      <c r="T204" s="8" t="s">
        <v>71</v>
      </c>
      <c r="U204" s="28" t="s">
        <v>1850</v>
      </c>
      <c r="V204" s="28" t="s">
        <v>904</v>
      </c>
      <c r="W204" s="28" t="s">
        <v>1433</v>
      </c>
    </row>
    <row r="205" ht="15.0" customHeight="1">
      <c r="A205" s="7" t="s">
        <v>1851</v>
      </c>
      <c r="B205" s="8" t="s">
        <v>1852</v>
      </c>
      <c r="C205" s="8" t="s">
        <v>252</v>
      </c>
      <c r="D205" s="7" t="s">
        <v>958</v>
      </c>
      <c r="E205" s="28" t="s">
        <v>705</v>
      </c>
      <c r="F205" s="28" t="s">
        <v>959</v>
      </c>
      <c r="G205" s="7" t="str">
        <f t="shared" si="1"/>
        <v>Soportar la carga por eje hasta _____ t</v>
      </c>
      <c r="H205" s="7" t="s">
        <v>79</v>
      </c>
      <c r="I205" s="8" t="s">
        <v>1853</v>
      </c>
      <c r="J205" s="7"/>
      <c r="K205" s="7" t="s">
        <v>961</v>
      </c>
      <c r="L205" s="7" t="s">
        <v>1854</v>
      </c>
      <c r="M205" s="7" t="s">
        <v>1855</v>
      </c>
      <c r="N205" s="8">
        <v>4.0</v>
      </c>
      <c r="O205" s="8" t="s">
        <v>260</v>
      </c>
      <c r="P205" s="8" t="s">
        <v>86</v>
      </c>
      <c r="Q205" s="8" t="s">
        <v>87</v>
      </c>
      <c r="R205" s="7" t="s">
        <v>261</v>
      </c>
      <c r="S205" s="8" t="s">
        <v>111</v>
      </c>
      <c r="T205" s="8" t="s">
        <v>1856</v>
      </c>
      <c r="U205" s="28" t="s">
        <v>1447</v>
      </c>
      <c r="V205" s="28" t="s">
        <v>919</v>
      </c>
      <c r="W205" s="28" t="s">
        <v>967</v>
      </c>
    </row>
    <row r="206" ht="15.0" customHeight="1">
      <c r="A206" s="7" t="s">
        <v>1851</v>
      </c>
      <c r="B206" s="8" t="s">
        <v>1857</v>
      </c>
      <c r="C206" s="8" t="s">
        <v>265</v>
      </c>
      <c r="D206" s="7" t="s">
        <v>266</v>
      </c>
      <c r="E206" s="7" t="s">
        <v>267</v>
      </c>
      <c r="F206" s="7" t="s">
        <v>268</v>
      </c>
      <c r="G206" s="7" t="str">
        <f t="shared" si="1"/>
        <v>Impedir el remonte de pestaña con cota qR ≥ 6,5 mm</v>
      </c>
      <c r="H206" s="7" t="s">
        <v>79</v>
      </c>
      <c r="I206" s="8" t="s">
        <v>1853</v>
      </c>
      <c r="J206" s="7" t="s">
        <v>269</v>
      </c>
      <c r="K206" s="7" t="s">
        <v>270</v>
      </c>
      <c r="L206" s="7" t="s">
        <v>1854</v>
      </c>
      <c r="M206" s="7" t="s">
        <v>1855</v>
      </c>
      <c r="N206" s="8">
        <v>4.0</v>
      </c>
      <c r="O206" s="8" t="s">
        <v>85</v>
      </c>
      <c r="P206" s="8" t="s">
        <v>67</v>
      </c>
      <c r="Q206" s="8" t="s">
        <v>87</v>
      </c>
      <c r="R206" s="7" t="s">
        <v>271</v>
      </c>
      <c r="S206" s="8" t="s">
        <v>89</v>
      </c>
      <c r="T206" s="8" t="s">
        <v>1858</v>
      </c>
      <c r="U206" s="7" t="s">
        <v>1447</v>
      </c>
      <c r="V206" s="7" t="s">
        <v>919</v>
      </c>
      <c r="W206" s="7" t="s">
        <v>972</v>
      </c>
    </row>
    <row r="207" ht="23.25" customHeight="1">
      <c r="A207" s="7" t="s">
        <v>1851</v>
      </c>
      <c r="B207" s="8" t="s">
        <v>1859</v>
      </c>
      <c r="C207" s="8" t="s">
        <v>152</v>
      </c>
      <c r="D207" s="7" t="s">
        <v>480</v>
      </c>
      <c r="E207" s="7" t="s">
        <v>481</v>
      </c>
      <c r="F207" s="7" t="s">
        <v>268</v>
      </c>
      <c r="G207" s="7" t="str">
        <f t="shared" si="1"/>
        <v>Mantener la distancia entre ruedas de 1.357 a 1.363 mm</v>
      </c>
      <c r="H207" s="7" t="s">
        <v>79</v>
      </c>
      <c r="I207" s="8" t="s">
        <v>1853</v>
      </c>
      <c r="J207" s="7" t="s">
        <v>269</v>
      </c>
      <c r="K207" s="7" t="s">
        <v>484</v>
      </c>
      <c r="L207" s="7" t="s">
        <v>1854</v>
      </c>
      <c r="M207" s="7" t="s">
        <v>1855</v>
      </c>
      <c r="N207" s="8">
        <v>4.0</v>
      </c>
      <c r="O207" s="8" t="s">
        <v>85</v>
      </c>
      <c r="P207" s="8" t="s">
        <v>86</v>
      </c>
      <c r="Q207" s="8" t="s">
        <v>87</v>
      </c>
      <c r="R207" s="7" t="s">
        <v>485</v>
      </c>
      <c r="S207" s="8" t="s">
        <v>89</v>
      </c>
      <c r="T207" s="8" t="s">
        <v>71</v>
      </c>
      <c r="U207" s="7" t="s">
        <v>1447</v>
      </c>
      <c r="V207" s="7" t="s">
        <v>919</v>
      </c>
      <c r="W207" s="7" t="s">
        <v>975</v>
      </c>
    </row>
    <row r="208" ht="15.0" customHeight="1">
      <c r="A208" s="7" t="s">
        <v>1851</v>
      </c>
      <c r="B208" s="8" t="s">
        <v>1862</v>
      </c>
      <c r="C208" s="8" t="s">
        <v>978</v>
      </c>
      <c r="D208" s="7" t="s">
        <v>979</v>
      </c>
      <c r="E208" s="28" t="s">
        <v>980</v>
      </c>
      <c r="F208" s="28" t="s">
        <v>268</v>
      </c>
      <c r="G208" s="7" t="str">
        <f t="shared" si="1"/>
        <v>Guiar el eje con pestaña de _____ mm</v>
      </c>
      <c r="H208" s="7" t="s">
        <v>79</v>
      </c>
      <c r="I208" s="8" t="s">
        <v>1853</v>
      </c>
      <c r="J208" s="7"/>
      <c r="K208" s="7" t="s">
        <v>981</v>
      </c>
      <c r="L208" s="7" t="s">
        <v>1854</v>
      </c>
      <c r="M208" s="7" t="s">
        <v>1855</v>
      </c>
      <c r="N208" s="8">
        <v>4.0</v>
      </c>
      <c r="O208" s="8" t="s">
        <v>85</v>
      </c>
      <c r="P208" s="8" t="s">
        <v>86</v>
      </c>
      <c r="Q208" s="8" t="s">
        <v>87</v>
      </c>
      <c r="R208" s="7" t="s">
        <v>271</v>
      </c>
      <c r="S208" s="8" t="s">
        <v>111</v>
      </c>
      <c r="T208" s="8" t="s">
        <v>71</v>
      </c>
      <c r="U208" s="28" t="s">
        <v>1447</v>
      </c>
      <c r="V208" s="28" t="s">
        <v>919</v>
      </c>
      <c r="W208" s="28" t="s">
        <v>983</v>
      </c>
    </row>
    <row r="209" ht="15.0" customHeight="1">
      <c r="A209" s="7" t="s">
        <v>1863</v>
      </c>
      <c r="B209" s="8" t="s">
        <v>1864</v>
      </c>
      <c r="C209" s="8" t="s">
        <v>1008</v>
      </c>
      <c r="D209" s="7" t="s">
        <v>588</v>
      </c>
      <c r="E209" s="28" t="s">
        <v>1009</v>
      </c>
      <c r="F209" s="28" t="s">
        <v>1010</v>
      </c>
      <c r="G209" s="7" t="str">
        <f t="shared" si="1"/>
        <v>Acoplar vehículos con tracción de _____ kN</v>
      </c>
      <c r="H209" s="7" t="s">
        <v>61</v>
      </c>
      <c r="I209" s="8" t="s">
        <v>1865</v>
      </c>
      <c r="J209" s="7"/>
      <c r="K209" s="7" t="s">
        <v>1012</v>
      </c>
      <c r="L209" s="7" t="s">
        <v>1863</v>
      </c>
      <c r="M209" s="7" t="s">
        <v>1866</v>
      </c>
      <c r="N209" s="8">
        <v>1.0</v>
      </c>
      <c r="O209" s="8" t="s">
        <v>1015</v>
      </c>
      <c r="P209" s="8" t="s">
        <v>67</v>
      </c>
      <c r="Q209" s="8" t="s">
        <v>68</v>
      </c>
      <c r="R209" s="7" t="s">
        <v>1016</v>
      </c>
      <c r="S209" s="8" t="s">
        <v>111</v>
      </c>
      <c r="T209" s="8" t="s">
        <v>1703</v>
      </c>
      <c r="U209" s="28" t="s">
        <v>1019</v>
      </c>
      <c r="V209" s="28" t="s">
        <v>919</v>
      </c>
      <c r="W209" s="28" t="s">
        <v>1020</v>
      </c>
    </row>
    <row r="210" ht="15.0" customHeight="1">
      <c r="A210" s="7" t="s">
        <v>1863</v>
      </c>
      <c r="B210" s="8" t="s">
        <v>1867</v>
      </c>
      <c r="C210" s="8" t="s">
        <v>152</v>
      </c>
      <c r="D210" s="7" t="s">
        <v>1023</v>
      </c>
      <c r="E210" s="28" t="s">
        <v>1024</v>
      </c>
      <c r="F210" s="28" t="s">
        <v>268</v>
      </c>
      <c r="G210" s="7" t="str">
        <f t="shared" si="1"/>
        <v>Mantener la altura del enganche entre _____ y _____ mm</v>
      </c>
      <c r="H210" s="7" t="s">
        <v>79</v>
      </c>
      <c r="I210" s="8" t="s">
        <v>1865</v>
      </c>
      <c r="J210" s="7"/>
      <c r="K210" s="7" t="s">
        <v>1026</v>
      </c>
      <c r="L210" s="7" t="s">
        <v>1863</v>
      </c>
      <c r="M210" s="7" t="s">
        <v>1866</v>
      </c>
      <c r="N210" s="8">
        <v>1.0</v>
      </c>
      <c r="O210" s="8" t="s">
        <v>1015</v>
      </c>
      <c r="P210" s="8" t="s">
        <v>86</v>
      </c>
      <c r="Q210" s="8" t="s">
        <v>68</v>
      </c>
      <c r="R210" s="7" t="s">
        <v>1027</v>
      </c>
      <c r="S210" s="8" t="s">
        <v>111</v>
      </c>
      <c r="T210" s="8" t="s">
        <v>71</v>
      </c>
      <c r="U210" s="28" t="s">
        <v>1019</v>
      </c>
      <c r="V210" s="28" t="s">
        <v>919</v>
      </c>
      <c r="W210" s="28" t="s">
        <v>1028</v>
      </c>
    </row>
    <row r="211" ht="15.0" customHeight="1">
      <c r="A211" s="7" t="s">
        <v>1871</v>
      </c>
      <c r="B211" s="8" t="s">
        <v>1872</v>
      </c>
      <c r="C211" s="8" t="s">
        <v>923</v>
      </c>
      <c r="D211" s="7" t="s">
        <v>924</v>
      </c>
      <c r="E211" s="7" t="s">
        <v>1873</v>
      </c>
      <c r="F211" s="7" t="s">
        <v>135</v>
      </c>
      <c r="G211" s="7" t="str">
        <f t="shared" si="1"/>
        <v>Circular por la vía hasta 50 km/h</v>
      </c>
      <c r="H211" s="7" t="s">
        <v>61</v>
      </c>
      <c r="I211" s="8" t="s">
        <v>1874</v>
      </c>
      <c r="J211" s="7" t="s">
        <v>1875</v>
      </c>
      <c r="K211" s="7"/>
      <c r="L211" s="7" t="s">
        <v>1871</v>
      </c>
      <c r="M211" s="7" t="s">
        <v>1876</v>
      </c>
      <c r="N211" s="8">
        <v>1.0</v>
      </c>
      <c r="O211" s="8" t="s">
        <v>66</v>
      </c>
      <c r="P211" s="8" t="s">
        <v>67</v>
      </c>
      <c r="Q211" s="8" t="s">
        <v>68</v>
      </c>
      <c r="R211" s="7" t="s">
        <v>1877</v>
      </c>
      <c r="S211" s="8" t="s">
        <v>111</v>
      </c>
      <c r="T211" s="8" t="s">
        <v>71</v>
      </c>
      <c r="U211" s="7" t="s">
        <v>1878</v>
      </c>
      <c r="V211" s="7" t="s">
        <v>904</v>
      </c>
      <c r="W211" s="7" t="s">
        <v>1879</v>
      </c>
    </row>
    <row r="212" ht="23.25" customHeight="1">
      <c r="A212" s="7" t="s">
        <v>1880</v>
      </c>
      <c r="B212" s="8" t="s">
        <v>1881</v>
      </c>
      <c r="C212" s="8" t="s">
        <v>192</v>
      </c>
      <c r="D212" s="7" t="s">
        <v>193</v>
      </c>
      <c r="E212" s="28" t="s">
        <v>935</v>
      </c>
      <c r="F212" s="28" t="s">
        <v>384</v>
      </c>
      <c r="G212" s="7" t="str">
        <f t="shared" si="1"/>
        <v>Suministrar caudal de aceite de _____ L/min</v>
      </c>
      <c r="H212" s="7" t="s">
        <v>61</v>
      </c>
      <c r="I212" s="8" t="s">
        <v>1882</v>
      </c>
      <c r="J212" s="7"/>
      <c r="K212" s="7" t="s">
        <v>199</v>
      </c>
      <c r="L212" s="7" t="s">
        <v>1883</v>
      </c>
      <c r="M212" s="7" t="s">
        <v>1884</v>
      </c>
      <c r="N212" s="8">
        <v>1.0</v>
      </c>
      <c r="O212" s="8" t="s">
        <v>66</v>
      </c>
      <c r="P212" s="8" t="s">
        <v>67</v>
      </c>
      <c r="Q212" s="8" t="s">
        <v>68</v>
      </c>
      <c r="R212" s="7" t="s">
        <v>202</v>
      </c>
      <c r="S212" s="8" t="s">
        <v>111</v>
      </c>
      <c r="T212" s="8" t="s">
        <v>1725</v>
      </c>
      <c r="U212" s="28" t="s">
        <v>1472</v>
      </c>
      <c r="V212" s="28" t="s">
        <v>1473</v>
      </c>
      <c r="W212" s="28" t="s">
        <v>1885</v>
      </c>
    </row>
    <row r="213" ht="15.0" customHeight="1">
      <c r="A213" s="7" t="s">
        <v>1880</v>
      </c>
      <c r="B213" s="8" t="s">
        <v>1886</v>
      </c>
      <c r="C213" s="8" t="s">
        <v>204</v>
      </c>
      <c r="D213" s="7" t="s">
        <v>205</v>
      </c>
      <c r="E213" s="28" t="s">
        <v>705</v>
      </c>
      <c r="F213" s="28" t="s">
        <v>155</v>
      </c>
      <c r="G213" s="7" t="str">
        <f t="shared" si="1"/>
        <v>Generar presión hidráulica hasta _____ bar</v>
      </c>
      <c r="H213" s="7" t="s">
        <v>61</v>
      </c>
      <c r="I213" s="8" t="s">
        <v>1882</v>
      </c>
      <c r="J213" s="7"/>
      <c r="K213" s="7" t="s">
        <v>206</v>
      </c>
      <c r="L213" s="7" t="s">
        <v>1883</v>
      </c>
      <c r="M213" s="7" t="s">
        <v>1884</v>
      </c>
      <c r="N213" s="8">
        <v>1.0</v>
      </c>
      <c r="O213" s="8" t="s">
        <v>66</v>
      </c>
      <c r="P213" s="8" t="s">
        <v>86</v>
      </c>
      <c r="Q213" s="8" t="s">
        <v>68</v>
      </c>
      <c r="R213" s="7" t="s">
        <v>208</v>
      </c>
      <c r="S213" s="8" t="s">
        <v>111</v>
      </c>
      <c r="T213" s="8" t="s">
        <v>71</v>
      </c>
      <c r="U213" s="28" t="s">
        <v>1472</v>
      </c>
      <c r="V213" s="28" t="s">
        <v>1473</v>
      </c>
      <c r="W213" s="28" t="s">
        <v>1889</v>
      </c>
    </row>
    <row r="214" ht="23.25" customHeight="1">
      <c r="A214" s="7" t="s">
        <v>1890</v>
      </c>
      <c r="B214" s="8" t="s">
        <v>1891</v>
      </c>
      <c r="C214" s="8" t="s">
        <v>252</v>
      </c>
      <c r="D214" s="7" t="s">
        <v>1892</v>
      </c>
      <c r="E214" s="28" t="s">
        <v>705</v>
      </c>
      <c r="F214" s="28" t="s">
        <v>959</v>
      </c>
      <c r="G214" s="7" t="str">
        <f t="shared" si="1"/>
        <v>Soportar la carga sobre carril hasta _____ t</v>
      </c>
      <c r="H214" s="7" t="s">
        <v>79</v>
      </c>
      <c r="I214" s="8" t="s">
        <v>1893</v>
      </c>
      <c r="J214" s="7"/>
      <c r="K214" s="7" t="s">
        <v>1894</v>
      </c>
      <c r="L214" s="7" t="s">
        <v>1895</v>
      </c>
      <c r="M214" s="7" t="s">
        <v>1896</v>
      </c>
      <c r="N214" s="8">
        <v>1.0</v>
      </c>
      <c r="O214" s="8" t="s">
        <v>260</v>
      </c>
      <c r="P214" s="8" t="s">
        <v>67</v>
      </c>
      <c r="Q214" s="8" t="s">
        <v>87</v>
      </c>
      <c r="R214" s="7" t="s">
        <v>1898</v>
      </c>
      <c r="S214" s="8" t="s">
        <v>111</v>
      </c>
      <c r="T214" s="8" t="s">
        <v>1899</v>
      </c>
      <c r="U214" s="28" t="s">
        <v>1900</v>
      </c>
      <c r="V214" s="28" t="s">
        <v>904</v>
      </c>
      <c r="W214" s="28" t="s">
        <v>1901</v>
      </c>
    </row>
    <row r="215" ht="15.0" customHeight="1">
      <c r="A215" s="7" t="s">
        <v>1890</v>
      </c>
      <c r="B215" s="8" t="s">
        <v>1902</v>
      </c>
      <c r="C215" s="8" t="s">
        <v>978</v>
      </c>
      <c r="D215" s="7" t="s">
        <v>1903</v>
      </c>
      <c r="E215" s="7" t="s">
        <v>1904</v>
      </c>
      <c r="F215" s="7" t="s">
        <v>268</v>
      </c>
      <c r="G215" s="7" t="str">
        <f t="shared" si="1"/>
        <v>Guiar el vehículo bivial en trocha de 1.435 mm</v>
      </c>
      <c r="H215" s="7" t="s">
        <v>79</v>
      </c>
      <c r="I215" s="8" t="s">
        <v>1893</v>
      </c>
      <c r="J215" s="7" t="s">
        <v>1875</v>
      </c>
      <c r="K215" s="7"/>
      <c r="L215" s="7" t="s">
        <v>1895</v>
      </c>
      <c r="M215" s="7" t="s">
        <v>1896</v>
      </c>
      <c r="N215" s="8">
        <v>1.0</v>
      </c>
      <c r="O215" s="8" t="s">
        <v>85</v>
      </c>
      <c r="P215" s="8" t="s">
        <v>67</v>
      </c>
      <c r="Q215" s="8" t="s">
        <v>68</v>
      </c>
      <c r="R215" s="7" t="s">
        <v>1906</v>
      </c>
      <c r="S215" s="8" t="s">
        <v>111</v>
      </c>
      <c r="T215" s="8" t="s">
        <v>71</v>
      </c>
      <c r="U215" s="7" t="s">
        <v>1900</v>
      </c>
      <c r="V215" s="7" t="s">
        <v>904</v>
      </c>
      <c r="W215" s="7" t="s">
        <v>1907</v>
      </c>
    </row>
    <row r="216" ht="15.0" customHeight="1">
      <c r="A216" s="7" t="s">
        <v>1908</v>
      </c>
      <c r="B216" s="8" t="s">
        <v>1909</v>
      </c>
      <c r="C216" s="8" t="s">
        <v>143</v>
      </c>
      <c r="D216" s="7" t="s">
        <v>349</v>
      </c>
      <c r="E216" s="28" t="s">
        <v>935</v>
      </c>
      <c r="F216" s="28" t="s">
        <v>351</v>
      </c>
      <c r="G216" s="7" t="str">
        <f t="shared" si="1"/>
        <v>Entregar potencia mecánica de _____ kW</v>
      </c>
      <c r="H216" s="7" t="s">
        <v>61</v>
      </c>
      <c r="I216" s="8" t="s">
        <v>1912</v>
      </c>
      <c r="J216" s="7"/>
      <c r="K216" s="7" t="s">
        <v>781</v>
      </c>
      <c r="L216" s="7" t="s">
        <v>1908</v>
      </c>
      <c r="M216" s="7" t="s">
        <v>1915</v>
      </c>
      <c r="N216" s="8">
        <v>1.0</v>
      </c>
      <c r="O216" s="8" t="s">
        <v>66</v>
      </c>
      <c r="P216" s="8" t="s">
        <v>67</v>
      </c>
      <c r="Q216" s="8" t="s">
        <v>68</v>
      </c>
      <c r="R216" s="7" t="s">
        <v>784</v>
      </c>
      <c r="S216" s="8" t="s">
        <v>111</v>
      </c>
      <c r="T216" s="8" t="s">
        <v>1730</v>
      </c>
      <c r="U216" s="28" t="s">
        <v>943</v>
      </c>
      <c r="V216" s="28" t="s">
        <v>944</v>
      </c>
      <c r="W216" s="28" t="s">
        <v>945</v>
      </c>
    </row>
    <row r="217" ht="23.25" customHeight="1">
      <c r="A217" s="7" t="s">
        <v>1916</v>
      </c>
      <c r="B217" s="8" t="s">
        <v>1917</v>
      </c>
      <c r="C217" s="8" t="s">
        <v>923</v>
      </c>
      <c r="D217" s="7" t="s">
        <v>924</v>
      </c>
      <c r="E217" s="7" t="s">
        <v>1873</v>
      </c>
      <c r="F217" s="7" t="s">
        <v>135</v>
      </c>
      <c r="G217" s="7" t="str">
        <f t="shared" si="1"/>
        <v>Circular por la vía hasta 50 km/h</v>
      </c>
      <c r="H217" s="7" t="s">
        <v>61</v>
      </c>
      <c r="I217" s="8" t="s">
        <v>1919</v>
      </c>
      <c r="J217" s="7" t="s">
        <v>1875</v>
      </c>
      <c r="K217" s="7"/>
      <c r="L217" s="7" t="s">
        <v>1916</v>
      </c>
      <c r="M217" s="7" t="s">
        <v>1920</v>
      </c>
      <c r="N217" s="8">
        <v>1.0</v>
      </c>
      <c r="O217" s="8" t="s">
        <v>66</v>
      </c>
      <c r="P217" s="8" t="s">
        <v>67</v>
      </c>
      <c r="Q217" s="8" t="s">
        <v>68</v>
      </c>
      <c r="R217" s="7" t="s">
        <v>1877</v>
      </c>
      <c r="S217" s="8" t="s">
        <v>111</v>
      </c>
      <c r="T217" s="8" t="s">
        <v>71</v>
      </c>
      <c r="U217" s="7" t="s">
        <v>1878</v>
      </c>
      <c r="V217" s="7" t="s">
        <v>904</v>
      </c>
      <c r="W217" s="7" t="s">
        <v>1879</v>
      </c>
    </row>
    <row r="218" ht="15.0" customHeight="1">
      <c r="A218" s="7" t="s">
        <v>1921</v>
      </c>
      <c r="B218" s="8" t="s">
        <v>1922</v>
      </c>
      <c r="C218" s="8" t="s">
        <v>232</v>
      </c>
      <c r="D218" s="7" t="s">
        <v>165</v>
      </c>
      <c r="E218" s="28" t="s">
        <v>374</v>
      </c>
      <c r="F218" s="28" t="s">
        <v>155</v>
      </c>
      <c r="G218" s="7" t="str">
        <f t="shared" si="1"/>
        <v>Comprimir el aire a una presión de _____ bar</v>
      </c>
      <c r="H218" s="7" t="s">
        <v>61</v>
      </c>
      <c r="I218" s="8" t="s">
        <v>1923</v>
      </c>
      <c r="J218" s="7"/>
      <c r="K218" s="7" t="s">
        <v>376</v>
      </c>
      <c r="L218" s="7" t="s">
        <v>1924</v>
      </c>
      <c r="M218" s="7" t="s">
        <v>1925</v>
      </c>
      <c r="N218" s="8">
        <v>1.0</v>
      </c>
      <c r="O218" s="8" t="s">
        <v>66</v>
      </c>
      <c r="P218" s="8" t="s">
        <v>67</v>
      </c>
      <c r="Q218" s="8" t="s">
        <v>68</v>
      </c>
      <c r="R218" s="7" t="s">
        <v>379</v>
      </c>
      <c r="S218" s="8" t="s">
        <v>111</v>
      </c>
      <c r="T218" s="8" t="s">
        <v>303</v>
      </c>
      <c r="U218" s="28" t="s">
        <v>1042</v>
      </c>
      <c r="V218" s="28" t="s">
        <v>1043</v>
      </c>
      <c r="W218" s="28" t="s">
        <v>305</v>
      </c>
    </row>
    <row r="219" ht="15.0" customHeight="1">
      <c r="A219" s="7" t="s">
        <v>1921</v>
      </c>
      <c r="B219" s="8" t="s">
        <v>1926</v>
      </c>
      <c r="C219" s="8" t="s">
        <v>192</v>
      </c>
      <c r="D219" s="7" t="s">
        <v>223</v>
      </c>
      <c r="E219" s="28" t="s">
        <v>935</v>
      </c>
      <c r="F219" s="28" t="s">
        <v>384</v>
      </c>
      <c r="G219" s="7" t="str">
        <f t="shared" si="1"/>
        <v>Suministrar caudal de aire de _____ L/min</v>
      </c>
      <c r="H219" s="7" t="s">
        <v>61</v>
      </c>
      <c r="I219" s="8" t="s">
        <v>1923</v>
      </c>
      <c r="J219" s="7"/>
      <c r="K219" s="7" t="s">
        <v>696</v>
      </c>
      <c r="L219" s="7" t="s">
        <v>1924</v>
      </c>
      <c r="M219" s="7" t="s">
        <v>1925</v>
      </c>
      <c r="N219" s="8">
        <v>1.0</v>
      </c>
      <c r="O219" s="8" t="s">
        <v>66</v>
      </c>
      <c r="P219" s="8" t="s">
        <v>86</v>
      </c>
      <c r="Q219" s="8" t="s">
        <v>68</v>
      </c>
      <c r="R219" s="7" t="s">
        <v>228</v>
      </c>
      <c r="S219" s="8" t="s">
        <v>111</v>
      </c>
      <c r="T219" s="8" t="s">
        <v>1738</v>
      </c>
      <c r="U219" s="28" t="s">
        <v>1042</v>
      </c>
      <c r="V219" s="28" t="s">
        <v>1043</v>
      </c>
      <c r="W219" s="28" t="s">
        <v>1049</v>
      </c>
    </row>
    <row r="220" ht="15.0" customHeight="1">
      <c r="A220" s="7" t="s">
        <v>1930</v>
      </c>
      <c r="B220" s="8" t="s">
        <v>1931</v>
      </c>
      <c r="C220" s="8" t="s">
        <v>192</v>
      </c>
      <c r="D220" s="7" t="s">
        <v>193</v>
      </c>
      <c r="E220" s="28" t="s">
        <v>935</v>
      </c>
      <c r="F220" s="28" t="s">
        <v>384</v>
      </c>
      <c r="G220" s="7" t="str">
        <f t="shared" si="1"/>
        <v>Suministrar caudal de aceite de _____ L/min</v>
      </c>
      <c r="H220" s="7" t="s">
        <v>61</v>
      </c>
      <c r="I220" s="8" t="s">
        <v>1933</v>
      </c>
      <c r="J220" s="7"/>
      <c r="K220" s="7" t="s">
        <v>199</v>
      </c>
      <c r="L220" s="7" t="s">
        <v>1934</v>
      </c>
      <c r="M220" s="7" t="s">
        <v>1935</v>
      </c>
      <c r="N220" s="8">
        <v>1.0</v>
      </c>
      <c r="O220" s="8" t="s">
        <v>66</v>
      </c>
      <c r="P220" s="8" t="s">
        <v>67</v>
      </c>
      <c r="Q220" s="8" t="s">
        <v>68</v>
      </c>
      <c r="R220" s="7" t="s">
        <v>202</v>
      </c>
      <c r="S220" s="8" t="s">
        <v>111</v>
      </c>
      <c r="T220" s="8" t="s">
        <v>1740</v>
      </c>
      <c r="U220" s="28" t="s">
        <v>1472</v>
      </c>
      <c r="V220" s="28" t="s">
        <v>1473</v>
      </c>
      <c r="W220" s="28" t="s">
        <v>1885</v>
      </c>
    </row>
    <row r="221" ht="15.0" customHeight="1">
      <c r="A221" s="7" t="s">
        <v>1930</v>
      </c>
      <c r="B221" s="8" t="s">
        <v>1936</v>
      </c>
      <c r="C221" s="8" t="s">
        <v>204</v>
      </c>
      <c r="D221" s="7" t="s">
        <v>205</v>
      </c>
      <c r="E221" s="28" t="s">
        <v>705</v>
      </c>
      <c r="F221" s="28" t="s">
        <v>155</v>
      </c>
      <c r="G221" s="7" t="str">
        <f t="shared" si="1"/>
        <v>Generar presión hidráulica hasta _____ bar</v>
      </c>
      <c r="H221" s="7" t="s">
        <v>61</v>
      </c>
      <c r="I221" s="8" t="s">
        <v>1933</v>
      </c>
      <c r="J221" s="7"/>
      <c r="K221" s="7" t="s">
        <v>206</v>
      </c>
      <c r="L221" s="7" t="s">
        <v>1934</v>
      </c>
      <c r="M221" s="7" t="s">
        <v>1935</v>
      </c>
      <c r="N221" s="8">
        <v>1.0</v>
      </c>
      <c r="O221" s="8" t="s">
        <v>66</v>
      </c>
      <c r="P221" s="8" t="s">
        <v>86</v>
      </c>
      <c r="Q221" s="8" t="s">
        <v>68</v>
      </c>
      <c r="R221" s="7" t="s">
        <v>208</v>
      </c>
      <c r="S221" s="8" t="s">
        <v>111</v>
      </c>
      <c r="T221" s="8" t="s">
        <v>71</v>
      </c>
      <c r="U221" s="28" t="s">
        <v>1472</v>
      </c>
      <c r="V221" s="28" t="s">
        <v>1473</v>
      </c>
      <c r="W221" s="28" t="s">
        <v>1889</v>
      </c>
    </row>
    <row r="222" ht="15.0" customHeight="1">
      <c r="A222" s="7" t="s">
        <v>1937</v>
      </c>
      <c r="B222" s="8" t="s">
        <v>1938</v>
      </c>
      <c r="C222" s="8" t="s">
        <v>1939</v>
      </c>
      <c r="D222" s="7" t="s">
        <v>1940</v>
      </c>
      <c r="E222" s="28" t="s">
        <v>1941</v>
      </c>
      <c r="F222" s="28" t="s">
        <v>155</v>
      </c>
      <c r="G222" s="7" t="str">
        <f t="shared" si="1"/>
        <v>Posicionar el eje guía con presión de trabajo de _____ bar</v>
      </c>
      <c r="H222" s="7" t="s">
        <v>79</v>
      </c>
      <c r="I222" s="8" t="s">
        <v>1943</v>
      </c>
      <c r="J222" s="7"/>
      <c r="K222" s="7" t="s">
        <v>1944</v>
      </c>
      <c r="L222" s="7" t="s">
        <v>1946</v>
      </c>
      <c r="M222" s="7" t="s">
        <v>1947</v>
      </c>
      <c r="N222" s="8">
        <v>1.0</v>
      </c>
      <c r="O222" s="8" t="s">
        <v>66</v>
      </c>
      <c r="P222" s="8" t="s">
        <v>67</v>
      </c>
      <c r="Q222" s="8" t="s">
        <v>68</v>
      </c>
      <c r="R222" s="7" t="s">
        <v>208</v>
      </c>
      <c r="S222" s="8" t="s">
        <v>111</v>
      </c>
      <c r="T222" s="8" t="s">
        <v>71</v>
      </c>
      <c r="U222" s="28" t="s">
        <v>1949</v>
      </c>
      <c r="V222" s="28" t="s">
        <v>904</v>
      </c>
      <c r="W222" s="28" t="s">
        <v>1950</v>
      </c>
    </row>
    <row r="223" ht="15.0" customHeight="1">
      <c r="A223" s="7" t="s">
        <v>1951</v>
      </c>
      <c r="B223" s="8" t="s">
        <v>1952</v>
      </c>
      <c r="C223" s="8" t="s">
        <v>611</v>
      </c>
      <c r="D223" s="7" t="s">
        <v>612</v>
      </c>
      <c r="E223" s="7" t="s">
        <v>76</v>
      </c>
      <c r="F223" s="7" t="s">
        <v>613</v>
      </c>
      <c r="G223" s="7" t="str">
        <f t="shared" si="1"/>
        <v>Sellar la cabina con 0 filtraciones en prueba de agua</v>
      </c>
      <c r="H223" s="7" t="s">
        <v>61</v>
      </c>
      <c r="I223" s="8" t="s">
        <v>1953</v>
      </c>
      <c r="J223" s="7" t="s">
        <v>279</v>
      </c>
      <c r="K223" s="7" t="s">
        <v>280</v>
      </c>
      <c r="L223" s="7" t="s">
        <v>1954</v>
      </c>
      <c r="M223" s="7" t="s">
        <v>1955</v>
      </c>
      <c r="N223" s="8">
        <v>1.0</v>
      </c>
      <c r="O223" s="8" t="s">
        <v>187</v>
      </c>
      <c r="P223" s="8" t="s">
        <v>67</v>
      </c>
      <c r="Q223" s="8" t="s">
        <v>68</v>
      </c>
      <c r="R223" s="7" t="s">
        <v>285</v>
      </c>
      <c r="S223" s="8" t="s">
        <v>111</v>
      </c>
      <c r="T223" s="8" t="s">
        <v>1754</v>
      </c>
      <c r="U223" s="7" t="s">
        <v>1251</v>
      </c>
      <c r="V223" s="7" t="s">
        <v>904</v>
      </c>
      <c r="W223" s="7" t="s">
        <v>1252</v>
      </c>
    </row>
    <row r="224" ht="15.0" customHeight="1">
      <c r="A224" s="7" t="s">
        <v>1956</v>
      </c>
      <c r="B224" s="8" t="s">
        <v>1957</v>
      </c>
      <c r="C224" s="8" t="s">
        <v>192</v>
      </c>
      <c r="D224" s="7" t="s">
        <v>289</v>
      </c>
      <c r="E224" s="7" t="s">
        <v>290</v>
      </c>
      <c r="F224" s="7" t="s">
        <v>291</v>
      </c>
      <c r="G224" s="7" t="str">
        <f t="shared" si="1"/>
        <v>Suministrar la corriente de arranque con tensión mínima de 19,2 V</v>
      </c>
      <c r="H224" s="7" t="s">
        <v>61</v>
      </c>
      <c r="I224" s="8" t="s">
        <v>1958</v>
      </c>
      <c r="J224" s="7"/>
      <c r="K224" s="7" t="s">
        <v>733</v>
      </c>
      <c r="L224" s="7" t="s">
        <v>1959</v>
      </c>
      <c r="M224" s="7" t="s">
        <v>1960</v>
      </c>
      <c r="N224" s="8">
        <v>1.0</v>
      </c>
      <c r="O224" s="8" t="s">
        <v>66</v>
      </c>
      <c r="P224" s="8" t="s">
        <v>67</v>
      </c>
      <c r="Q224" s="8" t="s">
        <v>68</v>
      </c>
      <c r="R224" s="7" t="s">
        <v>297</v>
      </c>
      <c r="S224" s="8" t="s">
        <v>111</v>
      </c>
      <c r="T224" s="8" t="s">
        <v>1758</v>
      </c>
      <c r="U224" s="7" t="s">
        <v>1116</v>
      </c>
      <c r="V224" s="7" t="s">
        <v>904</v>
      </c>
      <c r="W224" s="7" t="s">
        <v>1117</v>
      </c>
    </row>
    <row r="225" ht="15.0" customHeight="1">
      <c r="A225" s="7" t="s">
        <v>1956</v>
      </c>
      <c r="B225" s="8" t="s">
        <v>1961</v>
      </c>
      <c r="C225" s="8" t="s">
        <v>300</v>
      </c>
      <c r="D225" s="7" t="s">
        <v>301</v>
      </c>
      <c r="E225" s="7" t="s">
        <v>290</v>
      </c>
      <c r="F225" s="7" t="s">
        <v>291</v>
      </c>
      <c r="G225" s="7" t="str">
        <f t="shared" si="1"/>
        <v>Almacenar energía eléctrica con tensión mínima de 19,2 V</v>
      </c>
      <c r="H225" s="7" t="s">
        <v>61</v>
      </c>
      <c r="I225" s="8" t="s">
        <v>1958</v>
      </c>
      <c r="J225" s="7"/>
      <c r="K225" s="7" t="s">
        <v>302</v>
      </c>
      <c r="L225" s="7" t="s">
        <v>1959</v>
      </c>
      <c r="M225" s="7" t="s">
        <v>1960</v>
      </c>
      <c r="N225" s="8">
        <v>1.0</v>
      </c>
      <c r="O225" s="8" t="s">
        <v>66</v>
      </c>
      <c r="P225" s="8" t="s">
        <v>67</v>
      </c>
      <c r="Q225" s="8" t="s">
        <v>68</v>
      </c>
      <c r="R225" s="7" t="s">
        <v>297</v>
      </c>
      <c r="S225" s="8" t="s">
        <v>111</v>
      </c>
      <c r="T225" s="8" t="s">
        <v>303</v>
      </c>
      <c r="U225" s="7" t="s">
        <v>1116</v>
      </c>
      <c r="V225" s="7" t="s">
        <v>904</v>
      </c>
      <c r="W225" s="7" t="s">
        <v>305</v>
      </c>
    </row>
    <row r="226" ht="23.25" customHeight="1">
      <c r="A226" s="7" t="s">
        <v>1965</v>
      </c>
      <c r="B226" s="8" t="s">
        <v>1966</v>
      </c>
      <c r="C226" s="8" t="s">
        <v>767</v>
      </c>
      <c r="D226" s="7" t="s">
        <v>1222</v>
      </c>
      <c r="E226" s="28" t="s">
        <v>705</v>
      </c>
      <c r="F226" s="28" t="s">
        <v>872</v>
      </c>
      <c r="G226" s="7" t="str">
        <f t="shared" si="1"/>
        <v>Elevar al personal hasta _____ kg</v>
      </c>
      <c r="H226" s="7" t="s">
        <v>79</v>
      </c>
      <c r="I226" s="8" t="s">
        <v>1967</v>
      </c>
      <c r="J226" s="7"/>
      <c r="K226" s="7" t="s">
        <v>1968</v>
      </c>
      <c r="L226" s="7" t="s">
        <v>1969</v>
      </c>
      <c r="M226" s="7" t="s">
        <v>1970</v>
      </c>
      <c r="N226" s="8">
        <v>2.0</v>
      </c>
      <c r="O226" s="8" t="s">
        <v>85</v>
      </c>
      <c r="P226" s="8" t="s">
        <v>67</v>
      </c>
      <c r="Q226" s="8" t="s">
        <v>68</v>
      </c>
      <c r="R226" s="7" t="s">
        <v>667</v>
      </c>
      <c r="S226" s="8" t="s">
        <v>111</v>
      </c>
      <c r="T226" s="8" t="s">
        <v>1971</v>
      </c>
      <c r="U226" s="28" t="s">
        <v>1972</v>
      </c>
      <c r="V226" s="28" t="s">
        <v>904</v>
      </c>
      <c r="W226" s="28" t="s">
        <v>1974</v>
      </c>
    </row>
    <row r="227" ht="15.0" customHeight="1">
      <c r="A227" s="7" t="s">
        <v>1976</v>
      </c>
      <c r="B227" s="8" t="s">
        <v>1977</v>
      </c>
      <c r="C227" s="8" t="s">
        <v>767</v>
      </c>
      <c r="D227" s="7" t="s">
        <v>860</v>
      </c>
      <c r="E227" s="28" t="s">
        <v>998</v>
      </c>
      <c r="F227" s="28" t="s">
        <v>743</v>
      </c>
      <c r="G227" s="7" t="str">
        <f t="shared" si="1"/>
        <v>Elevar las cargas con momento de _____ kN·m</v>
      </c>
      <c r="H227" s="7" t="s">
        <v>79</v>
      </c>
      <c r="I227" s="8" t="s">
        <v>1978</v>
      </c>
      <c r="J227" s="7"/>
      <c r="K227" s="7" t="s">
        <v>1131</v>
      </c>
      <c r="L227" s="7" t="s">
        <v>1980</v>
      </c>
      <c r="M227" s="7" t="s">
        <v>1981</v>
      </c>
      <c r="N227" s="8">
        <v>1.0</v>
      </c>
      <c r="O227" s="8" t="s">
        <v>66</v>
      </c>
      <c r="P227" s="8" t="s">
        <v>67</v>
      </c>
      <c r="Q227" s="8" t="s">
        <v>68</v>
      </c>
      <c r="R227" s="7" t="s">
        <v>1135</v>
      </c>
      <c r="S227" s="8" t="s">
        <v>111</v>
      </c>
      <c r="T227" s="8" t="s">
        <v>1785</v>
      </c>
      <c r="U227" s="28" t="s">
        <v>1137</v>
      </c>
      <c r="V227" s="28" t="s">
        <v>904</v>
      </c>
      <c r="W227" s="28" t="s">
        <v>1138</v>
      </c>
    </row>
    <row r="228" ht="15.0" customHeight="1">
      <c r="A228" s="7" t="s">
        <v>1982</v>
      </c>
      <c r="B228" s="8" t="s">
        <v>1983</v>
      </c>
      <c r="C228" s="8" t="s">
        <v>309</v>
      </c>
      <c r="D228" s="7" t="s">
        <v>310</v>
      </c>
      <c r="E228" s="7" t="s">
        <v>311</v>
      </c>
      <c r="F228" s="7" t="s">
        <v>155</v>
      </c>
      <c r="G228" s="7" t="str">
        <f t="shared" si="1"/>
        <v>Presurizar los cilindros de freno entre 3,7 y 3,9 bar</v>
      </c>
      <c r="H228" s="7" t="s">
        <v>79</v>
      </c>
      <c r="I228" s="8" t="s">
        <v>1985</v>
      </c>
      <c r="J228" s="7" t="s">
        <v>315</v>
      </c>
      <c r="K228" s="7" t="s">
        <v>316</v>
      </c>
      <c r="L228" s="7" t="s">
        <v>1986</v>
      </c>
      <c r="M228" s="7" t="s">
        <v>1987</v>
      </c>
      <c r="N228" s="8">
        <v>1.0</v>
      </c>
      <c r="O228" s="8" t="s">
        <v>85</v>
      </c>
      <c r="P228" s="8" t="s">
        <v>67</v>
      </c>
      <c r="Q228" s="8" t="s">
        <v>68</v>
      </c>
      <c r="R228" s="7" t="s">
        <v>527</v>
      </c>
      <c r="S228" s="8" t="s">
        <v>89</v>
      </c>
      <c r="T228" s="8" t="s">
        <v>1791</v>
      </c>
      <c r="U228" s="7" t="s">
        <v>1146</v>
      </c>
      <c r="V228" s="7" t="s">
        <v>904</v>
      </c>
      <c r="W228" s="7" t="s">
        <v>1148</v>
      </c>
    </row>
    <row r="229" ht="15.0" customHeight="1">
      <c r="A229" s="7" t="s">
        <v>1989</v>
      </c>
      <c r="B229" s="8" t="s">
        <v>1990</v>
      </c>
      <c r="C229" s="8" t="s">
        <v>978</v>
      </c>
      <c r="D229" s="7" t="s">
        <v>1903</v>
      </c>
      <c r="E229" s="7" t="s">
        <v>1904</v>
      </c>
      <c r="F229" s="7" t="s">
        <v>268</v>
      </c>
      <c r="G229" s="7" t="str">
        <f t="shared" si="1"/>
        <v>Guiar el vehículo bivial en trocha de 1.435 mm</v>
      </c>
      <c r="H229" s="7" t="s">
        <v>79</v>
      </c>
      <c r="I229" s="8" t="s">
        <v>1991</v>
      </c>
      <c r="J229" s="7" t="s">
        <v>1875</v>
      </c>
      <c r="K229" s="7"/>
      <c r="L229" s="7" t="s">
        <v>1992</v>
      </c>
      <c r="M229" s="7" t="s">
        <v>1993</v>
      </c>
      <c r="N229" s="8">
        <v>1.0</v>
      </c>
      <c r="O229" s="8" t="s">
        <v>85</v>
      </c>
      <c r="P229" s="8" t="s">
        <v>67</v>
      </c>
      <c r="Q229" s="8" t="s">
        <v>68</v>
      </c>
      <c r="R229" s="7" t="s">
        <v>550</v>
      </c>
      <c r="S229" s="8" t="s">
        <v>111</v>
      </c>
      <c r="T229" s="8" t="s">
        <v>71</v>
      </c>
      <c r="U229" s="7" t="s">
        <v>1900</v>
      </c>
      <c r="V229" s="7" t="s">
        <v>904</v>
      </c>
      <c r="W229" s="7" t="s">
        <v>1907</v>
      </c>
    </row>
    <row r="230" ht="23.25" customHeight="1">
      <c r="A230" s="7" t="s">
        <v>1997</v>
      </c>
      <c r="B230" s="8" t="s">
        <v>1998</v>
      </c>
      <c r="C230" s="8" t="s">
        <v>252</v>
      </c>
      <c r="D230" s="7" t="s">
        <v>958</v>
      </c>
      <c r="E230" s="28" t="s">
        <v>705</v>
      </c>
      <c r="F230" s="28" t="s">
        <v>959</v>
      </c>
      <c r="G230" s="7" t="str">
        <f t="shared" si="1"/>
        <v>Soportar la carga por eje hasta _____ t</v>
      </c>
      <c r="H230" s="7" t="s">
        <v>79</v>
      </c>
      <c r="I230" s="8" t="s">
        <v>1999</v>
      </c>
      <c r="J230" s="7"/>
      <c r="K230" s="7" t="s">
        <v>961</v>
      </c>
      <c r="L230" s="7" t="s">
        <v>2000</v>
      </c>
      <c r="M230" s="7" t="s">
        <v>2001</v>
      </c>
      <c r="N230" s="8">
        <v>1.0</v>
      </c>
      <c r="O230" s="8" t="s">
        <v>260</v>
      </c>
      <c r="P230" s="8" t="s">
        <v>86</v>
      </c>
      <c r="Q230" s="8" t="s">
        <v>87</v>
      </c>
      <c r="R230" s="7" t="s">
        <v>261</v>
      </c>
      <c r="S230" s="8" t="s">
        <v>111</v>
      </c>
      <c r="T230" s="8" t="s">
        <v>2002</v>
      </c>
      <c r="U230" s="28" t="s">
        <v>2003</v>
      </c>
      <c r="V230" s="28" t="s">
        <v>919</v>
      </c>
      <c r="W230" s="28" t="s">
        <v>967</v>
      </c>
    </row>
    <row r="231" ht="15.0" customHeight="1">
      <c r="A231" s="7" t="s">
        <v>1997</v>
      </c>
      <c r="B231" s="8" t="s">
        <v>2004</v>
      </c>
      <c r="C231" s="8" t="s">
        <v>265</v>
      </c>
      <c r="D231" s="7" t="s">
        <v>266</v>
      </c>
      <c r="E231" s="7" t="s">
        <v>267</v>
      </c>
      <c r="F231" s="7" t="s">
        <v>268</v>
      </c>
      <c r="G231" s="7" t="str">
        <f t="shared" si="1"/>
        <v>Impedir el remonte de pestaña con cota qR ≥ 6,5 mm</v>
      </c>
      <c r="H231" s="7" t="s">
        <v>79</v>
      </c>
      <c r="I231" s="8" t="s">
        <v>1999</v>
      </c>
      <c r="J231" s="7" t="s">
        <v>269</v>
      </c>
      <c r="K231" s="7" t="s">
        <v>270</v>
      </c>
      <c r="L231" s="7" t="s">
        <v>2000</v>
      </c>
      <c r="M231" s="7" t="s">
        <v>2001</v>
      </c>
      <c r="N231" s="8">
        <v>1.0</v>
      </c>
      <c r="O231" s="8" t="s">
        <v>85</v>
      </c>
      <c r="P231" s="8" t="s">
        <v>67</v>
      </c>
      <c r="Q231" s="8" t="s">
        <v>87</v>
      </c>
      <c r="R231" s="7" t="s">
        <v>271</v>
      </c>
      <c r="S231" s="8" t="s">
        <v>89</v>
      </c>
      <c r="T231" s="8" t="s">
        <v>71</v>
      </c>
      <c r="U231" s="7" t="s">
        <v>2003</v>
      </c>
      <c r="V231" s="7" t="s">
        <v>919</v>
      </c>
      <c r="W231" s="7" t="s">
        <v>972</v>
      </c>
    </row>
    <row r="232" ht="15.0" customHeight="1">
      <c r="A232" s="7" t="s">
        <v>1997</v>
      </c>
      <c r="B232" s="8" t="s">
        <v>2005</v>
      </c>
      <c r="C232" s="8" t="s">
        <v>152</v>
      </c>
      <c r="D232" s="7" t="s">
        <v>480</v>
      </c>
      <c r="E232" s="7" t="s">
        <v>481</v>
      </c>
      <c r="F232" s="7" t="s">
        <v>268</v>
      </c>
      <c r="G232" s="7" t="str">
        <f t="shared" si="1"/>
        <v>Mantener la distancia entre ruedas de 1.357 a 1.363 mm</v>
      </c>
      <c r="H232" s="7" t="s">
        <v>79</v>
      </c>
      <c r="I232" s="8" t="s">
        <v>1999</v>
      </c>
      <c r="J232" s="7" t="s">
        <v>269</v>
      </c>
      <c r="K232" s="7" t="s">
        <v>484</v>
      </c>
      <c r="L232" s="7" t="s">
        <v>2000</v>
      </c>
      <c r="M232" s="7" t="s">
        <v>2001</v>
      </c>
      <c r="N232" s="8">
        <v>1.0</v>
      </c>
      <c r="O232" s="8" t="s">
        <v>85</v>
      </c>
      <c r="P232" s="8" t="s">
        <v>86</v>
      </c>
      <c r="Q232" s="8" t="s">
        <v>87</v>
      </c>
      <c r="R232" s="7" t="s">
        <v>485</v>
      </c>
      <c r="S232" s="8" t="s">
        <v>89</v>
      </c>
      <c r="T232" s="8" t="s">
        <v>71</v>
      </c>
      <c r="U232" s="7" t="s">
        <v>2003</v>
      </c>
      <c r="V232" s="7" t="s">
        <v>919</v>
      </c>
      <c r="W232" s="7" t="s">
        <v>975</v>
      </c>
    </row>
    <row r="233" ht="23.25" customHeight="1">
      <c r="A233" s="7" t="s">
        <v>1997</v>
      </c>
      <c r="B233" s="8" t="s">
        <v>2008</v>
      </c>
      <c r="C233" s="8" t="s">
        <v>978</v>
      </c>
      <c r="D233" s="7" t="s">
        <v>979</v>
      </c>
      <c r="E233" s="28" t="s">
        <v>980</v>
      </c>
      <c r="F233" s="28" t="s">
        <v>268</v>
      </c>
      <c r="G233" s="7" t="str">
        <f t="shared" si="1"/>
        <v>Guiar el eje con pestaña de _____ mm</v>
      </c>
      <c r="H233" s="7" t="s">
        <v>79</v>
      </c>
      <c r="I233" s="8" t="s">
        <v>1999</v>
      </c>
      <c r="J233" s="7"/>
      <c r="K233" s="7" t="s">
        <v>981</v>
      </c>
      <c r="L233" s="7" t="s">
        <v>2000</v>
      </c>
      <c r="M233" s="7" t="s">
        <v>2001</v>
      </c>
      <c r="N233" s="8">
        <v>1.0</v>
      </c>
      <c r="O233" s="8" t="s">
        <v>85</v>
      </c>
      <c r="P233" s="8" t="s">
        <v>86</v>
      </c>
      <c r="Q233" s="8" t="s">
        <v>87</v>
      </c>
      <c r="R233" s="7" t="s">
        <v>271</v>
      </c>
      <c r="S233" s="8" t="s">
        <v>111</v>
      </c>
      <c r="T233" s="8" t="s">
        <v>71</v>
      </c>
      <c r="U233" s="28" t="s">
        <v>2003</v>
      </c>
      <c r="V233" s="28" t="s">
        <v>919</v>
      </c>
      <c r="W233" s="28" t="s">
        <v>983</v>
      </c>
    </row>
    <row r="234" ht="23.25" customHeight="1">
      <c r="A234" s="7" t="s">
        <v>2010</v>
      </c>
      <c r="B234" s="8" t="s">
        <v>2012</v>
      </c>
      <c r="C234" s="8" t="s">
        <v>143</v>
      </c>
      <c r="D234" s="7" t="s">
        <v>349</v>
      </c>
      <c r="E234" s="28" t="s">
        <v>935</v>
      </c>
      <c r="F234" s="28" t="s">
        <v>351</v>
      </c>
      <c r="G234" s="7" t="str">
        <f t="shared" si="1"/>
        <v>Entregar potencia mecánica de _____ kW</v>
      </c>
      <c r="H234" s="7" t="s">
        <v>61</v>
      </c>
      <c r="I234" s="8" t="s">
        <v>2013</v>
      </c>
      <c r="J234" s="7"/>
      <c r="K234" s="7" t="s">
        <v>781</v>
      </c>
      <c r="L234" s="7" t="s">
        <v>2014</v>
      </c>
      <c r="M234" s="7" t="s">
        <v>2015</v>
      </c>
      <c r="N234" s="8">
        <v>1.0</v>
      </c>
      <c r="O234" s="8" t="s">
        <v>66</v>
      </c>
      <c r="P234" s="8" t="s">
        <v>67</v>
      </c>
      <c r="Q234" s="8" t="s">
        <v>68</v>
      </c>
      <c r="R234" s="7" t="s">
        <v>784</v>
      </c>
      <c r="S234" s="8" t="s">
        <v>111</v>
      </c>
      <c r="T234" s="8" t="s">
        <v>2018</v>
      </c>
      <c r="U234" s="28" t="s">
        <v>943</v>
      </c>
      <c r="V234" s="28" t="s">
        <v>944</v>
      </c>
      <c r="W234" s="28" t="s">
        <v>945</v>
      </c>
    </row>
    <row r="235" ht="15.0" customHeight="1">
      <c r="A235" s="7" t="s">
        <v>2020</v>
      </c>
      <c r="B235" s="8" t="s">
        <v>2021</v>
      </c>
      <c r="C235" s="8" t="s">
        <v>2022</v>
      </c>
      <c r="D235" s="7" t="s">
        <v>2023</v>
      </c>
      <c r="E235" s="28" t="s">
        <v>2024</v>
      </c>
      <c r="F235" s="28" t="s">
        <v>2025</v>
      </c>
      <c r="G235" s="7" t="str">
        <f t="shared" si="1"/>
        <v>Seleccionar la marcha con relación de transmisión de _____ a 1</v>
      </c>
      <c r="H235" s="7" t="s">
        <v>61</v>
      </c>
      <c r="I235" s="8" t="s">
        <v>2026</v>
      </c>
      <c r="J235" s="7"/>
      <c r="K235" s="7" t="s">
        <v>2027</v>
      </c>
      <c r="L235" s="7" t="s">
        <v>2028</v>
      </c>
      <c r="M235" s="7" t="s">
        <v>2029</v>
      </c>
      <c r="N235" s="8">
        <v>1.0</v>
      </c>
      <c r="O235" s="8" t="s">
        <v>1215</v>
      </c>
      <c r="P235" s="8" t="s">
        <v>67</v>
      </c>
      <c r="Q235" s="8" t="s">
        <v>68</v>
      </c>
      <c r="R235" s="7" t="s">
        <v>748</v>
      </c>
      <c r="S235" s="8" t="s">
        <v>111</v>
      </c>
      <c r="T235" s="8" t="s">
        <v>1798</v>
      </c>
      <c r="U235" s="28" t="s">
        <v>2030</v>
      </c>
      <c r="V235" s="28" t="s">
        <v>904</v>
      </c>
      <c r="W235" s="28" t="s">
        <v>2031</v>
      </c>
    </row>
    <row r="236" ht="23.25" customHeight="1">
      <c r="A236" s="7" t="s">
        <v>2032</v>
      </c>
      <c r="B236" s="8" t="s">
        <v>2033</v>
      </c>
      <c r="C236" s="8" t="s">
        <v>232</v>
      </c>
      <c r="D236" s="7" t="s">
        <v>165</v>
      </c>
      <c r="E236" s="28" t="s">
        <v>374</v>
      </c>
      <c r="F236" s="28" t="s">
        <v>155</v>
      </c>
      <c r="G236" s="7" t="str">
        <f t="shared" si="1"/>
        <v>Comprimir el aire a una presión de _____ bar</v>
      </c>
      <c r="H236" s="7" t="s">
        <v>61</v>
      </c>
      <c r="I236" s="8" t="s">
        <v>2034</v>
      </c>
      <c r="J236" s="7"/>
      <c r="K236" s="7" t="s">
        <v>376</v>
      </c>
      <c r="L236" s="7" t="s">
        <v>2032</v>
      </c>
      <c r="M236" s="7" t="s">
        <v>2035</v>
      </c>
      <c r="N236" s="8">
        <v>1.0</v>
      </c>
      <c r="O236" s="8" t="s">
        <v>66</v>
      </c>
      <c r="P236" s="8" t="s">
        <v>67</v>
      </c>
      <c r="Q236" s="8" t="s">
        <v>68</v>
      </c>
      <c r="R236" s="7" t="s">
        <v>379</v>
      </c>
      <c r="S236" s="8" t="s">
        <v>111</v>
      </c>
      <c r="T236" s="8" t="s">
        <v>303</v>
      </c>
      <c r="U236" s="28" t="s">
        <v>1042</v>
      </c>
      <c r="V236" s="28" t="s">
        <v>1043</v>
      </c>
      <c r="W236" s="28" t="s">
        <v>305</v>
      </c>
    </row>
    <row r="237" ht="23.25" customHeight="1">
      <c r="A237" s="7" t="s">
        <v>2032</v>
      </c>
      <c r="B237" s="8" t="s">
        <v>2036</v>
      </c>
      <c r="C237" s="8" t="s">
        <v>192</v>
      </c>
      <c r="D237" s="7" t="s">
        <v>223</v>
      </c>
      <c r="E237" s="28" t="s">
        <v>935</v>
      </c>
      <c r="F237" s="28" t="s">
        <v>384</v>
      </c>
      <c r="G237" s="7" t="str">
        <f t="shared" si="1"/>
        <v>Suministrar caudal de aire de _____ L/min</v>
      </c>
      <c r="H237" s="7" t="s">
        <v>61</v>
      </c>
      <c r="I237" s="8" t="s">
        <v>2034</v>
      </c>
      <c r="J237" s="7"/>
      <c r="K237" s="7" t="s">
        <v>2037</v>
      </c>
      <c r="L237" s="7" t="s">
        <v>2032</v>
      </c>
      <c r="M237" s="7" t="s">
        <v>2035</v>
      </c>
      <c r="N237" s="8">
        <v>1.0</v>
      </c>
      <c r="O237" s="8" t="s">
        <v>66</v>
      </c>
      <c r="P237" s="8" t="s">
        <v>86</v>
      </c>
      <c r="Q237" s="8" t="s">
        <v>68</v>
      </c>
      <c r="R237" s="7" t="s">
        <v>2038</v>
      </c>
      <c r="S237" s="8" t="s">
        <v>111</v>
      </c>
      <c r="T237" s="8" t="s">
        <v>71</v>
      </c>
      <c r="U237" s="28" t="s">
        <v>1042</v>
      </c>
      <c r="V237" s="28" t="s">
        <v>1043</v>
      </c>
      <c r="W237" s="28" t="s">
        <v>1049</v>
      </c>
    </row>
    <row r="238" ht="15.0" customHeight="1">
      <c r="A238" s="7" t="s">
        <v>2039</v>
      </c>
      <c r="B238" s="8" t="s">
        <v>2040</v>
      </c>
      <c r="C238" s="8" t="s">
        <v>232</v>
      </c>
      <c r="D238" s="7" t="s">
        <v>165</v>
      </c>
      <c r="E238" s="28" t="s">
        <v>374</v>
      </c>
      <c r="F238" s="28" t="s">
        <v>155</v>
      </c>
      <c r="G238" s="7" t="str">
        <f t="shared" si="1"/>
        <v>Comprimir el aire a una presión de _____ bar</v>
      </c>
      <c r="H238" s="7" t="s">
        <v>61</v>
      </c>
      <c r="I238" s="8" t="s">
        <v>2041</v>
      </c>
      <c r="J238" s="7"/>
      <c r="K238" s="7" t="s">
        <v>376</v>
      </c>
      <c r="L238" s="7" t="s">
        <v>2042</v>
      </c>
      <c r="M238" s="7" t="s">
        <v>2043</v>
      </c>
      <c r="N238" s="8">
        <v>4.0</v>
      </c>
      <c r="O238" s="8" t="s">
        <v>66</v>
      </c>
      <c r="P238" s="8" t="s">
        <v>67</v>
      </c>
      <c r="Q238" s="8" t="s">
        <v>68</v>
      </c>
      <c r="R238" s="7" t="s">
        <v>379</v>
      </c>
      <c r="S238" s="8" t="s">
        <v>111</v>
      </c>
      <c r="T238" s="8" t="s">
        <v>303</v>
      </c>
      <c r="U238" s="28" t="s">
        <v>1042</v>
      </c>
      <c r="V238" s="28" t="s">
        <v>1043</v>
      </c>
      <c r="W238" s="28" t="s">
        <v>305</v>
      </c>
    </row>
    <row r="239" ht="15.0" customHeight="1">
      <c r="A239" s="7" t="s">
        <v>2039</v>
      </c>
      <c r="B239" s="8" t="s">
        <v>2046</v>
      </c>
      <c r="C239" s="8" t="s">
        <v>192</v>
      </c>
      <c r="D239" s="7" t="s">
        <v>223</v>
      </c>
      <c r="E239" s="28" t="s">
        <v>935</v>
      </c>
      <c r="F239" s="28" t="s">
        <v>384</v>
      </c>
      <c r="G239" s="7" t="str">
        <f t="shared" si="1"/>
        <v>Suministrar caudal de aire de _____ L/min</v>
      </c>
      <c r="H239" s="7" t="s">
        <v>61</v>
      </c>
      <c r="I239" s="8" t="s">
        <v>2041</v>
      </c>
      <c r="J239" s="7"/>
      <c r="K239" s="7" t="s">
        <v>2037</v>
      </c>
      <c r="L239" s="7" t="s">
        <v>2042</v>
      </c>
      <c r="M239" s="7" t="s">
        <v>2043</v>
      </c>
      <c r="N239" s="8">
        <v>4.0</v>
      </c>
      <c r="O239" s="8" t="s">
        <v>66</v>
      </c>
      <c r="P239" s="8" t="s">
        <v>86</v>
      </c>
      <c r="Q239" s="8" t="s">
        <v>68</v>
      </c>
      <c r="R239" s="7" t="s">
        <v>2038</v>
      </c>
      <c r="S239" s="8" t="s">
        <v>111</v>
      </c>
      <c r="T239" s="8" t="s">
        <v>2047</v>
      </c>
      <c r="U239" s="28" t="s">
        <v>1042</v>
      </c>
      <c r="V239" s="28" t="s">
        <v>1043</v>
      </c>
      <c r="W239" s="28" t="s">
        <v>1049</v>
      </c>
    </row>
    <row r="240" ht="15.0" customHeight="1">
      <c r="A240" s="7" t="s">
        <v>2048</v>
      </c>
      <c r="B240" s="8" t="s">
        <v>2049</v>
      </c>
      <c r="C240" s="8" t="s">
        <v>232</v>
      </c>
      <c r="D240" s="7" t="s">
        <v>165</v>
      </c>
      <c r="E240" s="7" t="s">
        <v>374</v>
      </c>
      <c r="F240" s="7" t="s">
        <v>155</v>
      </c>
      <c r="G240" s="7" t="str">
        <f t="shared" si="1"/>
        <v>Comprimir el aire a una presión de _____ bar</v>
      </c>
      <c r="H240" s="7" t="s">
        <v>61</v>
      </c>
      <c r="I240" s="8" t="s">
        <v>2050</v>
      </c>
      <c r="J240" s="7"/>
      <c r="K240" s="7" t="s">
        <v>376</v>
      </c>
      <c r="L240" s="7" t="s">
        <v>2048</v>
      </c>
      <c r="M240" s="7" t="s">
        <v>2051</v>
      </c>
      <c r="N240" s="8">
        <v>1.0</v>
      </c>
      <c r="O240" s="8" t="s">
        <v>66</v>
      </c>
      <c r="P240" s="8" t="s">
        <v>67</v>
      </c>
      <c r="Q240" s="8" t="s">
        <v>68</v>
      </c>
      <c r="R240" s="7" t="s">
        <v>379</v>
      </c>
      <c r="S240" s="8" t="s">
        <v>111</v>
      </c>
      <c r="T240" s="8" t="s">
        <v>303</v>
      </c>
      <c r="U240" s="7" t="s">
        <v>1042</v>
      </c>
      <c r="V240" s="7" t="s">
        <v>1043</v>
      </c>
      <c r="W240" s="7" t="s">
        <v>305</v>
      </c>
    </row>
    <row r="241" ht="15.0" customHeight="1">
      <c r="A241" s="7" t="s">
        <v>2048</v>
      </c>
      <c r="B241" s="8" t="s">
        <v>2052</v>
      </c>
      <c r="C241" s="8" t="s">
        <v>192</v>
      </c>
      <c r="D241" s="7" t="s">
        <v>223</v>
      </c>
      <c r="E241" s="7" t="s">
        <v>2053</v>
      </c>
      <c r="F241" s="7" t="s">
        <v>384</v>
      </c>
      <c r="G241" s="7" t="str">
        <f t="shared" si="1"/>
        <v>Suministrar caudal de aire mínimo de 815 L/min</v>
      </c>
      <c r="H241" s="7" t="s">
        <v>61</v>
      </c>
      <c r="I241" s="8" t="s">
        <v>2050</v>
      </c>
      <c r="J241" s="7" t="s">
        <v>2054</v>
      </c>
      <c r="K241" s="7" t="s">
        <v>2055</v>
      </c>
      <c r="L241" s="7" t="s">
        <v>2048</v>
      </c>
      <c r="M241" s="7" t="s">
        <v>2051</v>
      </c>
      <c r="N241" s="8">
        <v>1.0</v>
      </c>
      <c r="O241" s="8" t="s">
        <v>66</v>
      </c>
      <c r="P241" s="8" t="s">
        <v>86</v>
      </c>
      <c r="Q241" s="8" t="s">
        <v>68</v>
      </c>
      <c r="R241" s="7" t="s">
        <v>2038</v>
      </c>
      <c r="S241" s="8" t="s">
        <v>111</v>
      </c>
      <c r="T241" s="8" t="s">
        <v>1807</v>
      </c>
      <c r="U241" s="7" t="s">
        <v>1042</v>
      </c>
      <c r="V241" s="7" t="s">
        <v>1043</v>
      </c>
      <c r="W241" s="7" t="s">
        <v>2058</v>
      </c>
    </row>
    <row r="242" ht="15.0" customHeight="1">
      <c r="A242" s="7" t="s">
        <v>2059</v>
      </c>
      <c r="B242" s="8" t="s">
        <v>2060</v>
      </c>
      <c r="C242" s="8" t="s">
        <v>152</v>
      </c>
      <c r="D242" s="7" t="s">
        <v>2061</v>
      </c>
      <c r="E242" s="28" t="s">
        <v>2062</v>
      </c>
      <c r="F242" s="28" t="s">
        <v>180</v>
      </c>
      <c r="G242" s="7" t="str">
        <f t="shared" si="1"/>
        <v>Mantener la temperatura del aceite del compresor por debajo de _____ °C</v>
      </c>
      <c r="H242" s="7" t="s">
        <v>61</v>
      </c>
      <c r="I242" s="8" t="s">
        <v>2063</v>
      </c>
      <c r="J242" s="7"/>
      <c r="K242" s="7" t="s">
        <v>2064</v>
      </c>
      <c r="L242" s="7" t="s">
        <v>2065</v>
      </c>
      <c r="M242" s="7" t="s">
        <v>2066</v>
      </c>
      <c r="N242" s="8">
        <v>1.0</v>
      </c>
      <c r="O242" s="8" t="s">
        <v>187</v>
      </c>
      <c r="P242" s="8" t="s">
        <v>67</v>
      </c>
      <c r="Q242" s="8" t="s">
        <v>68</v>
      </c>
      <c r="R242" s="7" t="s">
        <v>248</v>
      </c>
      <c r="S242" s="8" t="s">
        <v>111</v>
      </c>
      <c r="T242" s="8" t="s">
        <v>1815</v>
      </c>
      <c r="U242" s="28" t="s">
        <v>2067</v>
      </c>
      <c r="V242" s="28" t="s">
        <v>2068</v>
      </c>
      <c r="W242" s="28" t="s">
        <v>2069</v>
      </c>
    </row>
    <row r="243" ht="15.0" customHeight="1">
      <c r="A243" s="7" t="s">
        <v>2070</v>
      </c>
      <c r="B243" s="8" t="s">
        <v>2071</v>
      </c>
      <c r="C243" s="8" t="s">
        <v>1207</v>
      </c>
      <c r="D243" s="7" t="s">
        <v>2072</v>
      </c>
      <c r="E243" s="28" t="s">
        <v>2073</v>
      </c>
      <c r="F243" s="28" t="s">
        <v>351</v>
      </c>
      <c r="G243" s="7" t="str">
        <f t="shared" si="1"/>
        <v>Accionar el compresor con potencia de _____ kW</v>
      </c>
      <c r="H243" s="7" t="s">
        <v>61</v>
      </c>
      <c r="I243" s="8" t="s">
        <v>2074</v>
      </c>
      <c r="J243" s="7"/>
      <c r="K243" s="7" t="s">
        <v>2075</v>
      </c>
      <c r="L243" s="7" t="s">
        <v>2076</v>
      </c>
      <c r="M243" s="7" t="s">
        <v>2077</v>
      </c>
      <c r="N243" s="8">
        <v>4.0</v>
      </c>
      <c r="O243" s="8" t="s">
        <v>66</v>
      </c>
      <c r="P243" s="8" t="s">
        <v>67</v>
      </c>
      <c r="Q243" s="8" t="s">
        <v>68</v>
      </c>
      <c r="R243" s="7" t="s">
        <v>2078</v>
      </c>
      <c r="S243" s="8" t="s">
        <v>111</v>
      </c>
      <c r="T243" s="8" t="s">
        <v>2079</v>
      </c>
      <c r="U243" s="28" t="s">
        <v>2080</v>
      </c>
      <c r="V243" s="28" t="s">
        <v>2081</v>
      </c>
      <c r="W243" s="28" t="s">
        <v>2082</v>
      </c>
    </row>
    <row r="244" ht="15.0" customHeight="1">
      <c r="A244" s="7" t="s">
        <v>2083</v>
      </c>
      <c r="B244" s="8" t="s">
        <v>2084</v>
      </c>
      <c r="C244" s="8" t="s">
        <v>192</v>
      </c>
      <c r="D244" s="7" t="s">
        <v>223</v>
      </c>
      <c r="E244" s="28" t="s">
        <v>935</v>
      </c>
      <c r="F244" s="28" t="s">
        <v>384</v>
      </c>
      <c r="G244" s="7" t="str">
        <f t="shared" si="1"/>
        <v>Suministrar caudal de aire de _____ L/min</v>
      </c>
      <c r="H244" s="7" t="s">
        <v>61</v>
      </c>
      <c r="I244" s="8" t="s">
        <v>2085</v>
      </c>
      <c r="J244" s="7"/>
      <c r="K244" s="7" t="s">
        <v>2086</v>
      </c>
      <c r="L244" s="7" t="s">
        <v>2087</v>
      </c>
      <c r="M244" s="7" t="s">
        <v>2088</v>
      </c>
      <c r="N244" s="8">
        <v>2.0</v>
      </c>
      <c r="O244" s="8" t="s">
        <v>66</v>
      </c>
      <c r="P244" s="8" t="s">
        <v>67</v>
      </c>
      <c r="Q244" s="8" t="s">
        <v>68</v>
      </c>
      <c r="R244" s="7" t="s">
        <v>2038</v>
      </c>
      <c r="S244" s="8" t="s">
        <v>111</v>
      </c>
      <c r="T244" s="8" t="s">
        <v>2089</v>
      </c>
      <c r="U244" s="28" t="s">
        <v>1042</v>
      </c>
      <c r="V244" s="28" t="s">
        <v>1043</v>
      </c>
      <c r="W244" s="28" t="s">
        <v>1049</v>
      </c>
    </row>
    <row r="245" ht="23.25" customHeight="1">
      <c r="A245" s="7" t="s">
        <v>2092</v>
      </c>
      <c r="B245" s="8" t="s">
        <v>2094</v>
      </c>
      <c r="C245" s="8" t="s">
        <v>192</v>
      </c>
      <c r="D245" s="7" t="s">
        <v>2095</v>
      </c>
      <c r="E245" s="28" t="s">
        <v>2096</v>
      </c>
      <c r="F245" s="28" t="s">
        <v>155</v>
      </c>
      <c r="G245" s="7" t="str">
        <f t="shared" si="1"/>
        <v>Suministrar aire auxiliar a presión regulada de _____ bar</v>
      </c>
      <c r="H245" s="7" t="s">
        <v>61</v>
      </c>
      <c r="I245" s="8" t="s">
        <v>2097</v>
      </c>
      <c r="J245" s="7"/>
      <c r="K245" s="7" t="s">
        <v>2098</v>
      </c>
      <c r="L245" s="7" t="s">
        <v>2092</v>
      </c>
      <c r="M245" s="7" t="s">
        <v>2099</v>
      </c>
      <c r="N245" s="8">
        <v>1.0</v>
      </c>
      <c r="O245" s="8" t="s">
        <v>66</v>
      </c>
      <c r="P245" s="8" t="s">
        <v>67</v>
      </c>
      <c r="Q245" s="8" t="s">
        <v>68</v>
      </c>
      <c r="R245" s="7" t="s">
        <v>2100</v>
      </c>
      <c r="S245" s="8" t="s">
        <v>111</v>
      </c>
      <c r="T245" s="8" t="s">
        <v>2101</v>
      </c>
      <c r="U245" s="28" t="s">
        <v>2102</v>
      </c>
      <c r="V245" s="28" t="s">
        <v>904</v>
      </c>
      <c r="W245" s="28" t="s">
        <v>2103</v>
      </c>
    </row>
    <row r="246" ht="15.0" customHeight="1">
      <c r="A246" s="7" t="s">
        <v>2104</v>
      </c>
      <c r="B246" s="8" t="s">
        <v>2105</v>
      </c>
      <c r="C246" s="8" t="s">
        <v>717</v>
      </c>
      <c r="D246" s="7" t="s">
        <v>2107</v>
      </c>
      <c r="E246" s="28" t="s">
        <v>2108</v>
      </c>
      <c r="F246" s="28" t="s">
        <v>2109</v>
      </c>
      <c r="G246" s="7" t="str">
        <f t="shared" si="1"/>
        <v>Retener las partículas del aire de tamaño mayor a _____ µm</v>
      </c>
      <c r="H246" s="7" t="s">
        <v>61</v>
      </c>
      <c r="I246" s="8" t="s">
        <v>2110</v>
      </c>
      <c r="J246" s="7"/>
      <c r="K246" s="7" t="s">
        <v>2111</v>
      </c>
      <c r="L246" s="7" t="s">
        <v>2112</v>
      </c>
      <c r="M246" s="7" t="s">
        <v>2113</v>
      </c>
      <c r="N246" s="8">
        <v>2.0</v>
      </c>
      <c r="O246" s="8" t="s">
        <v>187</v>
      </c>
      <c r="P246" s="8" t="s">
        <v>67</v>
      </c>
      <c r="Q246" s="8" t="s">
        <v>87</v>
      </c>
      <c r="R246" s="7" t="s">
        <v>2114</v>
      </c>
      <c r="S246" s="8" t="s">
        <v>111</v>
      </c>
      <c r="T246" s="8" t="s">
        <v>2115</v>
      </c>
      <c r="U246" s="28" t="s">
        <v>2116</v>
      </c>
      <c r="V246" s="28" t="s">
        <v>904</v>
      </c>
      <c r="W246" s="28" t="s">
        <v>2117</v>
      </c>
    </row>
    <row r="247" ht="15.0" customHeight="1">
      <c r="A247" s="7" t="s">
        <v>2118</v>
      </c>
      <c r="B247" s="8" t="s">
        <v>2119</v>
      </c>
      <c r="C247" s="8" t="s">
        <v>252</v>
      </c>
      <c r="D247" s="7" t="s">
        <v>958</v>
      </c>
      <c r="E247" s="28" t="s">
        <v>705</v>
      </c>
      <c r="F247" s="28" t="s">
        <v>959</v>
      </c>
      <c r="G247" s="7" t="str">
        <f t="shared" si="1"/>
        <v>Soportar la carga por eje hasta _____ t</v>
      </c>
      <c r="H247" s="7" t="s">
        <v>79</v>
      </c>
      <c r="I247" s="8" t="s">
        <v>2120</v>
      </c>
      <c r="J247" s="7"/>
      <c r="K247" s="7" t="s">
        <v>2121</v>
      </c>
      <c r="L247" s="7" t="s">
        <v>2122</v>
      </c>
      <c r="M247" s="7" t="s">
        <v>2123</v>
      </c>
      <c r="N247" s="8">
        <v>5.0</v>
      </c>
      <c r="O247" s="8" t="s">
        <v>260</v>
      </c>
      <c r="P247" s="8" t="s">
        <v>67</v>
      </c>
      <c r="Q247" s="8" t="s">
        <v>87</v>
      </c>
      <c r="R247" s="7" t="s">
        <v>2124</v>
      </c>
      <c r="S247" s="8" t="s">
        <v>111</v>
      </c>
      <c r="T247" s="8" t="s">
        <v>2125</v>
      </c>
      <c r="U247" s="28" t="s">
        <v>1447</v>
      </c>
      <c r="V247" s="28" t="s">
        <v>919</v>
      </c>
      <c r="W247" s="28" t="s">
        <v>967</v>
      </c>
    </row>
    <row r="248" ht="15.0" customHeight="1">
      <c r="A248" s="7" t="s">
        <v>2118</v>
      </c>
      <c r="B248" s="8" t="s">
        <v>2128</v>
      </c>
      <c r="C248" s="8" t="s">
        <v>2129</v>
      </c>
      <c r="D248" s="7" t="s">
        <v>2130</v>
      </c>
      <c r="E248" s="7" t="s">
        <v>2131</v>
      </c>
      <c r="F248" s="7" t="s">
        <v>268</v>
      </c>
      <c r="G248" s="7" t="str">
        <f t="shared" si="1"/>
        <v>Conservar el diámetro de rueda mínimo de 800 mm</v>
      </c>
      <c r="H248" s="7" t="s">
        <v>79</v>
      </c>
      <c r="I248" s="8" t="s">
        <v>2120</v>
      </c>
      <c r="J248" s="7" t="s">
        <v>2132</v>
      </c>
      <c r="K248" s="7" t="s">
        <v>2133</v>
      </c>
      <c r="L248" s="7" t="s">
        <v>2122</v>
      </c>
      <c r="M248" s="7" t="s">
        <v>2123</v>
      </c>
      <c r="N248" s="8">
        <v>5.0</v>
      </c>
      <c r="O248" s="8" t="s">
        <v>66</v>
      </c>
      <c r="P248" s="8" t="s">
        <v>67</v>
      </c>
      <c r="Q248" s="8" t="s">
        <v>68</v>
      </c>
      <c r="R248" s="7" t="s">
        <v>2134</v>
      </c>
      <c r="S248" s="8" t="s">
        <v>70</v>
      </c>
      <c r="T248" s="8" t="s">
        <v>71</v>
      </c>
      <c r="U248" s="7" t="s">
        <v>1447</v>
      </c>
      <c r="V248" s="7" t="s">
        <v>919</v>
      </c>
      <c r="W248" s="7" t="s">
        <v>2135</v>
      </c>
    </row>
    <row r="249" ht="23.25" customHeight="1">
      <c r="A249" s="7" t="s">
        <v>2118</v>
      </c>
      <c r="B249" s="8" t="s">
        <v>2136</v>
      </c>
      <c r="C249" s="8" t="s">
        <v>978</v>
      </c>
      <c r="D249" s="7" t="s">
        <v>979</v>
      </c>
      <c r="E249" s="7" t="s">
        <v>2137</v>
      </c>
      <c r="F249" s="7" t="s">
        <v>268</v>
      </c>
      <c r="G249" s="7" t="str">
        <f t="shared" si="1"/>
        <v>Guiar el eje con pestaña de 25 a 33 mm</v>
      </c>
      <c r="H249" s="7" t="s">
        <v>79</v>
      </c>
      <c r="I249" s="8" t="s">
        <v>2120</v>
      </c>
      <c r="J249" s="7" t="s">
        <v>269</v>
      </c>
      <c r="K249" s="7" t="s">
        <v>2138</v>
      </c>
      <c r="L249" s="7" t="s">
        <v>2122</v>
      </c>
      <c r="M249" s="7" t="s">
        <v>2123</v>
      </c>
      <c r="N249" s="8">
        <v>5.0</v>
      </c>
      <c r="O249" s="8" t="s">
        <v>85</v>
      </c>
      <c r="P249" s="8" t="s">
        <v>67</v>
      </c>
      <c r="Q249" s="8" t="s">
        <v>87</v>
      </c>
      <c r="R249" s="7" t="s">
        <v>2139</v>
      </c>
      <c r="S249" s="8" t="s">
        <v>89</v>
      </c>
      <c r="T249" s="8" t="s">
        <v>71</v>
      </c>
      <c r="U249" s="7" t="s">
        <v>1447</v>
      </c>
      <c r="V249" s="7" t="s">
        <v>919</v>
      </c>
      <c r="W249" s="7" t="s">
        <v>2140</v>
      </c>
    </row>
    <row r="250" ht="15.0" customHeight="1">
      <c r="A250" s="7" t="s">
        <v>2118</v>
      </c>
      <c r="B250" s="8" t="s">
        <v>2141</v>
      </c>
      <c r="C250" s="8" t="s">
        <v>265</v>
      </c>
      <c r="D250" s="7" t="s">
        <v>266</v>
      </c>
      <c r="E250" s="7" t="s">
        <v>267</v>
      </c>
      <c r="F250" s="7" t="s">
        <v>268</v>
      </c>
      <c r="G250" s="7" t="str">
        <f t="shared" si="1"/>
        <v>Impedir el remonte de pestaña con cota qR ≥ 6,5 mm</v>
      </c>
      <c r="H250" s="7" t="s">
        <v>79</v>
      </c>
      <c r="I250" s="8" t="s">
        <v>2120</v>
      </c>
      <c r="J250" s="7" t="s">
        <v>269</v>
      </c>
      <c r="K250" s="7" t="s">
        <v>270</v>
      </c>
      <c r="L250" s="7" t="s">
        <v>2122</v>
      </c>
      <c r="M250" s="7" t="s">
        <v>2123</v>
      </c>
      <c r="N250" s="8">
        <v>5.0</v>
      </c>
      <c r="O250" s="8" t="s">
        <v>85</v>
      </c>
      <c r="P250" s="8" t="s">
        <v>86</v>
      </c>
      <c r="Q250" s="8" t="s">
        <v>87</v>
      </c>
      <c r="R250" s="7" t="s">
        <v>271</v>
      </c>
      <c r="S250" s="8" t="s">
        <v>89</v>
      </c>
      <c r="T250" s="8" t="s">
        <v>71</v>
      </c>
      <c r="U250" s="7" t="s">
        <v>1447</v>
      </c>
      <c r="V250" s="7" t="s">
        <v>919</v>
      </c>
      <c r="W250" s="7" t="s">
        <v>972</v>
      </c>
    </row>
    <row r="251" ht="15.0" customHeight="1">
      <c r="A251" s="7" t="s">
        <v>2118</v>
      </c>
      <c r="B251" s="8" t="s">
        <v>2142</v>
      </c>
      <c r="C251" s="8" t="s">
        <v>409</v>
      </c>
      <c r="D251" s="7" t="s">
        <v>2143</v>
      </c>
      <c r="E251" s="7" t="s">
        <v>2144</v>
      </c>
      <c r="F251" s="7" t="s">
        <v>268</v>
      </c>
      <c r="G251" s="7" t="str">
        <f t="shared" si="1"/>
        <v>Limitar la altura de pestaña de 27,5 a 36 mm</v>
      </c>
      <c r="H251" s="7" t="s">
        <v>79</v>
      </c>
      <c r="I251" s="8" t="s">
        <v>2120</v>
      </c>
      <c r="J251" s="7" t="s">
        <v>269</v>
      </c>
      <c r="K251" s="7"/>
      <c r="L251" s="7" t="s">
        <v>2122</v>
      </c>
      <c r="M251" s="7" t="s">
        <v>2123</v>
      </c>
      <c r="N251" s="8">
        <v>5.0</v>
      </c>
      <c r="O251" s="8" t="s">
        <v>85</v>
      </c>
      <c r="P251" s="8" t="s">
        <v>86</v>
      </c>
      <c r="Q251" s="8" t="s">
        <v>87</v>
      </c>
      <c r="R251" s="7" t="s">
        <v>271</v>
      </c>
      <c r="S251" s="8" t="s">
        <v>89</v>
      </c>
      <c r="T251" s="8" t="s">
        <v>71</v>
      </c>
      <c r="U251" s="7" t="s">
        <v>1447</v>
      </c>
      <c r="V251" s="7" t="s">
        <v>919</v>
      </c>
      <c r="W251" s="7" t="s">
        <v>2147</v>
      </c>
    </row>
    <row r="252" ht="15.0" customHeight="1">
      <c r="A252" s="7" t="s">
        <v>2118</v>
      </c>
      <c r="B252" s="8" t="s">
        <v>2148</v>
      </c>
      <c r="C252" s="8" t="s">
        <v>152</v>
      </c>
      <c r="D252" s="7" t="s">
        <v>480</v>
      </c>
      <c r="E252" s="7" t="s">
        <v>2150</v>
      </c>
      <c r="F252" s="7" t="s">
        <v>268</v>
      </c>
      <c r="G252" s="7" t="str">
        <f t="shared" si="1"/>
        <v>Mantener la distancia entre ruedas de 1.358 a 1.363 mm</v>
      </c>
      <c r="H252" s="7" t="s">
        <v>79</v>
      </c>
      <c r="I252" s="8" t="s">
        <v>2120</v>
      </c>
      <c r="J252" s="7" t="s">
        <v>269</v>
      </c>
      <c r="K252" s="7" t="s">
        <v>2151</v>
      </c>
      <c r="L252" s="7" t="s">
        <v>2122</v>
      </c>
      <c r="M252" s="7" t="s">
        <v>2123</v>
      </c>
      <c r="N252" s="8">
        <v>5.0</v>
      </c>
      <c r="O252" s="8" t="s">
        <v>85</v>
      </c>
      <c r="P252" s="8" t="s">
        <v>86</v>
      </c>
      <c r="Q252" s="8" t="s">
        <v>87</v>
      </c>
      <c r="R252" s="7" t="s">
        <v>2152</v>
      </c>
      <c r="S252" s="8" t="s">
        <v>89</v>
      </c>
      <c r="T252" s="8" t="s">
        <v>2153</v>
      </c>
      <c r="U252" s="7" t="s">
        <v>1447</v>
      </c>
      <c r="V252" s="7" t="s">
        <v>919</v>
      </c>
      <c r="W252" s="7" t="s">
        <v>2155</v>
      </c>
    </row>
    <row r="253" ht="15.0" customHeight="1">
      <c r="A253" s="7" t="s">
        <v>2118</v>
      </c>
      <c r="B253" s="8" t="s">
        <v>2156</v>
      </c>
      <c r="C253" s="8" t="s">
        <v>152</v>
      </c>
      <c r="D253" s="7" t="s">
        <v>2157</v>
      </c>
      <c r="E253" s="7" t="s">
        <v>2158</v>
      </c>
      <c r="F253" s="7" t="s">
        <v>268</v>
      </c>
      <c r="G253" s="7" t="str">
        <f t="shared" si="1"/>
        <v>Mantener el ancho de llanta de 133 a 145 mm</v>
      </c>
      <c r="H253" s="7" t="s">
        <v>79</v>
      </c>
      <c r="I253" s="8" t="s">
        <v>2120</v>
      </c>
      <c r="J253" s="7" t="s">
        <v>269</v>
      </c>
      <c r="K253" s="7"/>
      <c r="L253" s="7" t="s">
        <v>2122</v>
      </c>
      <c r="M253" s="7" t="s">
        <v>2123</v>
      </c>
      <c r="N253" s="8">
        <v>5.0</v>
      </c>
      <c r="O253" s="8" t="s">
        <v>260</v>
      </c>
      <c r="P253" s="8" t="s">
        <v>86</v>
      </c>
      <c r="Q253" s="8" t="s">
        <v>87</v>
      </c>
      <c r="R253" s="7" t="s">
        <v>485</v>
      </c>
      <c r="S253" s="8" t="s">
        <v>89</v>
      </c>
      <c r="T253" s="8" t="s">
        <v>71</v>
      </c>
      <c r="U253" s="7" t="s">
        <v>1447</v>
      </c>
      <c r="V253" s="7" t="s">
        <v>919</v>
      </c>
      <c r="W253" s="7" t="s">
        <v>2160</v>
      </c>
    </row>
    <row r="254" ht="15.0" customHeight="1">
      <c r="A254" s="7" t="s">
        <v>2118</v>
      </c>
      <c r="B254" s="8" t="s">
        <v>2161</v>
      </c>
      <c r="C254" s="8" t="s">
        <v>421</v>
      </c>
      <c r="D254" s="7" t="s">
        <v>2162</v>
      </c>
      <c r="E254" s="7" t="s">
        <v>2163</v>
      </c>
      <c r="F254" s="7" t="s">
        <v>268</v>
      </c>
      <c r="G254" s="7" t="str">
        <f t="shared" si="1"/>
        <v>Igualar el diámetro de ruedas con diferencia máxima de 0,1 mm</v>
      </c>
      <c r="H254" s="7" t="s">
        <v>171</v>
      </c>
      <c r="I254" s="8" t="s">
        <v>2120</v>
      </c>
      <c r="J254" s="7" t="s">
        <v>414</v>
      </c>
      <c r="K254" s="7" t="s">
        <v>2167</v>
      </c>
      <c r="L254" s="7" t="s">
        <v>2122</v>
      </c>
      <c r="M254" s="7" t="s">
        <v>2123</v>
      </c>
      <c r="N254" s="8">
        <v>5.0</v>
      </c>
      <c r="O254" s="8" t="s">
        <v>66</v>
      </c>
      <c r="P254" s="8" t="s">
        <v>86</v>
      </c>
      <c r="Q254" s="8" t="s">
        <v>87</v>
      </c>
      <c r="R254" s="7" t="s">
        <v>2168</v>
      </c>
      <c r="S254" s="8" t="s">
        <v>111</v>
      </c>
      <c r="T254" s="8" t="s">
        <v>71</v>
      </c>
      <c r="U254" s="7" t="s">
        <v>1447</v>
      </c>
      <c r="V254" s="7" t="s">
        <v>919</v>
      </c>
      <c r="W254" s="7" t="s">
        <v>2169</v>
      </c>
    </row>
    <row r="255" ht="15.0" customHeight="1">
      <c r="A255" s="7" t="s">
        <v>2170</v>
      </c>
      <c r="B255" s="8" t="s">
        <v>2171</v>
      </c>
      <c r="C255" s="8" t="s">
        <v>2172</v>
      </c>
      <c r="D255" s="7" t="s">
        <v>2173</v>
      </c>
      <c r="E255" s="28" t="s">
        <v>2174</v>
      </c>
      <c r="F255" s="28" t="s">
        <v>1154</v>
      </c>
      <c r="G255" s="7" t="str">
        <f t="shared" si="1"/>
        <v>Separar el agua condensada con eficiencia de _____ %</v>
      </c>
      <c r="H255" s="7" t="s">
        <v>61</v>
      </c>
      <c r="I255" s="8" t="s">
        <v>2175</v>
      </c>
      <c r="J255" s="7"/>
      <c r="K255" s="7" t="s">
        <v>2176</v>
      </c>
      <c r="L255" s="7" t="s">
        <v>2177</v>
      </c>
      <c r="M255" s="7" t="s">
        <v>2178</v>
      </c>
      <c r="N255" s="8">
        <v>1.0</v>
      </c>
      <c r="O255" s="8" t="s">
        <v>187</v>
      </c>
      <c r="P255" s="8" t="s">
        <v>67</v>
      </c>
      <c r="Q255" s="8" t="s">
        <v>87</v>
      </c>
      <c r="R255" s="7" t="s">
        <v>2179</v>
      </c>
      <c r="S255" s="8" t="s">
        <v>111</v>
      </c>
      <c r="T255" s="8" t="s">
        <v>1846</v>
      </c>
      <c r="U255" s="28" t="s">
        <v>2181</v>
      </c>
      <c r="V255" s="28" t="s">
        <v>904</v>
      </c>
      <c r="W255" s="28" t="s">
        <v>2182</v>
      </c>
    </row>
    <row r="256" ht="23.25" customHeight="1">
      <c r="A256" s="7" t="s">
        <v>2183</v>
      </c>
      <c r="B256" s="8" t="s">
        <v>2184</v>
      </c>
      <c r="C256" s="8" t="s">
        <v>177</v>
      </c>
      <c r="D256" s="7" t="s">
        <v>178</v>
      </c>
      <c r="E256" s="7" t="s">
        <v>179</v>
      </c>
      <c r="F256" s="7" t="s">
        <v>180</v>
      </c>
      <c r="G256" s="7" t="str">
        <f t="shared" si="1"/>
        <v>Secar el aire comprimido con punto de rocío máximo de +3 °C</v>
      </c>
      <c r="H256" s="7" t="s">
        <v>61</v>
      </c>
      <c r="I256" s="8" t="s">
        <v>2185</v>
      </c>
      <c r="J256" s="7" t="s">
        <v>182</v>
      </c>
      <c r="K256" s="7" t="s">
        <v>2187</v>
      </c>
      <c r="L256" s="7" t="s">
        <v>2188</v>
      </c>
      <c r="M256" s="7" t="s">
        <v>2189</v>
      </c>
      <c r="N256" s="8">
        <v>3.0</v>
      </c>
      <c r="O256" s="8" t="s">
        <v>187</v>
      </c>
      <c r="P256" s="8" t="s">
        <v>67</v>
      </c>
      <c r="Q256" s="8" t="s">
        <v>87</v>
      </c>
      <c r="R256" s="7" t="s">
        <v>2190</v>
      </c>
      <c r="S256" s="8" t="s">
        <v>89</v>
      </c>
      <c r="T256" s="8" t="s">
        <v>2191</v>
      </c>
      <c r="U256" s="7" t="s">
        <v>1055</v>
      </c>
      <c r="V256" s="7" t="s">
        <v>1057</v>
      </c>
      <c r="W256" s="7" t="s">
        <v>1058</v>
      </c>
    </row>
    <row r="257" ht="15.0" customHeight="1">
      <c r="A257" s="7" t="s">
        <v>2192</v>
      </c>
      <c r="B257" s="8" t="s">
        <v>2193</v>
      </c>
      <c r="C257" s="8" t="s">
        <v>252</v>
      </c>
      <c r="D257" s="7" t="s">
        <v>253</v>
      </c>
      <c r="E257" s="28" t="s">
        <v>705</v>
      </c>
      <c r="F257" s="28" t="s">
        <v>959</v>
      </c>
      <c r="G257" s="7" t="str">
        <f t="shared" si="1"/>
        <v>Soportar la carga vertical hasta _____ t</v>
      </c>
      <c r="H257" s="7" t="s">
        <v>79</v>
      </c>
      <c r="I257" s="8" t="s">
        <v>2196</v>
      </c>
      <c r="J257" s="7"/>
      <c r="K257" s="7" t="s">
        <v>2197</v>
      </c>
      <c r="L257" s="7" t="s">
        <v>2192</v>
      </c>
      <c r="M257" s="7" t="s">
        <v>2198</v>
      </c>
      <c r="N257" s="8">
        <v>1.0</v>
      </c>
      <c r="O257" s="8" t="s">
        <v>260</v>
      </c>
      <c r="P257" s="8" t="s">
        <v>67</v>
      </c>
      <c r="Q257" s="8" t="s">
        <v>68</v>
      </c>
      <c r="R257" s="7" t="s">
        <v>2199</v>
      </c>
      <c r="S257" s="8" t="s">
        <v>111</v>
      </c>
      <c r="T257" s="8" t="s">
        <v>1859</v>
      </c>
      <c r="U257" s="28" t="s">
        <v>2200</v>
      </c>
      <c r="V257" s="28" t="s">
        <v>904</v>
      </c>
      <c r="W257" s="28" t="s">
        <v>1096</v>
      </c>
    </row>
    <row r="258" ht="23.25" customHeight="1">
      <c r="A258" s="7" t="s">
        <v>2201</v>
      </c>
      <c r="B258" s="8" t="s">
        <v>2202</v>
      </c>
      <c r="C258" s="8" t="s">
        <v>2203</v>
      </c>
      <c r="D258" s="7" t="s">
        <v>2204</v>
      </c>
      <c r="E258" s="28" t="s">
        <v>2205</v>
      </c>
      <c r="F258" s="28" t="s">
        <v>268</v>
      </c>
      <c r="G258" s="7" t="str">
        <f t="shared" si="1"/>
        <v>Regular la altura de caja con tolerancia de ±_____ mm</v>
      </c>
      <c r="H258" s="7" t="s">
        <v>61</v>
      </c>
      <c r="I258" s="8" t="s">
        <v>2206</v>
      </c>
      <c r="J258" s="7"/>
      <c r="K258" s="7" t="s">
        <v>2207</v>
      </c>
      <c r="L258" s="7" t="s">
        <v>2208</v>
      </c>
      <c r="M258" s="7" t="s">
        <v>2209</v>
      </c>
      <c r="N258" s="8">
        <v>3.0</v>
      </c>
      <c r="O258" s="8" t="s">
        <v>1215</v>
      </c>
      <c r="P258" s="8" t="s">
        <v>67</v>
      </c>
      <c r="Q258" s="8" t="s">
        <v>87</v>
      </c>
      <c r="R258" s="7" t="s">
        <v>2210</v>
      </c>
      <c r="S258" s="8" t="s">
        <v>111</v>
      </c>
      <c r="T258" s="8" t="s">
        <v>2211</v>
      </c>
      <c r="U258" s="28" t="s">
        <v>2212</v>
      </c>
      <c r="V258" s="28" t="s">
        <v>904</v>
      </c>
      <c r="W258" s="28" t="s">
        <v>2213</v>
      </c>
    </row>
    <row r="259" ht="23.25" customHeight="1">
      <c r="A259" s="7" t="s">
        <v>2201</v>
      </c>
      <c r="B259" s="8" t="s">
        <v>2214</v>
      </c>
      <c r="C259" s="8" t="s">
        <v>421</v>
      </c>
      <c r="D259" s="7" t="s">
        <v>2215</v>
      </c>
      <c r="E259" s="7" t="s">
        <v>2216</v>
      </c>
      <c r="F259" s="7" t="s">
        <v>155</v>
      </c>
      <c r="G259" s="7" t="str">
        <f t="shared" si="1"/>
        <v>Igualar la presión de resortes con diferencia máxima de 1,5 bar</v>
      </c>
      <c r="H259" s="7" t="s">
        <v>79</v>
      </c>
      <c r="I259" s="8" t="s">
        <v>2206</v>
      </c>
      <c r="J259" s="7" t="s">
        <v>2217</v>
      </c>
      <c r="K259" s="7" t="s">
        <v>2218</v>
      </c>
      <c r="L259" s="7" t="s">
        <v>2208</v>
      </c>
      <c r="M259" s="7" t="s">
        <v>2209</v>
      </c>
      <c r="N259" s="8">
        <v>3.0</v>
      </c>
      <c r="O259" s="8" t="s">
        <v>187</v>
      </c>
      <c r="P259" s="8" t="s">
        <v>86</v>
      </c>
      <c r="Q259" s="8" t="s">
        <v>87</v>
      </c>
      <c r="R259" s="7" t="s">
        <v>2219</v>
      </c>
      <c r="S259" s="8" t="s">
        <v>419</v>
      </c>
      <c r="T259" s="8" t="s">
        <v>71</v>
      </c>
      <c r="U259" s="7" t="s">
        <v>2212</v>
      </c>
      <c r="V259" s="7" t="s">
        <v>904</v>
      </c>
      <c r="W259" s="7" t="s">
        <v>2220</v>
      </c>
    </row>
    <row r="260" ht="23.25" customHeight="1">
      <c r="A260" s="7" t="s">
        <v>2221</v>
      </c>
      <c r="B260" s="8" t="s">
        <v>2223</v>
      </c>
      <c r="C260" s="8" t="s">
        <v>265</v>
      </c>
      <c r="D260" s="7" t="s">
        <v>2224</v>
      </c>
      <c r="E260" s="28" t="s">
        <v>2226</v>
      </c>
      <c r="F260" s="28" t="s">
        <v>155</v>
      </c>
      <c r="G260" s="7" t="str">
        <f t="shared" si="1"/>
        <v>Impedir el retorno de aire con presión de apertura de _____ bar</v>
      </c>
      <c r="H260" s="7" t="s">
        <v>79</v>
      </c>
      <c r="I260" s="8" t="s">
        <v>2227</v>
      </c>
      <c r="J260" s="7" t="s">
        <v>2228</v>
      </c>
      <c r="K260" s="7" t="s">
        <v>2229</v>
      </c>
      <c r="L260" s="7" t="s">
        <v>2221</v>
      </c>
      <c r="M260" s="7" t="s">
        <v>2230</v>
      </c>
      <c r="N260" s="8">
        <v>1.0</v>
      </c>
      <c r="O260" s="8" t="s">
        <v>187</v>
      </c>
      <c r="P260" s="8" t="s">
        <v>67</v>
      </c>
      <c r="Q260" s="8" t="s">
        <v>87</v>
      </c>
      <c r="R260" s="7" t="s">
        <v>2231</v>
      </c>
      <c r="S260" s="8" t="s">
        <v>726</v>
      </c>
      <c r="T260" s="8" t="s">
        <v>2232</v>
      </c>
      <c r="U260" s="28" t="s">
        <v>2233</v>
      </c>
      <c r="V260" s="28" t="s">
        <v>904</v>
      </c>
      <c r="W260" s="28" t="s">
        <v>2234</v>
      </c>
    </row>
    <row r="261" ht="15.0" customHeight="1">
      <c r="A261" s="7" t="s">
        <v>2235</v>
      </c>
      <c r="B261" s="8" t="s">
        <v>2236</v>
      </c>
      <c r="C261" s="8" t="s">
        <v>2237</v>
      </c>
      <c r="D261" s="7" t="s">
        <v>2238</v>
      </c>
      <c r="E261" s="28" t="s">
        <v>1024</v>
      </c>
      <c r="F261" s="28" t="s">
        <v>155</v>
      </c>
      <c r="G261" s="7" t="str">
        <f t="shared" si="1"/>
        <v>Conmutar el compresor por presión entre _____ y _____ bar</v>
      </c>
      <c r="H261" s="7" t="s">
        <v>79</v>
      </c>
      <c r="I261" s="8" t="s">
        <v>2239</v>
      </c>
      <c r="J261" s="7"/>
      <c r="K261" s="7" t="s">
        <v>2240</v>
      </c>
      <c r="L261" s="7" t="s">
        <v>2241</v>
      </c>
      <c r="M261" s="7" t="s">
        <v>2242</v>
      </c>
      <c r="N261" s="8">
        <v>4.0</v>
      </c>
      <c r="O261" s="8" t="s">
        <v>1215</v>
      </c>
      <c r="P261" s="8" t="s">
        <v>86</v>
      </c>
      <c r="Q261" s="8" t="s">
        <v>87</v>
      </c>
      <c r="R261" s="7" t="s">
        <v>2244</v>
      </c>
      <c r="S261" s="8" t="s">
        <v>111</v>
      </c>
      <c r="T261" s="8" t="s">
        <v>2245</v>
      </c>
      <c r="U261" s="28" t="s">
        <v>2246</v>
      </c>
      <c r="V261" s="28" t="s">
        <v>904</v>
      </c>
      <c r="W261" s="28" t="s">
        <v>2247</v>
      </c>
    </row>
    <row r="262" ht="23.25" customHeight="1">
      <c r="A262" s="7" t="s">
        <v>2235</v>
      </c>
      <c r="B262" s="8" t="s">
        <v>2248</v>
      </c>
      <c r="C262" s="8" t="s">
        <v>300</v>
      </c>
      <c r="D262" s="7" t="s">
        <v>178</v>
      </c>
      <c r="E262" s="28" t="s">
        <v>705</v>
      </c>
      <c r="F262" s="28" t="s">
        <v>490</v>
      </c>
      <c r="G262" s="7" t="str">
        <f t="shared" si="1"/>
        <v>Almacenar el aire comprimido hasta _____ L</v>
      </c>
      <c r="H262" s="7" t="s">
        <v>61</v>
      </c>
      <c r="I262" s="8" t="s">
        <v>2239</v>
      </c>
      <c r="J262" s="7"/>
      <c r="K262" s="7" t="s">
        <v>2250</v>
      </c>
      <c r="L262" s="7" t="s">
        <v>2241</v>
      </c>
      <c r="M262" s="7" t="s">
        <v>2242</v>
      </c>
      <c r="N262" s="8">
        <v>4.0</v>
      </c>
      <c r="O262" s="8" t="s">
        <v>173</v>
      </c>
      <c r="P262" s="8" t="s">
        <v>67</v>
      </c>
      <c r="Q262" s="8" t="s">
        <v>68</v>
      </c>
      <c r="R262" s="7" t="s">
        <v>2252</v>
      </c>
      <c r="S262" s="8" t="s">
        <v>111</v>
      </c>
      <c r="T262" s="8" t="s">
        <v>2253</v>
      </c>
      <c r="U262" s="28" t="s">
        <v>2246</v>
      </c>
      <c r="V262" s="28" t="s">
        <v>904</v>
      </c>
      <c r="W262" s="28" t="s">
        <v>2256</v>
      </c>
    </row>
    <row r="263" ht="15.0" customHeight="1">
      <c r="A263" s="7" t="s">
        <v>2235</v>
      </c>
      <c r="B263" s="8" t="s">
        <v>2257</v>
      </c>
      <c r="C263" s="8" t="s">
        <v>2259</v>
      </c>
      <c r="D263" s="7" t="s">
        <v>2260</v>
      </c>
      <c r="E263" s="28" t="s">
        <v>2261</v>
      </c>
      <c r="F263" s="28" t="s">
        <v>155</v>
      </c>
      <c r="G263" s="7" t="str">
        <f t="shared" si="1"/>
        <v>Aliviar la sobrepresión a presión de tarado de _____ bar</v>
      </c>
      <c r="H263" s="7" t="s">
        <v>79</v>
      </c>
      <c r="I263" s="8" t="s">
        <v>2239</v>
      </c>
      <c r="J263" s="7"/>
      <c r="K263" s="7" t="s">
        <v>2262</v>
      </c>
      <c r="L263" s="7" t="s">
        <v>2241</v>
      </c>
      <c r="M263" s="7" t="s">
        <v>2242</v>
      </c>
      <c r="N263" s="8">
        <v>4.0</v>
      </c>
      <c r="O263" s="8" t="s">
        <v>187</v>
      </c>
      <c r="P263" s="8" t="s">
        <v>86</v>
      </c>
      <c r="Q263" s="8" t="s">
        <v>87</v>
      </c>
      <c r="R263" s="7" t="s">
        <v>2263</v>
      </c>
      <c r="S263" s="8" t="s">
        <v>111</v>
      </c>
      <c r="T263" s="8" t="s">
        <v>71</v>
      </c>
      <c r="U263" s="28" t="s">
        <v>2246</v>
      </c>
      <c r="V263" s="28" t="s">
        <v>904</v>
      </c>
      <c r="W263" s="28" t="s">
        <v>2264</v>
      </c>
    </row>
    <row r="264" ht="23.25" customHeight="1">
      <c r="A264" s="7" t="s">
        <v>2265</v>
      </c>
      <c r="B264" s="8" t="s">
        <v>2266</v>
      </c>
      <c r="C264" s="8" t="s">
        <v>300</v>
      </c>
      <c r="D264" s="7" t="s">
        <v>178</v>
      </c>
      <c r="E264" s="28" t="s">
        <v>705</v>
      </c>
      <c r="F264" s="28" t="s">
        <v>490</v>
      </c>
      <c r="G264" s="7" t="str">
        <f t="shared" si="1"/>
        <v>Almacenar el aire comprimido hasta _____ L</v>
      </c>
      <c r="H264" s="7" t="s">
        <v>61</v>
      </c>
      <c r="I264" s="8" t="s">
        <v>2267</v>
      </c>
      <c r="J264" s="7"/>
      <c r="K264" s="7" t="s">
        <v>2250</v>
      </c>
      <c r="L264" s="7" t="s">
        <v>2265</v>
      </c>
      <c r="M264" s="7" t="s">
        <v>2268</v>
      </c>
      <c r="N264" s="8">
        <v>1.0</v>
      </c>
      <c r="O264" s="8" t="s">
        <v>173</v>
      </c>
      <c r="P264" s="8" t="s">
        <v>67</v>
      </c>
      <c r="Q264" s="8" t="s">
        <v>68</v>
      </c>
      <c r="R264" s="7" t="s">
        <v>2252</v>
      </c>
      <c r="S264" s="8" t="s">
        <v>111</v>
      </c>
      <c r="T264" s="8" t="s">
        <v>71</v>
      </c>
      <c r="U264" s="28" t="s">
        <v>2246</v>
      </c>
      <c r="V264" s="28" t="s">
        <v>904</v>
      </c>
      <c r="W264" s="28" t="s">
        <v>2256</v>
      </c>
    </row>
    <row r="265" ht="15.0" customHeight="1">
      <c r="A265" s="7" t="s">
        <v>2265</v>
      </c>
      <c r="B265" s="8" t="s">
        <v>2269</v>
      </c>
      <c r="C265" s="8" t="s">
        <v>2237</v>
      </c>
      <c r="D265" s="7" t="s">
        <v>2238</v>
      </c>
      <c r="E265" s="28" t="s">
        <v>1024</v>
      </c>
      <c r="F265" s="28" t="s">
        <v>155</v>
      </c>
      <c r="G265" s="7" t="str">
        <f t="shared" si="1"/>
        <v>Conmutar el compresor por presión entre _____ y _____ bar</v>
      </c>
      <c r="H265" s="7" t="s">
        <v>61</v>
      </c>
      <c r="I265" s="8" t="s">
        <v>2267</v>
      </c>
      <c r="J265" s="7"/>
      <c r="K265" s="7" t="s">
        <v>2240</v>
      </c>
      <c r="L265" s="7" t="s">
        <v>2265</v>
      </c>
      <c r="M265" s="7" t="s">
        <v>2268</v>
      </c>
      <c r="N265" s="8">
        <v>1.0</v>
      </c>
      <c r="O265" s="8" t="s">
        <v>1215</v>
      </c>
      <c r="P265" s="8" t="s">
        <v>86</v>
      </c>
      <c r="Q265" s="8" t="s">
        <v>87</v>
      </c>
      <c r="R265" s="7" t="s">
        <v>2244</v>
      </c>
      <c r="S265" s="8" t="s">
        <v>111</v>
      </c>
      <c r="T265" s="8" t="s">
        <v>71</v>
      </c>
      <c r="U265" s="28" t="s">
        <v>2246</v>
      </c>
      <c r="V265" s="28" t="s">
        <v>904</v>
      </c>
      <c r="W265" s="28" t="s">
        <v>2247</v>
      </c>
    </row>
    <row r="266" ht="23.25" customHeight="1">
      <c r="A266" s="7" t="s">
        <v>2265</v>
      </c>
      <c r="B266" s="8" t="s">
        <v>2272</v>
      </c>
      <c r="C266" s="8" t="s">
        <v>2259</v>
      </c>
      <c r="D266" s="7" t="s">
        <v>2260</v>
      </c>
      <c r="E266" s="28" t="s">
        <v>2261</v>
      </c>
      <c r="F266" s="28" t="s">
        <v>155</v>
      </c>
      <c r="G266" s="7" t="str">
        <f t="shared" si="1"/>
        <v>Aliviar la sobrepresión a presión de tarado de _____ bar</v>
      </c>
      <c r="H266" s="7" t="s">
        <v>79</v>
      </c>
      <c r="I266" s="8" t="s">
        <v>2267</v>
      </c>
      <c r="J266" s="7"/>
      <c r="K266" s="7" t="s">
        <v>2262</v>
      </c>
      <c r="L266" s="7" t="s">
        <v>2265</v>
      </c>
      <c r="M266" s="7" t="s">
        <v>2268</v>
      </c>
      <c r="N266" s="8">
        <v>1.0</v>
      </c>
      <c r="O266" s="8" t="s">
        <v>187</v>
      </c>
      <c r="P266" s="8" t="s">
        <v>86</v>
      </c>
      <c r="Q266" s="8" t="s">
        <v>87</v>
      </c>
      <c r="R266" s="7" t="s">
        <v>2263</v>
      </c>
      <c r="S266" s="8" t="s">
        <v>111</v>
      </c>
      <c r="T266" s="8" t="s">
        <v>71</v>
      </c>
      <c r="U266" s="28" t="s">
        <v>2246</v>
      </c>
      <c r="V266" s="28" t="s">
        <v>904</v>
      </c>
      <c r="W266" s="28" t="s">
        <v>2264</v>
      </c>
    </row>
    <row r="267" ht="23.25" customHeight="1">
      <c r="A267" s="7" t="s">
        <v>2273</v>
      </c>
      <c r="B267" s="8" t="s">
        <v>2274</v>
      </c>
      <c r="C267" s="8" t="s">
        <v>2275</v>
      </c>
      <c r="D267" s="7" t="s">
        <v>2276</v>
      </c>
      <c r="E267" s="28" t="s">
        <v>2277</v>
      </c>
      <c r="F267" s="28" t="s">
        <v>512</v>
      </c>
      <c r="G267" s="7" t="str">
        <f t="shared" si="1"/>
        <v>Interrumpir la sobrecorriente con calibre de _____ A</v>
      </c>
      <c r="H267" s="7" t="s">
        <v>79</v>
      </c>
      <c r="I267" s="8" t="s">
        <v>2279</v>
      </c>
      <c r="J267" s="7"/>
      <c r="K267" s="7" t="s">
        <v>2280</v>
      </c>
      <c r="L267" s="7" t="s">
        <v>2281</v>
      </c>
      <c r="M267" s="7" t="s">
        <v>2282</v>
      </c>
      <c r="N267" s="8">
        <v>3.0</v>
      </c>
      <c r="O267" s="8" t="s">
        <v>187</v>
      </c>
      <c r="P267" s="8" t="s">
        <v>67</v>
      </c>
      <c r="Q267" s="8" t="s">
        <v>87</v>
      </c>
      <c r="R267" s="7" t="s">
        <v>2283</v>
      </c>
      <c r="S267" s="8" t="s">
        <v>111</v>
      </c>
      <c r="T267" s="8" t="s">
        <v>2284</v>
      </c>
      <c r="U267" s="28" t="s">
        <v>2285</v>
      </c>
      <c r="V267" s="28" t="s">
        <v>904</v>
      </c>
      <c r="W267" s="28" t="s">
        <v>2286</v>
      </c>
    </row>
    <row r="268" ht="23.25" customHeight="1">
      <c r="A268" s="7" t="s">
        <v>2287</v>
      </c>
      <c r="B268" s="8" t="s">
        <v>2288</v>
      </c>
      <c r="C268" s="8" t="s">
        <v>2289</v>
      </c>
      <c r="D268" s="7" t="s">
        <v>2290</v>
      </c>
      <c r="E268" s="28" t="s">
        <v>2291</v>
      </c>
      <c r="F268" s="28" t="s">
        <v>291</v>
      </c>
      <c r="G268" s="7" t="str">
        <f t="shared" si="1"/>
        <v>Derivar las sobretensiones con tensión de operación continua de _____ V</v>
      </c>
      <c r="H268" s="7" t="s">
        <v>79</v>
      </c>
      <c r="I268" s="8" t="s">
        <v>2292</v>
      </c>
      <c r="J268" s="7"/>
      <c r="K268" s="7" t="s">
        <v>2293</v>
      </c>
      <c r="L268" s="7" t="s">
        <v>2294</v>
      </c>
      <c r="M268" s="7" t="s">
        <v>2295</v>
      </c>
      <c r="N268" s="8">
        <v>1.0</v>
      </c>
      <c r="O268" s="8" t="s">
        <v>187</v>
      </c>
      <c r="P268" s="8" t="s">
        <v>67</v>
      </c>
      <c r="Q268" s="8" t="s">
        <v>87</v>
      </c>
      <c r="R268" s="7" t="s">
        <v>2297</v>
      </c>
      <c r="S268" s="8" t="s">
        <v>111</v>
      </c>
      <c r="T268" s="8" t="s">
        <v>2298</v>
      </c>
      <c r="U268" s="28" t="s">
        <v>2299</v>
      </c>
      <c r="V268" s="28" t="s">
        <v>904</v>
      </c>
      <c r="W268" s="28" t="s">
        <v>2300</v>
      </c>
    </row>
    <row r="269" ht="23.25" customHeight="1">
      <c r="A269" s="7" t="s">
        <v>2301</v>
      </c>
      <c r="B269" s="8" t="s">
        <v>2302</v>
      </c>
      <c r="C269" s="8" t="s">
        <v>152</v>
      </c>
      <c r="D269" s="7" t="s">
        <v>908</v>
      </c>
      <c r="E269" s="7" t="s">
        <v>909</v>
      </c>
      <c r="F269" s="7" t="s">
        <v>544</v>
      </c>
      <c r="G269" s="7" t="str">
        <f t="shared" si="1"/>
        <v>Mantener la fuerza de contacto de 60 a 140 N</v>
      </c>
      <c r="H269" s="7" t="s">
        <v>61</v>
      </c>
      <c r="I269" s="8" t="s">
        <v>2303</v>
      </c>
      <c r="J269" s="7" t="s">
        <v>912</v>
      </c>
      <c r="K269" s="7" t="s">
        <v>2304</v>
      </c>
      <c r="L269" s="7" t="s">
        <v>2305</v>
      </c>
      <c r="M269" s="7" t="s">
        <v>2306</v>
      </c>
      <c r="N269" s="8">
        <v>2.0</v>
      </c>
      <c r="O269" s="8" t="s">
        <v>66</v>
      </c>
      <c r="P269" s="8" t="s">
        <v>67</v>
      </c>
      <c r="Q269" s="8" t="s">
        <v>68</v>
      </c>
      <c r="R269" s="7" t="s">
        <v>2307</v>
      </c>
      <c r="S269" s="8" t="s">
        <v>419</v>
      </c>
      <c r="T269" s="8" t="s">
        <v>2308</v>
      </c>
      <c r="U269" s="7" t="s">
        <v>918</v>
      </c>
      <c r="V269" s="7" t="s">
        <v>919</v>
      </c>
      <c r="W269" s="7" t="s">
        <v>920</v>
      </c>
    </row>
    <row r="270" ht="15.0" customHeight="1">
      <c r="A270" s="7" t="s">
        <v>2301</v>
      </c>
      <c r="B270" s="8" t="s">
        <v>2309</v>
      </c>
      <c r="C270" s="8" t="s">
        <v>2310</v>
      </c>
      <c r="D270" s="7" t="s">
        <v>2311</v>
      </c>
      <c r="E270" s="7" t="s">
        <v>58</v>
      </c>
      <c r="F270" s="7" t="s">
        <v>2313</v>
      </c>
      <c r="G270" s="7" t="str">
        <f t="shared" si="1"/>
        <v>Transferir la corriente de tracción hasta 300 A en reposo</v>
      </c>
      <c r="H270" s="7" t="s">
        <v>61</v>
      </c>
      <c r="I270" s="8" t="s">
        <v>2303</v>
      </c>
      <c r="J270" s="7" t="s">
        <v>2314</v>
      </c>
      <c r="K270" s="7" t="s">
        <v>2315</v>
      </c>
      <c r="L270" s="7" t="s">
        <v>2305</v>
      </c>
      <c r="M270" s="7" t="s">
        <v>2306</v>
      </c>
      <c r="N270" s="8">
        <v>2.0</v>
      </c>
      <c r="O270" s="8" t="s">
        <v>66</v>
      </c>
      <c r="P270" s="8" t="s">
        <v>86</v>
      </c>
      <c r="Q270" s="8" t="s">
        <v>68</v>
      </c>
      <c r="R270" s="7" t="s">
        <v>2316</v>
      </c>
      <c r="S270" s="8" t="s">
        <v>89</v>
      </c>
      <c r="T270" s="8" t="s">
        <v>71</v>
      </c>
      <c r="U270" s="7" t="s">
        <v>918</v>
      </c>
      <c r="V270" s="7" t="s">
        <v>919</v>
      </c>
      <c r="W270" s="7" t="s">
        <v>2318</v>
      </c>
    </row>
    <row r="271" ht="15.0" customHeight="1">
      <c r="A271" s="7" t="s">
        <v>2301</v>
      </c>
      <c r="B271" s="8" t="s">
        <v>2319</v>
      </c>
      <c r="C271" s="8" t="s">
        <v>2320</v>
      </c>
      <c r="D271" s="7" t="s">
        <v>2321</v>
      </c>
      <c r="E271" s="28" t="s">
        <v>1391</v>
      </c>
      <c r="F271" s="28" t="s">
        <v>1392</v>
      </c>
      <c r="G271" s="7" t="str">
        <f t="shared" si="1"/>
        <v>Bajar el pantógrafo en un máximo de _____ s</v>
      </c>
      <c r="H271" s="7" t="s">
        <v>79</v>
      </c>
      <c r="I271" s="8" t="s">
        <v>2303</v>
      </c>
      <c r="J271" s="7"/>
      <c r="K271" s="7" t="s">
        <v>2324</v>
      </c>
      <c r="L271" s="7" t="s">
        <v>2305</v>
      </c>
      <c r="M271" s="7" t="s">
        <v>2306</v>
      </c>
      <c r="N271" s="8">
        <v>2.0</v>
      </c>
      <c r="O271" s="8" t="s">
        <v>187</v>
      </c>
      <c r="P271" s="8" t="s">
        <v>86</v>
      </c>
      <c r="Q271" s="8" t="s">
        <v>87</v>
      </c>
      <c r="R271" s="7" t="s">
        <v>2326</v>
      </c>
      <c r="S271" s="8" t="s">
        <v>111</v>
      </c>
      <c r="T271" s="8" t="s">
        <v>71</v>
      </c>
      <c r="U271" s="28" t="s">
        <v>918</v>
      </c>
      <c r="V271" s="28" t="s">
        <v>919</v>
      </c>
      <c r="W271" s="28" t="s">
        <v>2327</v>
      </c>
    </row>
    <row r="272" ht="15.0" customHeight="1">
      <c r="A272" s="7" t="s">
        <v>2328</v>
      </c>
      <c r="B272" s="8" t="s">
        <v>2329</v>
      </c>
      <c r="C272" s="8" t="s">
        <v>555</v>
      </c>
      <c r="D272" s="7" t="s">
        <v>2330</v>
      </c>
      <c r="E272" s="28" t="s">
        <v>2331</v>
      </c>
      <c r="F272" s="28" t="s">
        <v>155</v>
      </c>
      <c r="G272" s="7" t="str">
        <f t="shared" si="1"/>
        <v>Distribuir el aire auxiliar a presión de _____ bar</v>
      </c>
      <c r="H272" s="7" t="s">
        <v>61</v>
      </c>
      <c r="I272" s="8" t="s">
        <v>2332</v>
      </c>
      <c r="J272" s="7"/>
      <c r="K272" s="7" t="s">
        <v>2334</v>
      </c>
      <c r="L272" s="7" t="s">
        <v>2335</v>
      </c>
      <c r="M272" s="7" t="s">
        <v>2336</v>
      </c>
      <c r="N272" s="8">
        <v>2.0</v>
      </c>
      <c r="O272" s="8" t="s">
        <v>66</v>
      </c>
      <c r="P272" s="8" t="s">
        <v>67</v>
      </c>
      <c r="Q272" s="8" t="s">
        <v>68</v>
      </c>
      <c r="R272" s="7" t="s">
        <v>2337</v>
      </c>
      <c r="S272" s="8" t="s">
        <v>111</v>
      </c>
      <c r="T272" s="8" t="s">
        <v>2338</v>
      </c>
      <c r="U272" s="28" t="s">
        <v>2339</v>
      </c>
      <c r="V272" s="28" t="s">
        <v>904</v>
      </c>
      <c r="W272" s="28" t="s">
        <v>2340</v>
      </c>
    </row>
    <row r="273" ht="23.25" customHeight="1">
      <c r="A273" s="7" t="s">
        <v>2341</v>
      </c>
      <c r="B273" s="8" t="s">
        <v>2342</v>
      </c>
      <c r="C273" s="8" t="s">
        <v>1704</v>
      </c>
      <c r="D273" s="7" t="s">
        <v>2343</v>
      </c>
      <c r="E273" s="28" t="s">
        <v>2073</v>
      </c>
      <c r="F273" s="28" t="s">
        <v>351</v>
      </c>
      <c r="G273" s="7" t="str">
        <f t="shared" si="1"/>
        <v>Disipar la energía de frenado con potencia de _____ kW</v>
      </c>
      <c r="H273" s="7" t="s">
        <v>79</v>
      </c>
      <c r="I273" s="8" t="s">
        <v>2344</v>
      </c>
      <c r="J273" s="7"/>
      <c r="K273" s="7" t="s">
        <v>2345</v>
      </c>
      <c r="L273" s="7" t="s">
        <v>2346</v>
      </c>
      <c r="M273" s="7" t="s">
        <v>2347</v>
      </c>
      <c r="N273" s="8">
        <v>6.0</v>
      </c>
      <c r="O273" s="8" t="s">
        <v>66</v>
      </c>
      <c r="P273" s="8" t="s">
        <v>67</v>
      </c>
      <c r="Q273" s="8" t="s">
        <v>87</v>
      </c>
      <c r="R273" s="7" t="s">
        <v>2348</v>
      </c>
      <c r="S273" s="8" t="s">
        <v>111</v>
      </c>
      <c r="T273" s="8" t="s">
        <v>2349</v>
      </c>
      <c r="U273" s="28" t="s">
        <v>2350</v>
      </c>
      <c r="V273" s="28" t="s">
        <v>904</v>
      </c>
      <c r="W273" s="28" t="s">
        <v>2352</v>
      </c>
    </row>
    <row r="274" ht="15.0" customHeight="1">
      <c r="A274" s="7" t="s">
        <v>2354</v>
      </c>
      <c r="B274" s="8" t="s">
        <v>2355</v>
      </c>
      <c r="C274" s="8" t="s">
        <v>335</v>
      </c>
      <c r="D274" s="7" t="s">
        <v>2356</v>
      </c>
      <c r="E274" s="7" t="s">
        <v>2357</v>
      </c>
      <c r="F274" s="7" t="s">
        <v>146</v>
      </c>
      <c r="G274" s="7" t="str">
        <f t="shared" si="1"/>
        <v>Transmitir el par al eje de 5.104 N·m</v>
      </c>
      <c r="H274" s="7" t="s">
        <v>61</v>
      </c>
      <c r="I274" s="8" t="s">
        <v>2358</v>
      </c>
      <c r="J274" s="7" t="s">
        <v>2359</v>
      </c>
      <c r="K274" s="7" t="s">
        <v>2360</v>
      </c>
      <c r="L274" s="7" t="s">
        <v>2361</v>
      </c>
      <c r="M274" s="7" t="s">
        <v>2362</v>
      </c>
      <c r="N274" s="8">
        <v>2.0</v>
      </c>
      <c r="O274" s="8" t="s">
        <v>66</v>
      </c>
      <c r="P274" s="8" t="s">
        <v>67</v>
      </c>
      <c r="Q274" s="8" t="s">
        <v>68</v>
      </c>
      <c r="R274" s="7" t="s">
        <v>2363</v>
      </c>
      <c r="S274" s="8" t="s">
        <v>726</v>
      </c>
      <c r="T274" s="8" t="s">
        <v>2364</v>
      </c>
      <c r="U274" s="7" t="s">
        <v>2365</v>
      </c>
      <c r="V274" s="7" t="s">
        <v>904</v>
      </c>
      <c r="W274" s="7" t="s">
        <v>2366</v>
      </c>
    </row>
    <row r="275" ht="15.0" customHeight="1">
      <c r="A275" s="7" t="s">
        <v>2367</v>
      </c>
      <c r="B275" s="8" t="s">
        <v>2368</v>
      </c>
      <c r="C275" s="8" t="s">
        <v>555</v>
      </c>
      <c r="D275" s="7" t="s">
        <v>2369</v>
      </c>
      <c r="E275" s="28" t="s">
        <v>705</v>
      </c>
      <c r="F275" s="28" t="s">
        <v>959</v>
      </c>
      <c r="G275" s="7" t="str">
        <f t="shared" si="1"/>
        <v>Distribuir la carga entre ejes hasta _____ t</v>
      </c>
      <c r="H275" s="7" t="s">
        <v>79</v>
      </c>
      <c r="I275" s="8" t="s">
        <v>2370</v>
      </c>
      <c r="J275" s="7"/>
      <c r="K275" s="7" t="s">
        <v>2371</v>
      </c>
      <c r="L275" s="7" t="s">
        <v>2367</v>
      </c>
      <c r="M275" s="7" t="s">
        <v>2372</v>
      </c>
      <c r="N275" s="8">
        <v>1.0</v>
      </c>
      <c r="O275" s="8" t="s">
        <v>260</v>
      </c>
      <c r="P275" s="8" t="s">
        <v>67</v>
      </c>
      <c r="Q275" s="8" t="s">
        <v>87</v>
      </c>
      <c r="R275" s="7" t="s">
        <v>2373</v>
      </c>
      <c r="S275" s="8" t="s">
        <v>111</v>
      </c>
      <c r="T275" s="8" t="s">
        <v>1957</v>
      </c>
      <c r="U275" s="28" t="s">
        <v>2374</v>
      </c>
      <c r="V275" s="28" t="s">
        <v>904</v>
      </c>
      <c r="W275" s="28" t="s">
        <v>2375</v>
      </c>
    </row>
    <row r="276" ht="23.25" customHeight="1">
      <c r="A276" s="7" t="s">
        <v>2377</v>
      </c>
      <c r="B276" s="8" t="s">
        <v>2378</v>
      </c>
      <c r="C276" s="8" t="s">
        <v>252</v>
      </c>
      <c r="D276" s="7" t="s">
        <v>2379</v>
      </c>
      <c r="E276" s="28" t="s">
        <v>705</v>
      </c>
      <c r="F276" s="28" t="s">
        <v>959</v>
      </c>
      <c r="G276" s="7" t="str">
        <f t="shared" si="1"/>
        <v>Soportar la carga de caja hasta _____ t</v>
      </c>
      <c r="H276" s="7" t="s">
        <v>79</v>
      </c>
      <c r="I276" s="8" t="s">
        <v>2380</v>
      </c>
      <c r="J276" s="7"/>
      <c r="K276" s="7" t="s">
        <v>2381</v>
      </c>
      <c r="L276" s="7" t="s">
        <v>2382</v>
      </c>
      <c r="M276" s="7" t="s">
        <v>2383</v>
      </c>
      <c r="N276" s="8">
        <v>2.0</v>
      </c>
      <c r="O276" s="8" t="s">
        <v>260</v>
      </c>
      <c r="P276" s="8" t="s">
        <v>67</v>
      </c>
      <c r="Q276" s="8" t="s">
        <v>87</v>
      </c>
      <c r="R276" s="7" t="s">
        <v>2385</v>
      </c>
      <c r="S276" s="8" t="s">
        <v>111</v>
      </c>
      <c r="T276" s="8" t="s">
        <v>2387</v>
      </c>
      <c r="U276" s="28" t="s">
        <v>2388</v>
      </c>
      <c r="V276" s="28" t="s">
        <v>904</v>
      </c>
      <c r="W276" s="28" t="s">
        <v>2390</v>
      </c>
    </row>
    <row r="277" ht="15.0" customHeight="1">
      <c r="A277" s="7" t="s">
        <v>2391</v>
      </c>
      <c r="B277" s="8" t="s">
        <v>2392</v>
      </c>
      <c r="C277" s="8" t="s">
        <v>335</v>
      </c>
      <c r="D277" s="7" t="s">
        <v>2393</v>
      </c>
      <c r="E277" s="28" t="s">
        <v>705</v>
      </c>
      <c r="F277" s="28" t="s">
        <v>1010</v>
      </c>
      <c r="G277" s="7" t="str">
        <f t="shared" si="1"/>
        <v>Transmitir el esfuerzo de tracción hasta _____ kN</v>
      </c>
      <c r="H277" s="7" t="s">
        <v>61</v>
      </c>
      <c r="I277" s="8" t="s">
        <v>2394</v>
      </c>
      <c r="J277" s="7"/>
      <c r="K277" s="7" t="s">
        <v>2395</v>
      </c>
      <c r="L277" s="7" t="s">
        <v>2391</v>
      </c>
      <c r="M277" s="7" t="s">
        <v>2396</v>
      </c>
      <c r="N277" s="8">
        <v>1.0</v>
      </c>
      <c r="O277" s="8" t="s">
        <v>66</v>
      </c>
      <c r="P277" s="8" t="s">
        <v>67</v>
      </c>
      <c r="Q277" s="8" t="s">
        <v>68</v>
      </c>
      <c r="R277" s="7" t="s">
        <v>2397</v>
      </c>
      <c r="S277" s="8" t="s">
        <v>111</v>
      </c>
      <c r="T277" s="8" t="s">
        <v>71</v>
      </c>
      <c r="U277" s="28" t="s">
        <v>2398</v>
      </c>
      <c r="V277" s="28" t="s">
        <v>904</v>
      </c>
      <c r="W277" s="28" t="s">
        <v>2399</v>
      </c>
    </row>
    <row r="278" ht="15.0" customHeight="1">
      <c r="A278" s="7" t="s">
        <v>2400</v>
      </c>
      <c r="B278" s="8" t="s">
        <v>2401</v>
      </c>
      <c r="C278" s="8" t="s">
        <v>252</v>
      </c>
      <c r="D278" s="7" t="s">
        <v>958</v>
      </c>
      <c r="E278" s="28" t="s">
        <v>705</v>
      </c>
      <c r="F278" s="28" t="s">
        <v>959</v>
      </c>
      <c r="G278" s="7" t="str">
        <f t="shared" si="1"/>
        <v>Soportar la carga por eje hasta _____ t</v>
      </c>
      <c r="H278" s="7" t="s">
        <v>79</v>
      </c>
      <c r="I278" s="8" t="s">
        <v>2402</v>
      </c>
      <c r="J278" s="7"/>
      <c r="K278" s="7" t="s">
        <v>2403</v>
      </c>
      <c r="L278" s="7" t="s">
        <v>2404</v>
      </c>
      <c r="M278" s="7" t="s">
        <v>2405</v>
      </c>
      <c r="N278" s="8">
        <v>2.0</v>
      </c>
      <c r="O278" s="8" t="s">
        <v>260</v>
      </c>
      <c r="P278" s="8" t="s">
        <v>67</v>
      </c>
      <c r="Q278" s="8" t="s">
        <v>87</v>
      </c>
      <c r="R278" s="7" t="s">
        <v>2124</v>
      </c>
      <c r="S278" s="8" t="s">
        <v>111</v>
      </c>
      <c r="T278" s="8" t="s">
        <v>2406</v>
      </c>
      <c r="U278" s="28" t="s">
        <v>1447</v>
      </c>
      <c r="V278" s="28" t="s">
        <v>919</v>
      </c>
      <c r="W278" s="28" t="s">
        <v>967</v>
      </c>
    </row>
    <row r="279" ht="23.25" customHeight="1">
      <c r="A279" s="7" t="s">
        <v>2400</v>
      </c>
      <c r="B279" s="8" t="s">
        <v>2407</v>
      </c>
      <c r="C279" s="8" t="s">
        <v>2129</v>
      </c>
      <c r="D279" s="7" t="s">
        <v>2130</v>
      </c>
      <c r="E279" s="7" t="s">
        <v>2131</v>
      </c>
      <c r="F279" s="7" t="s">
        <v>268</v>
      </c>
      <c r="G279" s="7" t="str">
        <f t="shared" si="1"/>
        <v>Conservar el diámetro de rueda mínimo de 800 mm</v>
      </c>
      <c r="H279" s="7" t="s">
        <v>79</v>
      </c>
      <c r="I279" s="8" t="s">
        <v>2402</v>
      </c>
      <c r="J279" s="7" t="s">
        <v>2132</v>
      </c>
      <c r="K279" s="7" t="s">
        <v>2409</v>
      </c>
      <c r="L279" s="7" t="s">
        <v>2404</v>
      </c>
      <c r="M279" s="7" t="s">
        <v>2405</v>
      </c>
      <c r="N279" s="8">
        <v>2.0</v>
      </c>
      <c r="O279" s="8" t="s">
        <v>66</v>
      </c>
      <c r="P279" s="8" t="s">
        <v>67</v>
      </c>
      <c r="Q279" s="8" t="s">
        <v>68</v>
      </c>
      <c r="R279" s="7" t="s">
        <v>2134</v>
      </c>
      <c r="S279" s="8" t="s">
        <v>70</v>
      </c>
      <c r="T279" s="8" t="s">
        <v>71</v>
      </c>
      <c r="U279" s="7" t="s">
        <v>1447</v>
      </c>
      <c r="V279" s="7" t="s">
        <v>919</v>
      </c>
      <c r="W279" s="7" t="s">
        <v>2135</v>
      </c>
    </row>
    <row r="280" ht="15.0" customHeight="1">
      <c r="A280" s="7" t="s">
        <v>2400</v>
      </c>
      <c r="B280" s="8" t="s">
        <v>2411</v>
      </c>
      <c r="C280" s="8" t="s">
        <v>978</v>
      </c>
      <c r="D280" s="7" t="s">
        <v>979</v>
      </c>
      <c r="E280" s="7" t="s">
        <v>2137</v>
      </c>
      <c r="F280" s="7" t="s">
        <v>268</v>
      </c>
      <c r="G280" s="7" t="str">
        <f t="shared" si="1"/>
        <v>Guiar el eje con pestaña de 25 a 33 mm</v>
      </c>
      <c r="H280" s="7" t="s">
        <v>79</v>
      </c>
      <c r="I280" s="8" t="s">
        <v>2402</v>
      </c>
      <c r="J280" s="7" t="s">
        <v>269</v>
      </c>
      <c r="K280" s="7" t="s">
        <v>2412</v>
      </c>
      <c r="L280" s="7" t="s">
        <v>2404</v>
      </c>
      <c r="M280" s="7" t="s">
        <v>2405</v>
      </c>
      <c r="N280" s="8">
        <v>2.0</v>
      </c>
      <c r="O280" s="8" t="s">
        <v>85</v>
      </c>
      <c r="P280" s="8" t="s">
        <v>67</v>
      </c>
      <c r="Q280" s="8" t="s">
        <v>87</v>
      </c>
      <c r="R280" s="7" t="s">
        <v>2139</v>
      </c>
      <c r="S280" s="8" t="s">
        <v>89</v>
      </c>
      <c r="T280" s="8" t="s">
        <v>71</v>
      </c>
      <c r="U280" s="7" t="s">
        <v>1447</v>
      </c>
      <c r="V280" s="7" t="s">
        <v>919</v>
      </c>
      <c r="W280" s="7" t="s">
        <v>2140</v>
      </c>
    </row>
    <row r="281" ht="15.0" customHeight="1">
      <c r="A281" s="7" t="s">
        <v>2400</v>
      </c>
      <c r="B281" s="8" t="s">
        <v>2414</v>
      </c>
      <c r="C281" s="8" t="s">
        <v>265</v>
      </c>
      <c r="D281" s="7" t="s">
        <v>266</v>
      </c>
      <c r="E281" s="7" t="s">
        <v>267</v>
      </c>
      <c r="F281" s="7" t="s">
        <v>268</v>
      </c>
      <c r="G281" s="7" t="str">
        <f t="shared" si="1"/>
        <v>Impedir el remonte de pestaña con cota qR ≥ 6,5 mm</v>
      </c>
      <c r="H281" s="7" t="s">
        <v>79</v>
      </c>
      <c r="I281" s="8" t="s">
        <v>2402</v>
      </c>
      <c r="J281" s="7" t="s">
        <v>269</v>
      </c>
      <c r="K281" s="7" t="s">
        <v>2416</v>
      </c>
      <c r="L281" s="7" t="s">
        <v>2404</v>
      </c>
      <c r="M281" s="7" t="s">
        <v>2405</v>
      </c>
      <c r="N281" s="8">
        <v>2.0</v>
      </c>
      <c r="O281" s="8" t="s">
        <v>85</v>
      </c>
      <c r="P281" s="8" t="s">
        <v>86</v>
      </c>
      <c r="Q281" s="8" t="s">
        <v>87</v>
      </c>
      <c r="R281" s="7" t="s">
        <v>271</v>
      </c>
      <c r="S281" s="8" t="s">
        <v>89</v>
      </c>
      <c r="T281" s="8" t="s">
        <v>71</v>
      </c>
      <c r="U281" s="7" t="s">
        <v>1447</v>
      </c>
      <c r="V281" s="7" t="s">
        <v>919</v>
      </c>
      <c r="W281" s="7" t="s">
        <v>972</v>
      </c>
    </row>
    <row r="282" ht="15.0" customHeight="1">
      <c r="A282" s="7" t="s">
        <v>2400</v>
      </c>
      <c r="B282" s="8" t="s">
        <v>2417</v>
      </c>
      <c r="C282" s="8" t="s">
        <v>409</v>
      </c>
      <c r="D282" s="7" t="s">
        <v>2143</v>
      </c>
      <c r="E282" s="7" t="s">
        <v>2144</v>
      </c>
      <c r="F282" s="7" t="s">
        <v>268</v>
      </c>
      <c r="G282" s="7" t="str">
        <f t="shared" si="1"/>
        <v>Limitar la altura de pestaña de 27,5 a 36 mm</v>
      </c>
      <c r="H282" s="7" t="s">
        <v>79</v>
      </c>
      <c r="I282" s="8" t="s">
        <v>2402</v>
      </c>
      <c r="J282" s="7" t="s">
        <v>269</v>
      </c>
      <c r="K282" s="7" t="s">
        <v>2420</v>
      </c>
      <c r="L282" s="7" t="s">
        <v>2404</v>
      </c>
      <c r="M282" s="7" t="s">
        <v>2405</v>
      </c>
      <c r="N282" s="8">
        <v>2.0</v>
      </c>
      <c r="O282" s="8" t="s">
        <v>85</v>
      </c>
      <c r="P282" s="8" t="s">
        <v>86</v>
      </c>
      <c r="Q282" s="8" t="s">
        <v>87</v>
      </c>
      <c r="R282" s="7" t="s">
        <v>271</v>
      </c>
      <c r="S282" s="8" t="s">
        <v>89</v>
      </c>
      <c r="T282" s="8" t="s">
        <v>71</v>
      </c>
      <c r="U282" s="7" t="s">
        <v>1447</v>
      </c>
      <c r="V282" s="7" t="s">
        <v>919</v>
      </c>
      <c r="W282" s="7" t="s">
        <v>2147</v>
      </c>
    </row>
    <row r="283" ht="23.25" customHeight="1">
      <c r="A283" s="7" t="s">
        <v>2400</v>
      </c>
      <c r="B283" s="8" t="s">
        <v>2421</v>
      </c>
      <c r="C283" s="8" t="s">
        <v>152</v>
      </c>
      <c r="D283" s="7" t="s">
        <v>480</v>
      </c>
      <c r="E283" s="7" t="s">
        <v>2150</v>
      </c>
      <c r="F283" s="7" t="s">
        <v>268</v>
      </c>
      <c r="G283" s="7" t="str">
        <f t="shared" si="1"/>
        <v>Mantener la distancia entre ruedas de 1.358 a 1.363 mm</v>
      </c>
      <c r="H283" s="7" t="s">
        <v>79</v>
      </c>
      <c r="I283" s="8" t="s">
        <v>2402</v>
      </c>
      <c r="J283" s="7" t="s">
        <v>269</v>
      </c>
      <c r="K283" s="7" t="s">
        <v>2422</v>
      </c>
      <c r="L283" s="7" t="s">
        <v>2404</v>
      </c>
      <c r="M283" s="7" t="s">
        <v>2405</v>
      </c>
      <c r="N283" s="8">
        <v>2.0</v>
      </c>
      <c r="O283" s="8" t="s">
        <v>85</v>
      </c>
      <c r="P283" s="8" t="s">
        <v>86</v>
      </c>
      <c r="Q283" s="8" t="s">
        <v>87</v>
      </c>
      <c r="R283" s="7" t="s">
        <v>2152</v>
      </c>
      <c r="S283" s="8" t="s">
        <v>89</v>
      </c>
      <c r="T283" s="8" t="s">
        <v>71</v>
      </c>
      <c r="U283" s="7" t="s">
        <v>1447</v>
      </c>
      <c r="V283" s="7" t="s">
        <v>919</v>
      </c>
      <c r="W283" s="7" t="s">
        <v>2155</v>
      </c>
    </row>
    <row r="284" ht="23.25" customHeight="1">
      <c r="A284" s="7" t="s">
        <v>2400</v>
      </c>
      <c r="B284" s="8" t="s">
        <v>2423</v>
      </c>
      <c r="C284" s="8" t="s">
        <v>152</v>
      </c>
      <c r="D284" s="7" t="s">
        <v>2157</v>
      </c>
      <c r="E284" s="7" t="s">
        <v>2158</v>
      </c>
      <c r="F284" s="7" t="s">
        <v>268</v>
      </c>
      <c r="G284" s="7" t="str">
        <f t="shared" si="1"/>
        <v>Mantener el ancho de llanta de 133 a 145 mm</v>
      </c>
      <c r="H284" s="7" t="s">
        <v>79</v>
      </c>
      <c r="I284" s="8" t="s">
        <v>2402</v>
      </c>
      <c r="J284" s="7" t="s">
        <v>269</v>
      </c>
      <c r="K284" s="7" t="s">
        <v>2420</v>
      </c>
      <c r="L284" s="7" t="s">
        <v>2404</v>
      </c>
      <c r="M284" s="7" t="s">
        <v>2405</v>
      </c>
      <c r="N284" s="8">
        <v>2.0</v>
      </c>
      <c r="O284" s="8" t="s">
        <v>260</v>
      </c>
      <c r="P284" s="8" t="s">
        <v>86</v>
      </c>
      <c r="Q284" s="8" t="s">
        <v>87</v>
      </c>
      <c r="R284" s="7" t="s">
        <v>485</v>
      </c>
      <c r="S284" s="8" t="s">
        <v>89</v>
      </c>
      <c r="T284" s="8" t="s">
        <v>71</v>
      </c>
      <c r="U284" s="7" t="s">
        <v>1447</v>
      </c>
      <c r="V284" s="7" t="s">
        <v>919</v>
      </c>
      <c r="W284" s="7" t="s">
        <v>2160</v>
      </c>
    </row>
    <row r="285" ht="23.25" customHeight="1">
      <c r="A285" s="7" t="s">
        <v>2400</v>
      </c>
      <c r="B285" s="8" t="s">
        <v>2425</v>
      </c>
      <c r="C285" s="8" t="s">
        <v>421</v>
      </c>
      <c r="D285" s="7" t="s">
        <v>2162</v>
      </c>
      <c r="E285" s="7" t="s">
        <v>2163</v>
      </c>
      <c r="F285" s="7" t="s">
        <v>268</v>
      </c>
      <c r="G285" s="7" t="str">
        <f t="shared" si="1"/>
        <v>Igualar el diámetro de ruedas con diferencia máxima de 0,1 mm</v>
      </c>
      <c r="H285" s="7" t="s">
        <v>171</v>
      </c>
      <c r="I285" s="8" t="s">
        <v>2402</v>
      </c>
      <c r="J285" s="7" t="s">
        <v>414</v>
      </c>
      <c r="K285" s="7" t="s">
        <v>2427</v>
      </c>
      <c r="L285" s="7" t="s">
        <v>2404</v>
      </c>
      <c r="M285" s="7" t="s">
        <v>2405</v>
      </c>
      <c r="N285" s="8">
        <v>2.0</v>
      </c>
      <c r="O285" s="8" t="s">
        <v>66</v>
      </c>
      <c r="P285" s="8" t="s">
        <v>86</v>
      </c>
      <c r="Q285" s="8" t="s">
        <v>87</v>
      </c>
      <c r="R285" s="7" t="s">
        <v>2168</v>
      </c>
      <c r="S285" s="8" t="s">
        <v>111</v>
      </c>
      <c r="T285" s="8" t="s">
        <v>71</v>
      </c>
      <c r="U285" s="7" t="s">
        <v>1447</v>
      </c>
      <c r="V285" s="7" t="s">
        <v>919</v>
      </c>
      <c r="W285" s="7" t="s">
        <v>2169</v>
      </c>
    </row>
    <row r="286" ht="23.25" customHeight="1">
      <c r="A286" s="7" t="s">
        <v>2428</v>
      </c>
      <c r="B286" s="8" t="s">
        <v>2429</v>
      </c>
      <c r="C286" s="8" t="s">
        <v>611</v>
      </c>
      <c r="D286" s="7" t="s">
        <v>2430</v>
      </c>
      <c r="E286" s="7" t="s">
        <v>76</v>
      </c>
      <c r="F286" s="7" t="s">
        <v>613</v>
      </c>
      <c r="G286" s="7" t="str">
        <f t="shared" si="1"/>
        <v>Sellar la caja del coche con 0 filtraciones en prueba de agua</v>
      </c>
      <c r="H286" s="7" t="s">
        <v>61</v>
      </c>
      <c r="I286" s="8" t="s">
        <v>2431</v>
      </c>
      <c r="J286" s="7" t="s">
        <v>2432</v>
      </c>
      <c r="K286" s="7"/>
      <c r="L286" s="7" t="s">
        <v>2433</v>
      </c>
      <c r="M286" s="7" t="s">
        <v>2434</v>
      </c>
      <c r="N286" s="8">
        <v>8.0</v>
      </c>
      <c r="O286" s="8" t="s">
        <v>173</v>
      </c>
      <c r="P286" s="8" t="s">
        <v>86</v>
      </c>
      <c r="Q286" s="8" t="s">
        <v>68</v>
      </c>
      <c r="R286" s="7" t="s">
        <v>2435</v>
      </c>
      <c r="S286" s="8" t="s">
        <v>419</v>
      </c>
      <c r="T286" s="8" t="s">
        <v>71</v>
      </c>
      <c r="U286" s="7" t="s">
        <v>2436</v>
      </c>
      <c r="V286" s="7" t="s">
        <v>904</v>
      </c>
      <c r="W286" s="7" t="s">
        <v>2437</v>
      </c>
    </row>
    <row r="287" ht="15.0" customHeight="1">
      <c r="A287" s="7" t="s">
        <v>2438</v>
      </c>
      <c r="B287" s="8" t="s">
        <v>2439</v>
      </c>
      <c r="C287" s="8" t="s">
        <v>2440</v>
      </c>
      <c r="D287" s="7" t="s">
        <v>2441</v>
      </c>
      <c r="E287" s="28" t="s">
        <v>1731</v>
      </c>
      <c r="F287" s="28" t="s">
        <v>2442</v>
      </c>
      <c r="G287" s="7" t="str">
        <f t="shared" si="1"/>
        <v>Barrer el agua del parabrisas a _____ ciclos/min</v>
      </c>
      <c r="H287" s="7" t="s">
        <v>61</v>
      </c>
      <c r="I287" s="8" t="s">
        <v>2443</v>
      </c>
      <c r="J287" s="7"/>
      <c r="K287" s="7" t="s">
        <v>2444</v>
      </c>
      <c r="L287" s="7" t="s">
        <v>2445</v>
      </c>
      <c r="M287" s="7" t="s">
        <v>2446</v>
      </c>
      <c r="N287" s="8">
        <v>5.0</v>
      </c>
      <c r="O287" s="8" t="s">
        <v>85</v>
      </c>
      <c r="P287" s="8" t="s">
        <v>67</v>
      </c>
      <c r="Q287" s="8" t="s">
        <v>68</v>
      </c>
      <c r="R287" s="7" t="s">
        <v>2449</v>
      </c>
      <c r="S287" s="8" t="s">
        <v>111</v>
      </c>
      <c r="T287" s="8" t="s">
        <v>2450</v>
      </c>
      <c r="U287" s="28" t="s">
        <v>2451</v>
      </c>
      <c r="V287" s="28" t="s">
        <v>904</v>
      </c>
      <c r="W287" s="28" t="s">
        <v>2452</v>
      </c>
    </row>
    <row r="288" ht="15.0" customHeight="1">
      <c r="A288" s="7" t="s">
        <v>2453</v>
      </c>
      <c r="B288" s="8" t="s">
        <v>2454</v>
      </c>
      <c r="C288" s="8" t="s">
        <v>2455</v>
      </c>
      <c r="D288" s="7" t="s">
        <v>2456</v>
      </c>
      <c r="E288" s="28" t="s">
        <v>2457</v>
      </c>
      <c r="F288" s="28" t="s">
        <v>2458</v>
      </c>
      <c r="G288" s="7" t="str">
        <f t="shared" si="1"/>
        <v>Respaldar los circuitos de mando durante un mínimo de _____ min</v>
      </c>
      <c r="H288" s="7" t="s">
        <v>79</v>
      </c>
      <c r="I288" s="8" t="s">
        <v>2459</v>
      </c>
      <c r="J288" s="7"/>
      <c r="K288" s="7" t="s">
        <v>2460</v>
      </c>
      <c r="L288" s="7" t="s">
        <v>2461</v>
      </c>
      <c r="M288" s="7" t="s">
        <v>2462</v>
      </c>
      <c r="N288" s="8">
        <v>3.0</v>
      </c>
      <c r="O288" s="8" t="s">
        <v>85</v>
      </c>
      <c r="P288" s="8" t="s">
        <v>67</v>
      </c>
      <c r="Q288" s="8" t="s">
        <v>87</v>
      </c>
      <c r="R288" s="7" t="s">
        <v>2463</v>
      </c>
      <c r="S288" s="8" t="s">
        <v>111</v>
      </c>
      <c r="T288" s="8" t="s">
        <v>2464</v>
      </c>
      <c r="U288" s="28" t="s">
        <v>2465</v>
      </c>
      <c r="V288" s="28" t="s">
        <v>904</v>
      </c>
      <c r="W288" s="28" t="s">
        <v>2466</v>
      </c>
    </row>
    <row r="289" ht="15.0" customHeight="1">
      <c r="A289" s="7" t="s">
        <v>2453</v>
      </c>
      <c r="B289" s="8" t="s">
        <v>2467</v>
      </c>
      <c r="C289" s="8" t="s">
        <v>300</v>
      </c>
      <c r="D289" s="7" t="s">
        <v>301</v>
      </c>
      <c r="E289" s="28" t="s">
        <v>1569</v>
      </c>
      <c r="F289" s="28" t="s">
        <v>638</v>
      </c>
      <c r="G289" s="7" t="str">
        <f t="shared" si="1"/>
        <v>Almacenar energía eléctrica con capacidad de _____ Ah</v>
      </c>
      <c r="H289" s="7" t="s">
        <v>79</v>
      </c>
      <c r="I289" s="8" t="s">
        <v>2459</v>
      </c>
      <c r="J289" s="7"/>
      <c r="K289" s="7" t="s">
        <v>2468</v>
      </c>
      <c r="L289" s="7" t="s">
        <v>2461</v>
      </c>
      <c r="M289" s="7" t="s">
        <v>2462</v>
      </c>
      <c r="N289" s="8">
        <v>3.0</v>
      </c>
      <c r="O289" s="8" t="s">
        <v>85</v>
      </c>
      <c r="P289" s="8" t="s">
        <v>67</v>
      </c>
      <c r="Q289" s="8" t="s">
        <v>87</v>
      </c>
      <c r="R289" s="7" t="s">
        <v>630</v>
      </c>
      <c r="S289" s="8" t="s">
        <v>111</v>
      </c>
      <c r="T289" s="8" t="s">
        <v>303</v>
      </c>
      <c r="U289" s="28" t="s">
        <v>2465</v>
      </c>
      <c r="V289" s="28" t="s">
        <v>904</v>
      </c>
      <c r="W289" s="28" t="s">
        <v>305</v>
      </c>
    </row>
    <row r="290" ht="23.25" customHeight="1">
      <c r="A290" s="7" t="s">
        <v>2469</v>
      </c>
      <c r="B290" s="8" t="s">
        <v>2470</v>
      </c>
      <c r="C290" s="8" t="s">
        <v>192</v>
      </c>
      <c r="D290" s="7" t="s">
        <v>2472</v>
      </c>
      <c r="E290" s="28" t="s">
        <v>2073</v>
      </c>
      <c r="F290" s="28" t="s">
        <v>429</v>
      </c>
      <c r="G290" s="7" t="str">
        <f t="shared" si="1"/>
        <v>Suministrar la energía auxiliar con potencia de _____ kVA</v>
      </c>
      <c r="H290" s="7" t="s">
        <v>61</v>
      </c>
      <c r="I290" s="8" t="s">
        <v>2474</v>
      </c>
      <c r="J290" s="7"/>
      <c r="K290" s="7" t="s">
        <v>2475</v>
      </c>
      <c r="L290" s="7" t="s">
        <v>2476</v>
      </c>
      <c r="M290" s="7" t="s">
        <v>2477</v>
      </c>
      <c r="N290" s="8">
        <v>4.0</v>
      </c>
      <c r="O290" s="8" t="s">
        <v>66</v>
      </c>
      <c r="P290" s="8" t="s">
        <v>67</v>
      </c>
      <c r="Q290" s="8" t="s">
        <v>68</v>
      </c>
      <c r="R290" s="7" t="s">
        <v>667</v>
      </c>
      <c r="S290" s="8" t="s">
        <v>111</v>
      </c>
      <c r="T290" s="8" t="s">
        <v>2478</v>
      </c>
      <c r="U290" s="28" t="s">
        <v>2479</v>
      </c>
      <c r="V290" s="28" t="s">
        <v>904</v>
      </c>
      <c r="W290" s="28" t="s">
        <v>2480</v>
      </c>
    </row>
    <row r="291" ht="23.25" customHeight="1">
      <c r="A291" s="7" t="s">
        <v>2469</v>
      </c>
      <c r="B291" s="8" t="s">
        <v>2481</v>
      </c>
      <c r="C291" s="8" t="s">
        <v>2482</v>
      </c>
      <c r="D291" s="7" t="s">
        <v>2483</v>
      </c>
      <c r="E291" s="28" t="s">
        <v>2484</v>
      </c>
      <c r="F291" s="28" t="s">
        <v>291</v>
      </c>
      <c r="G291" s="7" t="str">
        <f t="shared" si="1"/>
        <v>Cargar la batería con tensión de carga de _____ V</v>
      </c>
      <c r="H291" s="7" t="s">
        <v>61</v>
      </c>
      <c r="I291" s="8" t="s">
        <v>2474</v>
      </c>
      <c r="J291" s="7"/>
      <c r="K291" s="7" t="s">
        <v>2485</v>
      </c>
      <c r="L291" s="7" t="s">
        <v>2476</v>
      </c>
      <c r="M291" s="7" t="s">
        <v>2477</v>
      </c>
      <c r="N291" s="8">
        <v>4.0</v>
      </c>
      <c r="O291" s="8" t="s">
        <v>66</v>
      </c>
      <c r="P291" s="8" t="s">
        <v>86</v>
      </c>
      <c r="Q291" s="8" t="s">
        <v>68</v>
      </c>
      <c r="R291" s="7" t="s">
        <v>2486</v>
      </c>
      <c r="S291" s="8" t="s">
        <v>111</v>
      </c>
      <c r="T291" s="8" t="s">
        <v>71</v>
      </c>
      <c r="U291" s="28" t="s">
        <v>2479</v>
      </c>
      <c r="V291" s="28" t="s">
        <v>904</v>
      </c>
      <c r="W291" s="28" t="s">
        <v>2487</v>
      </c>
    </row>
    <row r="292" ht="15.0" customHeight="1">
      <c r="A292" s="7" t="s">
        <v>2488</v>
      </c>
      <c r="B292" s="8" t="s">
        <v>2489</v>
      </c>
      <c r="C292" s="8" t="s">
        <v>1008</v>
      </c>
      <c r="D292" s="7" t="s">
        <v>2490</v>
      </c>
      <c r="E292" s="7" t="s">
        <v>2491</v>
      </c>
      <c r="F292" s="7" t="s">
        <v>1010</v>
      </c>
      <c r="G292" s="7" t="str">
        <f t="shared" si="1"/>
        <v>Acoplar las unidades con tracción de 850 kN</v>
      </c>
      <c r="H292" s="7" t="s">
        <v>61</v>
      </c>
      <c r="I292" s="8" t="s">
        <v>2493</v>
      </c>
      <c r="J292" s="7" t="s">
        <v>2494</v>
      </c>
      <c r="K292" s="7" t="s">
        <v>2496</v>
      </c>
      <c r="L292" s="7" t="s">
        <v>2497</v>
      </c>
      <c r="M292" s="7" t="s">
        <v>2499</v>
      </c>
      <c r="N292" s="8">
        <v>3.0</v>
      </c>
      <c r="O292" s="8" t="s">
        <v>1015</v>
      </c>
      <c r="P292" s="8" t="s">
        <v>67</v>
      </c>
      <c r="Q292" s="8" t="s">
        <v>68</v>
      </c>
      <c r="R292" s="7" t="s">
        <v>2500</v>
      </c>
      <c r="S292" s="8" t="s">
        <v>419</v>
      </c>
      <c r="T292" s="8" t="s">
        <v>2501</v>
      </c>
      <c r="U292" s="7" t="s">
        <v>1019</v>
      </c>
      <c r="V292" s="7" t="s">
        <v>919</v>
      </c>
      <c r="W292" s="7" t="s">
        <v>2502</v>
      </c>
    </row>
    <row r="293" ht="23.25" customHeight="1">
      <c r="A293" s="7" t="s">
        <v>2488</v>
      </c>
      <c r="B293" s="8" t="s">
        <v>2503</v>
      </c>
      <c r="C293" s="8" t="s">
        <v>2504</v>
      </c>
      <c r="D293" s="7" t="s">
        <v>2505</v>
      </c>
      <c r="E293" s="28" t="s">
        <v>2506</v>
      </c>
      <c r="F293" s="28" t="s">
        <v>2507</v>
      </c>
      <c r="G293" s="7" t="str">
        <f t="shared" si="1"/>
        <v>Amortiguar los choques con energía de _____ kJ</v>
      </c>
      <c r="H293" s="7" t="s">
        <v>171</v>
      </c>
      <c r="I293" s="8" t="s">
        <v>2493</v>
      </c>
      <c r="J293" s="7"/>
      <c r="K293" s="7" t="s">
        <v>2508</v>
      </c>
      <c r="L293" s="7" t="s">
        <v>2497</v>
      </c>
      <c r="M293" s="7" t="s">
        <v>2499</v>
      </c>
      <c r="N293" s="8">
        <v>3.0</v>
      </c>
      <c r="O293" s="8" t="s">
        <v>187</v>
      </c>
      <c r="P293" s="8" t="s">
        <v>86</v>
      </c>
      <c r="Q293" s="8" t="s">
        <v>87</v>
      </c>
      <c r="R293" s="7" t="s">
        <v>2509</v>
      </c>
      <c r="S293" s="8" t="s">
        <v>111</v>
      </c>
      <c r="T293" s="8" t="s">
        <v>71</v>
      </c>
      <c r="U293" s="28" t="s">
        <v>1019</v>
      </c>
      <c r="V293" s="28" t="s">
        <v>919</v>
      </c>
      <c r="W293" s="28" t="s">
        <v>2510</v>
      </c>
    </row>
    <row r="294" ht="15.0" customHeight="1">
      <c r="A294" s="7" t="s">
        <v>2511</v>
      </c>
      <c r="B294" s="8" t="s">
        <v>2512</v>
      </c>
      <c r="C294" s="8" t="s">
        <v>2504</v>
      </c>
      <c r="D294" s="7" t="s">
        <v>2505</v>
      </c>
      <c r="E294" s="28" t="s">
        <v>2506</v>
      </c>
      <c r="F294" s="28" t="s">
        <v>2507</v>
      </c>
      <c r="G294" s="7" t="str">
        <f t="shared" si="1"/>
        <v>Amortiguar los choques con energía de _____ kJ</v>
      </c>
      <c r="H294" s="7" t="s">
        <v>61</v>
      </c>
      <c r="I294" s="8" t="s">
        <v>2513</v>
      </c>
      <c r="J294" s="7"/>
      <c r="K294" s="7" t="s">
        <v>2514</v>
      </c>
      <c r="L294" s="7" t="s">
        <v>2511</v>
      </c>
      <c r="M294" s="7" t="s">
        <v>2515</v>
      </c>
      <c r="N294" s="8">
        <v>1.0</v>
      </c>
      <c r="O294" s="8" t="s">
        <v>187</v>
      </c>
      <c r="P294" s="8" t="s">
        <v>86</v>
      </c>
      <c r="Q294" s="8" t="s">
        <v>87</v>
      </c>
      <c r="R294" s="7" t="s">
        <v>2516</v>
      </c>
      <c r="S294" s="8" t="s">
        <v>111</v>
      </c>
      <c r="T294" s="8" t="s">
        <v>2518</v>
      </c>
      <c r="U294" s="28" t="s">
        <v>2519</v>
      </c>
      <c r="V294" s="28" t="s">
        <v>919</v>
      </c>
      <c r="W294" s="28" t="s">
        <v>2510</v>
      </c>
    </row>
    <row r="295" ht="23.25" customHeight="1">
      <c r="A295" s="7" t="s">
        <v>2511</v>
      </c>
      <c r="B295" s="8" t="s">
        <v>2522</v>
      </c>
      <c r="C295" s="8" t="s">
        <v>2523</v>
      </c>
      <c r="D295" s="7" t="s">
        <v>2524</v>
      </c>
      <c r="E295" s="28" t="s">
        <v>2525</v>
      </c>
      <c r="F295" s="28" t="s">
        <v>1010</v>
      </c>
      <c r="G295" s="7" t="str">
        <f t="shared" si="1"/>
        <v>Unir los coches con esfuerzo longitudinal de _____ kN</v>
      </c>
      <c r="H295" s="7" t="s">
        <v>79</v>
      </c>
      <c r="I295" s="8" t="s">
        <v>2513</v>
      </c>
      <c r="J295" s="7"/>
      <c r="K295" s="7" t="s">
        <v>2526</v>
      </c>
      <c r="L295" s="7" t="s">
        <v>2511</v>
      </c>
      <c r="M295" s="7" t="s">
        <v>2515</v>
      </c>
      <c r="N295" s="8">
        <v>1.0</v>
      </c>
      <c r="O295" s="8" t="s">
        <v>1015</v>
      </c>
      <c r="P295" s="8" t="s">
        <v>67</v>
      </c>
      <c r="Q295" s="8" t="s">
        <v>87</v>
      </c>
      <c r="R295" s="7" t="s">
        <v>2527</v>
      </c>
      <c r="S295" s="8" t="s">
        <v>111</v>
      </c>
      <c r="T295" s="8" t="s">
        <v>71</v>
      </c>
      <c r="U295" s="28" t="s">
        <v>2519</v>
      </c>
      <c r="V295" s="28" t="s">
        <v>919</v>
      </c>
      <c r="W295" s="28" t="s">
        <v>2528</v>
      </c>
    </row>
    <row r="296" ht="23.25" customHeight="1">
      <c r="A296" s="7" t="s">
        <v>2529</v>
      </c>
      <c r="B296" s="8" t="s">
        <v>2530</v>
      </c>
      <c r="C296" s="8" t="s">
        <v>2523</v>
      </c>
      <c r="D296" s="7" t="s">
        <v>2524</v>
      </c>
      <c r="E296" s="28" t="s">
        <v>2525</v>
      </c>
      <c r="F296" s="28" t="s">
        <v>1010</v>
      </c>
      <c r="G296" s="7" t="str">
        <f t="shared" si="1"/>
        <v>Unir los coches con esfuerzo longitudinal de _____ kN</v>
      </c>
      <c r="H296" s="7" t="s">
        <v>79</v>
      </c>
      <c r="I296" s="8" t="s">
        <v>2531</v>
      </c>
      <c r="J296" s="7"/>
      <c r="K296" s="7" t="s">
        <v>2526</v>
      </c>
      <c r="L296" s="7" t="s">
        <v>2532</v>
      </c>
      <c r="M296" s="7" t="s">
        <v>2533</v>
      </c>
      <c r="N296" s="8">
        <v>4.0</v>
      </c>
      <c r="O296" s="8" t="s">
        <v>1015</v>
      </c>
      <c r="P296" s="8" t="s">
        <v>67</v>
      </c>
      <c r="Q296" s="8" t="s">
        <v>87</v>
      </c>
      <c r="R296" s="7" t="s">
        <v>2527</v>
      </c>
      <c r="S296" s="8" t="s">
        <v>111</v>
      </c>
      <c r="T296" s="8" t="s">
        <v>2534</v>
      </c>
      <c r="U296" s="28" t="s">
        <v>2519</v>
      </c>
      <c r="V296" s="28" t="s">
        <v>919</v>
      </c>
      <c r="W296" s="28" t="s">
        <v>2528</v>
      </c>
    </row>
    <row r="297" ht="23.25" customHeight="1">
      <c r="A297" s="7" t="s">
        <v>2535</v>
      </c>
      <c r="B297" s="8" t="s">
        <v>2536</v>
      </c>
      <c r="C297" s="8" t="s">
        <v>2537</v>
      </c>
      <c r="D297" s="7" t="s">
        <v>2538</v>
      </c>
      <c r="E297" s="28" t="s">
        <v>1391</v>
      </c>
      <c r="F297" s="28" t="s">
        <v>1392</v>
      </c>
      <c r="G297" s="7" t="str">
        <f t="shared" si="1"/>
        <v>Desacoplar el enganche en un máximo de _____ s</v>
      </c>
      <c r="H297" s="7" t="s">
        <v>61</v>
      </c>
      <c r="I297" s="8" t="s">
        <v>2539</v>
      </c>
      <c r="J297" s="7"/>
      <c r="K297" s="7" t="s">
        <v>2540</v>
      </c>
      <c r="L297" s="7" t="s">
        <v>2541</v>
      </c>
      <c r="M297" s="7" t="s">
        <v>2542</v>
      </c>
      <c r="N297" s="8">
        <v>5.0</v>
      </c>
      <c r="O297" s="8" t="s">
        <v>1215</v>
      </c>
      <c r="P297" s="8" t="s">
        <v>67</v>
      </c>
      <c r="Q297" s="8" t="s">
        <v>68</v>
      </c>
      <c r="R297" s="7" t="s">
        <v>748</v>
      </c>
      <c r="S297" s="8" t="s">
        <v>111</v>
      </c>
      <c r="T297" s="8" t="s">
        <v>2545</v>
      </c>
      <c r="U297" s="28" t="s">
        <v>2546</v>
      </c>
      <c r="V297" s="28" t="s">
        <v>904</v>
      </c>
      <c r="W297" s="28" t="s">
        <v>2547</v>
      </c>
    </row>
    <row r="298" ht="23.25" customHeight="1">
      <c r="A298" s="7" t="s">
        <v>2548</v>
      </c>
      <c r="B298" s="8" t="s">
        <v>2549</v>
      </c>
      <c r="C298" s="8" t="s">
        <v>2550</v>
      </c>
      <c r="D298" s="7" t="s">
        <v>2551</v>
      </c>
      <c r="E298" s="7" t="s">
        <v>2552</v>
      </c>
      <c r="F298" s="7" t="s">
        <v>1154</v>
      </c>
      <c r="G298" s="7" t="str">
        <f t="shared" si="1"/>
        <v>Corregir el deslizamiento de ruedas por debajo de 10 %</v>
      </c>
      <c r="H298" s="7" t="s">
        <v>79</v>
      </c>
      <c r="I298" s="8" t="s">
        <v>2553</v>
      </c>
      <c r="J298" s="7" t="s">
        <v>2054</v>
      </c>
      <c r="K298" s="7" t="s">
        <v>2554</v>
      </c>
      <c r="L298" s="7" t="s">
        <v>2555</v>
      </c>
      <c r="M298" s="7" t="s">
        <v>2556</v>
      </c>
      <c r="N298" s="8">
        <v>5.0</v>
      </c>
      <c r="O298" s="8" t="s">
        <v>85</v>
      </c>
      <c r="P298" s="8" t="s">
        <v>67</v>
      </c>
      <c r="Q298" s="8" t="s">
        <v>87</v>
      </c>
      <c r="R298" s="7" t="s">
        <v>2557</v>
      </c>
      <c r="S298" s="8" t="s">
        <v>111</v>
      </c>
      <c r="T298" s="8" t="s">
        <v>2558</v>
      </c>
      <c r="U298" s="7" t="s">
        <v>2559</v>
      </c>
      <c r="V298" s="7" t="s">
        <v>904</v>
      </c>
      <c r="W298" s="7" t="s">
        <v>2560</v>
      </c>
    </row>
    <row r="299" ht="23.25" customHeight="1">
      <c r="A299" s="7" t="s">
        <v>2561</v>
      </c>
      <c r="B299" s="8" t="s">
        <v>2562</v>
      </c>
      <c r="C299" s="8" t="s">
        <v>2563</v>
      </c>
      <c r="D299" s="7" t="s">
        <v>2564</v>
      </c>
      <c r="E299" s="28" t="s">
        <v>935</v>
      </c>
      <c r="F299" s="28" t="s">
        <v>1010</v>
      </c>
      <c r="G299" s="7" t="str">
        <f t="shared" si="1"/>
        <v>Ejercer la fuerza de frenado de _____ kN</v>
      </c>
      <c r="H299" s="7" t="s">
        <v>79</v>
      </c>
      <c r="I299" s="8" t="s">
        <v>2565</v>
      </c>
      <c r="J299" s="7"/>
      <c r="K299" s="7" t="s">
        <v>2566</v>
      </c>
      <c r="L299" s="7" t="s">
        <v>2567</v>
      </c>
      <c r="M299" s="7" t="s">
        <v>2568</v>
      </c>
      <c r="N299" s="8">
        <v>25.0</v>
      </c>
      <c r="O299" s="8" t="s">
        <v>85</v>
      </c>
      <c r="P299" s="8" t="s">
        <v>67</v>
      </c>
      <c r="Q299" s="8" t="s">
        <v>68</v>
      </c>
      <c r="R299" s="7" t="s">
        <v>2569</v>
      </c>
      <c r="S299" s="8" t="s">
        <v>111</v>
      </c>
      <c r="T299" s="8" t="s">
        <v>2570</v>
      </c>
      <c r="U299" s="28" t="s">
        <v>1146</v>
      </c>
      <c r="V299" s="28" t="s">
        <v>904</v>
      </c>
      <c r="W299" s="28" t="s">
        <v>2571</v>
      </c>
    </row>
    <row r="300" ht="23.25" customHeight="1">
      <c r="A300" s="7" t="s">
        <v>2572</v>
      </c>
      <c r="B300" s="8" t="s">
        <v>2573</v>
      </c>
      <c r="C300" s="8" t="s">
        <v>2574</v>
      </c>
      <c r="D300" s="7" t="s">
        <v>2575</v>
      </c>
      <c r="E300" s="7" t="s">
        <v>2577</v>
      </c>
      <c r="F300" s="7" t="s">
        <v>2578</v>
      </c>
      <c r="G300" s="7" t="str">
        <f t="shared" si="1"/>
        <v>Adherir el patín al riel con 76 kN por metro</v>
      </c>
      <c r="H300" s="7" t="s">
        <v>79</v>
      </c>
      <c r="I300" s="8" t="s">
        <v>2580</v>
      </c>
      <c r="J300" s="7" t="s">
        <v>2581</v>
      </c>
      <c r="K300" s="7" t="s">
        <v>2582</v>
      </c>
      <c r="L300" s="7" t="s">
        <v>2583</v>
      </c>
      <c r="M300" s="7" t="s">
        <v>2584</v>
      </c>
      <c r="N300" s="8">
        <v>4.0</v>
      </c>
      <c r="O300" s="8" t="s">
        <v>85</v>
      </c>
      <c r="P300" s="8" t="s">
        <v>67</v>
      </c>
      <c r="Q300" s="8" t="s">
        <v>87</v>
      </c>
      <c r="R300" s="7" t="s">
        <v>2585</v>
      </c>
      <c r="S300" s="8" t="s">
        <v>419</v>
      </c>
      <c r="T300" s="8" t="s">
        <v>2586</v>
      </c>
      <c r="U300" s="7" t="s">
        <v>2587</v>
      </c>
      <c r="V300" s="7" t="s">
        <v>904</v>
      </c>
      <c r="W300" s="7" t="s">
        <v>2588</v>
      </c>
    </row>
    <row r="301" ht="15.0" customHeight="1">
      <c r="A301" s="7" t="s">
        <v>2589</v>
      </c>
      <c r="B301" s="8" t="s">
        <v>2590</v>
      </c>
      <c r="C301" s="8" t="s">
        <v>2591</v>
      </c>
      <c r="D301" s="7" t="s">
        <v>2592</v>
      </c>
      <c r="E301" s="7" t="s">
        <v>2593</v>
      </c>
      <c r="F301" s="7" t="s">
        <v>2594</v>
      </c>
      <c r="G301" s="7" t="str">
        <f t="shared" si="1"/>
        <v>Iluminar el salón con un mínimo de 150 lux</v>
      </c>
      <c r="H301" s="7" t="s">
        <v>79</v>
      </c>
      <c r="I301" s="8" t="s">
        <v>2595</v>
      </c>
      <c r="J301" s="7" t="s">
        <v>2596</v>
      </c>
      <c r="K301" s="7" t="s">
        <v>2597</v>
      </c>
      <c r="L301" s="7" t="s">
        <v>2598</v>
      </c>
      <c r="M301" s="7" t="s">
        <v>2599</v>
      </c>
      <c r="N301" s="8">
        <v>4.0</v>
      </c>
      <c r="O301" s="8" t="s">
        <v>66</v>
      </c>
      <c r="P301" s="8" t="s">
        <v>67</v>
      </c>
      <c r="Q301" s="8" t="s">
        <v>68</v>
      </c>
      <c r="R301" s="7" t="s">
        <v>2600</v>
      </c>
      <c r="S301" s="8" t="s">
        <v>89</v>
      </c>
      <c r="T301" s="8" t="s">
        <v>2601</v>
      </c>
      <c r="U301" s="7" t="s">
        <v>2602</v>
      </c>
      <c r="V301" s="7" t="s">
        <v>904</v>
      </c>
      <c r="W301" s="7" t="s">
        <v>2603</v>
      </c>
    </row>
    <row r="302" ht="15.0" customHeight="1">
      <c r="A302" s="7" t="s">
        <v>2589</v>
      </c>
      <c r="B302" s="8" t="s">
        <v>2604</v>
      </c>
      <c r="C302" s="8" t="s">
        <v>2591</v>
      </c>
      <c r="D302" s="7" t="s">
        <v>2605</v>
      </c>
      <c r="E302" s="7" t="s">
        <v>2606</v>
      </c>
      <c r="F302" s="7" t="s">
        <v>2458</v>
      </c>
      <c r="G302" s="7" t="str">
        <f t="shared" si="1"/>
        <v>Iluminar el salón en emergencia durante un mínimo de 90 min</v>
      </c>
      <c r="H302" s="7" t="s">
        <v>79</v>
      </c>
      <c r="I302" s="8" t="s">
        <v>2595</v>
      </c>
      <c r="J302" s="7" t="s">
        <v>2596</v>
      </c>
      <c r="K302" s="7" t="s">
        <v>2610</v>
      </c>
      <c r="L302" s="7" t="s">
        <v>2598</v>
      </c>
      <c r="M302" s="7" t="s">
        <v>2599</v>
      </c>
      <c r="N302" s="8">
        <v>4.0</v>
      </c>
      <c r="O302" s="8" t="s">
        <v>85</v>
      </c>
      <c r="P302" s="8" t="s">
        <v>86</v>
      </c>
      <c r="Q302" s="8" t="s">
        <v>87</v>
      </c>
      <c r="R302" s="7" t="s">
        <v>2611</v>
      </c>
      <c r="S302" s="8" t="s">
        <v>89</v>
      </c>
      <c r="T302" s="8" t="s">
        <v>71</v>
      </c>
      <c r="U302" s="7" t="s">
        <v>2602</v>
      </c>
      <c r="V302" s="7" t="s">
        <v>904</v>
      </c>
      <c r="W302" s="7" t="s">
        <v>2612</v>
      </c>
    </row>
    <row r="303" ht="15.0" customHeight="1">
      <c r="A303" s="7" t="s">
        <v>2613</v>
      </c>
      <c r="B303" s="8" t="s">
        <v>2614</v>
      </c>
      <c r="C303" s="8" t="s">
        <v>2615</v>
      </c>
      <c r="D303" s="7" t="s">
        <v>2616</v>
      </c>
      <c r="E303" s="7" t="s">
        <v>2617</v>
      </c>
      <c r="F303" s="7" t="s">
        <v>2618</v>
      </c>
      <c r="G303" s="7" t="str">
        <f t="shared" si="1"/>
        <v>Difundir los avisos sonoros con inteligibilidad ≥ 0,50 STI</v>
      </c>
      <c r="H303" s="7" t="s">
        <v>61</v>
      </c>
      <c r="I303" s="8" t="s">
        <v>2619</v>
      </c>
      <c r="J303" s="7" t="s">
        <v>2620</v>
      </c>
      <c r="K303" s="7"/>
      <c r="L303" s="7" t="s">
        <v>2621</v>
      </c>
      <c r="M303" s="7" t="s">
        <v>2622</v>
      </c>
      <c r="N303" s="8">
        <v>6.0</v>
      </c>
      <c r="O303" s="8" t="s">
        <v>66</v>
      </c>
      <c r="P303" s="8" t="s">
        <v>67</v>
      </c>
      <c r="Q303" s="8" t="s">
        <v>68</v>
      </c>
      <c r="R303" s="7" t="s">
        <v>2623</v>
      </c>
      <c r="S303" s="8" t="s">
        <v>89</v>
      </c>
      <c r="T303" s="8" t="s">
        <v>2624</v>
      </c>
      <c r="U303" s="7" t="s">
        <v>2625</v>
      </c>
      <c r="V303" s="7" t="s">
        <v>904</v>
      </c>
      <c r="W303" s="7" t="s">
        <v>2626</v>
      </c>
    </row>
    <row r="304" ht="15.0" customHeight="1">
      <c r="A304" s="7" t="s">
        <v>2627</v>
      </c>
      <c r="B304" s="8" t="s">
        <v>2628</v>
      </c>
      <c r="C304" s="8" t="s">
        <v>2629</v>
      </c>
      <c r="D304" s="7" t="s">
        <v>2630</v>
      </c>
      <c r="E304" s="7" t="s">
        <v>2631</v>
      </c>
      <c r="F304" s="7" t="s">
        <v>1392</v>
      </c>
      <c r="G304" s="7" t="str">
        <f t="shared" si="1"/>
        <v>Cerrar la puerta entre 2 y 3 s</v>
      </c>
      <c r="H304" s="7" t="s">
        <v>79</v>
      </c>
      <c r="I304" s="8" t="s">
        <v>2632</v>
      </c>
      <c r="J304" s="7" t="s">
        <v>2633</v>
      </c>
      <c r="K304" s="7" t="s">
        <v>2634</v>
      </c>
      <c r="L304" s="7" t="s">
        <v>2635</v>
      </c>
      <c r="M304" s="7" t="s">
        <v>2636</v>
      </c>
      <c r="N304" s="8">
        <v>30.0</v>
      </c>
      <c r="O304" s="8" t="s">
        <v>66</v>
      </c>
      <c r="P304" s="8" t="s">
        <v>67</v>
      </c>
      <c r="Q304" s="8" t="s">
        <v>68</v>
      </c>
      <c r="R304" s="7" t="s">
        <v>98</v>
      </c>
      <c r="S304" s="8" t="s">
        <v>419</v>
      </c>
      <c r="T304" s="8" t="s">
        <v>2637</v>
      </c>
      <c r="U304" s="7" t="s">
        <v>2638</v>
      </c>
      <c r="V304" s="7" t="s">
        <v>904</v>
      </c>
      <c r="W304" s="7" t="s">
        <v>2639</v>
      </c>
    </row>
    <row r="305" ht="15.0" customHeight="1">
      <c r="A305" s="7" t="s">
        <v>2627</v>
      </c>
      <c r="B305" s="8" t="s">
        <v>2640</v>
      </c>
      <c r="C305" s="8" t="s">
        <v>2641</v>
      </c>
      <c r="D305" s="7" t="s">
        <v>2630</v>
      </c>
      <c r="E305" s="7" t="s">
        <v>2631</v>
      </c>
      <c r="F305" s="7" t="s">
        <v>1392</v>
      </c>
      <c r="G305" s="7" t="str">
        <f t="shared" si="1"/>
        <v>Abrir la puerta entre 2 y 3 s</v>
      </c>
      <c r="H305" s="7" t="s">
        <v>61</v>
      </c>
      <c r="I305" s="8" t="s">
        <v>2632</v>
      </c>
      <c r="J305" s="7" t="s">
        <v>2633</v>
      </c>
      <c r="K305" s="7" t="s">
        <v>2644</v>
      </c>
      <c r="L305" s="7" t="s">
        <v>2635</v>
      </c>
      <c r="M305" s="7" t="s">
        <v>2636</v>
      </c>
      <c r="N305" s="8">
        <v>30.0</v>
      </c>
      <c r="O305" s="8" t="s">
        <v>66</v>
      </c>
      <c r="P305" s="8" t="s">
        <v>67</v>
      </c>
      <c r="Q305" s="8" t="s">
        <v>68</v>
      </c>
      <c r="R305" s="7" t="s">
        <v>2645</v>
      </c>
      <c r="S305" s="8" t="s">
        <v>419</v>
      </c>
      <c r="T305" s="8" t="s">
        <v>91</v>
      </c>
      <c r="U305" s="7" t="s">
        <v>2638</v>
      </c>
      <c r="V305" s="7" t="s">
        <v>904</v>
      </c>
      <c r="W305" s="7" t="s">
        <v>2646</v>
      </c>
    </row>
    <row r="306" ht="15.0" customHeight="1">
      <c r="A306" s="7" t="s">
        <v>2627</v>
      </c>
      <c r="B306" s="8" t="s">
        <v>2647</v>
      </c>
      <c r="C306" s="8" t="s">
        <v>409</v>
      </c>
      <c r="D306" s="7" t="s">
        <v>2648</v>
      </c>
      <c r="E306" s="7" t="s">
        <v>2649</v>
      </c>
      <c r="F306" s="7" t="s">
        <v>544</v>
      </c>
      <c r="G306" s="7" t="str">
        <f t="shared" si="1"/>
        <v>Limitar la fuerza de cierre a un máximo de 400 N</v>
      </c>
      <c r="H306" s="7" t="s">
        <v>79</v>
      </c>
      <c r="I306" s="8" t="s">
        <v>2632</v>
      </c>
      <c r="J306" s="7" t="s">
        <v>2650</v>
      </c>
      <c r="K306" s="7" t="s">
        <v>2651</v>
      </c>
      <c r="L306" s="7" t="s">
        <v>2635</v>
      </c>
      <c r="M306" s="7" t="s">
        <v>2636</v>
      </c>
      <c r="N306" s="8">
        <v>30.0</v>
      </c>
      <c r="O306" s="8" t="s">
        <v>85</v>
      </c>
      <c r="P306" s="8" t="s">
        <v>86</v>
      </c>
      <c r="Q306" s="8" t="s">
        <v>87</v>
      </c>
      <c r="R306" s="7" t="s">
        <v>2652</v>
      </c>
      <c r="S306" s="8" t="s">
        <v>89</v>
      </c>
      <c r="T306" s="8" t="s">
        <v>71</v>
      </c>
      <c r="U306" s="7" t="s">
        <v>2638</v>
      </c>
      <c r="V306" s="7" t="s">
        <v>904</v>
      </c>
      <c r="W306" s="7" t="s">
        <v>2653</v>
      </c>
    </row>
    <row r="307" ht="15.0" customHeight="1">
      <c r="A307" s="7" t="s">
        <v>2627</v>
      </c>
      <c r="B307" s="8" t="s">
        <v>2654</v>
      </c>
      <c r="C307" s="8" t="s">
        <v>2655</v>
      </c>
      <c r="D307" s="7" t="s">
        <v>2659</v>
      </c>
      <c r="E307" s="7" t="s">
        <v>2660</v>
      </c>
      <c r="F307" s="7" t="s">
        <v>268</v>
      </c>
      <c r="G307" s="7" t="str">
        <f t="shared" si="1"/>
        <v>Reabrir la puerta ante obstáculo en un mínimo de 100 mm</v>
      </c>
      <c r="H307" s="7" t="s">
        <v>79</v>
      </c>
      <c r="I307" s="8" t="s">
        <v>2632</v>
      </c>
      <c r="J307" s="7" t="s">
        <v>2650</v>
      </c>
      <c r="K307" s="7"/>
      <c r="L307" s="7" t="s">
        <v>2635</v>
      </c>
      <c r="M307" s="7" t="s">
        <v>2636</v>
      </c>
      <c r="N307" s="8">
        <v>30.0</v>
      </c>
      <c r="O307" s="8" t="s">
        <v>85</v>
      </c>
      <c r="P307" s="8" t="s">
        <v>86</v>
      </c>
      <c r="Q307" s="8" t="s">
        <v>87</v>
      </c>
      <c r="R307" s="7" t="s">
        <v>2661</v>
      </c>
      <c r="S307" s="8" t="s">
        <v>89</v>
      </c>
      <c r="T307" s="8" t="s">
        <v>71</v>
      </c>
      <c r="U307" s="7" t="s">
        <v>2638</v>
      </c>
      <c r="V307" s="7" t="s">
        <v>904</v>
      </c>
      <c r="W307" s="7" t="s">
        <v>2662</v>
      </c>
    </row>
    <row r="308" ht="15.0" customHeight="1">
      <c r="A308" s="7" t="s">
        <v>2627</v>
      </c>
      <c r="B308" s="8" t="s">
        <v>2663</v>
      </c>
      <c r="C308" s="8" t="s">
        <v>2664</v>
      </c>
      <c r="D308" s="7" t="s">
        <v>2665</v>
      </c>
      <c r="E308" s="28" t="s">
        <v>2666</v>
      </c>
      <c r="F308" s="28" t="s">
        <v>135</v>
      </c>
      <c r="G308" s="7" t="str">
        <f t="shared" si="1"/>
        <v>Enclavar la puerta en marcha a partir de _____ km/h</v>
      </c>
      <c r="H308" s="7" t="s">
        <v>79</v>
      </c>
      <c r="I308" s="8" t="s">
        <v>2632</v>
      </c>
      <c r="J308" s="7" t="s">
        <v>2667</v>
      </c>
      <c r="K308" s="7" t="s">
        <v>2668</v>
      </c>
      <c r="L308" s="7" t="s">
        <v>2635</v>
      </c>
      <c r="M308" s="7" t="s">
        <v>2636</v>
      </c>
      <c r="N308" s="8">
        <v>30.0</v>
      </c>
      <c r="O308" s="8" t="s">
        <v>85</v>
      </c>
      <c r="P308" s="8" t="s">
        <v>67</v>
      </c>
      <c r="Q308" s="8" t="s">
        <v>87</v>
      </c>
      <c r="R308" s="7" t="s">
        <v>2669</v>
      </c>
      <c r="S308" s="8" t="s">
        <v>419</v>
      </c>
      <c r="T308" s="8" t="s">
        <v>71</v>
      </c>
      <c r="U308" s="28" t="s">
        <v>2638</v>
      </c>
      <c r="V308" s="28" t="s">
        <v>904</v>
      </c>
      <c r="W308" s="28" t="s">
        <v>2670</v>
      </c>
    </row>
    <row r="309" ht="15.0" customHeight="1">
      <c r="A309" s="7" t="s">
        <v>2671</v>
      </c>
      <c r="B309" s="8" t="s">
        <v>2672</v>
      </c>
      <c r="C309" s="8" t="s">
        <v>300</v>
      </c>
      <c r="D309" s="7" t="s">
        <v>2673</v>
      </c>
      <c r="E309" s="28" t="s">
        <v>705</v>
      </c>
      <c r="F309" s="28" t="s">
        <v>490</v>
      </c>
      <c r="G309" s="7" t="str">
        <f t="shared" si="1"/>
        <v>Almacenar el aire de reserva hasta _____ L</v>
      </c>
      <c r="H309" s="7" t="s">
        <v>61</v>
      </c>
      <c r="I309" s="8" t="s">
        <v>2674</v>
      </c>
      <c r="J309" s="7"/>
      <c r="K309" s="7" t="s">
        <v>2675</v>
      </c>
      <c r="L309" s="7" t="s">
        <v>2676</v>
      </c>
      <c r="M309" s="7" t="s">
        <v>2678</v>
      </c>
      <c r="N309" s="8">
        <v>3.0</v>
      </c>
      <c r="O309" s="8" t="s">
        <v>173</v>
      </c>
      <c r="P309" s="8" t="s">
        <v>67</v>
      </c>
      <c r="Q309" s="8" t="s">
        <v>68</v>
      </c>
      <c r="R309" s="7" t="s">
        <v>667</v>
      </c>
      <c r="S309" s="8" t="s">
        <v>111</v>
      </c>
      <c r="T309" s="8" t="s">
        <v>2680</v>
      </c>
      <c r="U309" s="28" t="s">
        <v>2681</v>
      </c>
      <c r="V309" s="28" t="s">
        <v>904</v>
      </c>
      <c r="W309" s="28" t="s">
        <v>2682</v>
      </c>
    </row>
    <row r="310" ht="15.0" customHeight="1">
      <c r="A310" s="7" t="s">
        <v>2683</v>
      </c>
      <c r="B310" s="8" t="s">
        <v>2684</v>
      </c>
      <c r="C310" s="8" t="s">
        <v>335</v>
      </c>
      <c r="D310" s="7" t="s">
        <v>2685</v>
      </c>
      <c r="E310" s="7" t="s">
        <v>2686</v>
      </c>
      <c r="F310" s="7" t="s">
        <v>2687</v>
      </c>
      <c r="G310" s="7" t="str">
        <f t="shared" si="1"/>
        <v>Transmitir la voz por radio con potencia de 10 W</v>
      </c>
      <c r="H310" s="7" t="s">
        <v>61</v>
      </c>
      <c r="I310" s="8" t="s">
        <v>2688</v>
      </c>
      <c r="J310" s="7" t="s">
        <v>2689</v>
      </c>
      <c r="K310" s="7" t="s">
        <v>2690</v>
      </c>
      <c r="L310" s="7" t="s">
        <v>2691</v>
      </c>
      <c r="M310" s="7" t="s">
        <v>2692</v>
      </c>
      <c r="N310" s="8">
        <v>3.0</v>
      </c>
      <c r="O310" s="8" t="s">
        <v>1015</v>
      </c>
      <c r="P310" s="8" t="s">
        <v>67</v>
      </c>
      <c r="Q310" s="8" t="s">
        <v>68</v>
      </c>
      <c r="R310" s="7" t="s">
        <v>2693</v>
      </c>
      <c r="S310" s="8" t="s">
        <v>111</v>
      </c>
      <c r="T310" s="8" t="s">
        <v>2695</v>
      </c>
      <c r="U310" s="7" t="s">
        <v>2696</v>
      </c>
      <c r="V310" s="7" t="s">
        <v>904</v>
      </c>
      <c r="W310" s="7" t="s">
        <v>2697</v>
      </c>
    </row>
    <row r="311" ht="15.0" customHeight="1">
      <c r="A311" s="7" t="s">
        <v>2683</v>
      </c>
      <c r="B311" s="8" t="s">
        <v>2698</v>
      </c>
      <c r="C311" s="8" t="s">
        <v>2699</v>
      </c>
      <c r="D311" s="7" t="s">
        <v>2700</v>
      </c>
      <c r="E311" s="7" t="s">
        <v>2701</v>
      </c>
      <c r="F311" s="7" t="s">
        <v>2702</v>
      </c>
      <c r="G311" s="7" t="str">
        <f t="shared" si="1"/>
        <v>Recibir la señal de radio con sensibilidad de −105 dBm</v>
      </c>
      <c r="H311" s="7" t="s">
        <v>61</v>
      </c>
      <c r="I311" s="8" t="s">
        <v>2688</v>
      </c>
      <c r="J311" s="7" t="s">
        <v>2689</v>
      </c>
      <c r="K311" s="7"/>
      <c r="L311" s="7" t="s">
        <v>2691</v>
      </c>
      <c r="M311" s="7" t="s">
        <v>2692</v>
      </c>
      <c r="N311" s="8">
        <v>3.0</v>
      </c>
      <c r="O311" s="8" t="s">
        <v>1015</v>
      </c>
      <c r="P311" s="8" t="s">
        <v>86</v>
      </c>
      <c r="Q311" s="8" t="s">
        <v>87</v>
      </c>
      <c r="R311" s="7" t="s">
        <v>2703</v>
      </c>
      <c r="S311" s="8" t="s">
        <v>111</v>
      </c>
      <c r="T311" s="8" t="s">
        <v>71</v>
      </c>
      <c r="U311" s="7" t="s">
        <v>2696</v>
      </c>
      <c r="V311" s="7" t="s">
        <v>904</v>
      </c>
      <c r="W311" s="7" t="s">
        <v>2704</v>
      </c>
    </row>
    <row r="312" ht="15.0" customHeight="1">
      <c r="A312" s="7" t="s">
        <v>2705</v>
      </c>
      <c r="B312" s="8" t="s">
        <v>2706</v>
      </c>
      <c r="C312" s="8" t="s">
        <v>2707</v>
      </c>
      <c r="D312" s="7" t="s">
        <v>2708</v>
      </c>
      <c r="E312" s="7" t="s">
        <v>2617</v>
      </c>
      <c r="F312" s="7" t="s">
        <v>2618</v>
      </c>
      <c r="G312" s="7" t="str">
        <f t="shared" si="1"/>
        <v>Comunicar al pasajero con el conductor con inteligibilidad ≥ 0,50 STI</v>
      </c>
      <c r="H312" s="7" t="s">
        <v>79</v>
      </c>
      <c r="I312" s="8" t="s">
        <v>2711</v>
      </c>
      <c r="J312" s="7" t="s">
        <v>2620</v>
      </c>
      <c r="K312" s="7"/>
      <c r="L312" s="7" t="s">
        <v>2712</v>
      </c>
      <c r="M312" s="7" t="s">
        <v>2713</v>
      </c>
      <c r="N312" s="8">
        <v>3.0</v>
      </c>
      <c r="O312" s="8" t="s">
        <v>85</v>
      </c>
      <c r="P312" s="8" t="s">
        <v>67</v>
      </c>
      <c r="Q312" s="8" t="s">
        <v>87</v>
      </c>
      <c r="R312" s="7" t="s">
        <v>2714</v>
      </c>
      <c r="S312" s="8" t="s">
        <v>89</v>
      </c>
      <c r="T312" s="8" t="s">
        <v>2715</v>
      </c>
      <c r="U312" s="7" t="s">
        <v>2716</v>
      </c>
      <c r="V312" s="7" t="s">
        <v>904</v>
      </c>
      <c r="W312" s="7" t="s">
        <v>2717</v>
      </c>
    </row>
    <row r="313" ht="15.0" customHeight="1">
      <c r="A313" s="7" t="s">
        <v>2718</v>
      </c>
      <c r="B313" s="8" t="s">
        <v>2719</v>
      </c>
      <c r="C313" s="8" t="s">
        <v>2720</v>
      </c>
      <c r="D313" s="7" t="s">
        <v>2721</v>
      </c>
      <c r="E313" s="28" t="s">
        <v>2722</v>
      </c>
      <c r="F313" s="28" t="s">
        <v>2723</v>
      </c>
      <c r="G313" s="7" t="str">
        <f t="shared" si="1"/>
        <v>Detectar el humo con umbral de _____ dB/m</v>
      </c>
      <c r="H313" s="7" t="s">
        <v>79</v>
      </c>
      <c r="I313" s="8" t="s">
        <v>2724</v>
      </c>
      <c r="J313" s="7"/>
      <c r="K313" s="7" t="s">
        <v>2725</v>
      </c>
      <c r="L313" s="7" t="s">
        <v>2726</v>
      </c>
      <c r="M313" s="7" t="s">
        <v>2727</v>
      </c>
      <c r="N313" s="8">
        <v>3.0</v>
      </c>
      <c r="O313" s="8" t="s">
        <v>85</v>
      </c>
      <c r="P313" s="8" t="s">
        <v>67</v>
      </c>
      <c r="Q313" s="8" t="s">
        <v>87</v>
      </c>
      <c r="R313" s="7" t="s">
        <v>2728</v>
      </c>
      <c r="S313" s="8" t="s">
        <v>111</v>
      </c>
      <c r="T313" s="8" t="s">
        <v>2729</v>
      </c>
      <c r="U313" s="28" t="s">
        <v>2730</v>
      </c>
      <c r="V313" s="28" t="s">
        <v>904</v>
      </c>
      <c r="W313" s="28" t="s">
        <v>2731</v>
      </c>
    </row>
    <row r="314" ht="15.0" customHeight="1">
      <c r="A314" s="7" t="s">
        <v>2718</v>
      </c>
      <c r="B314" s="8" t="s">
        <v>2732</v>
      </c>
      <c r="C314" s="8" t="s">
        <v>2720</v>
      </c>
      <c r="D314" s="7" t="s">
        <v>2733</v>
      </c>
      <c r="E314" s="7" t="s">
        <v>2734</v>
      </c>
      <c r="F314" s="7" t="s">
        <v>180</v>
      </c>
      <c r="G314" s="7" t="str">
        <f t="shared" si="1"/>
        <v>Detectar el incendio por temperatura entre 54 y 65 °C</v>
      </c>
      <c r="H314" s="7" t="s">
        <v>79</v>
      </c>
      <c r="I314" s="8" t="s">
        <v>2724</v>
      </c>
      <c r="J314" s="7" t="s">
        <v>2735</v>
      </c>
      <c r="K314" s="7" t="s">
        <v>2736</v>
      </c>
      <c r="L314" s="7" t="s">
        <v>2726</v>
      </c>
      <c r="M314" s="7" t="s">
        <v>2727</v>
      </c>
      <c r="N314" s="8">
        <v>3.0</v>
      </c>
      <c r="O314" s="8" t="s">
        <v>85</v>
      </c>
      <c r="P314" s="8" t="s">
        <v>67</v>
      </c>
      <c r="Q314" s="8" t="s">
        <v>87</v>
      </c>
      <c r="R314" s="7" t="s">
        <v>2737</v>
      </c>
      <c r="S314" s="8" t="s">
        <v>89</v>
      </c>
      <c r="T314" s="8" t="s">
        <v>71</v>
      </c>
      <c r="U314" s="7" t="s">
        <v>2730</v>
      </c>
      <c r="V314" s="7" t="s">
        <v>904</v>
      </c>
      <c r="W314" s="7" t="s">
        <v>2739</v>
      </c>
    </row>
    <row r="315" ht="15.0" customHeight="1">
      <c r="A315" s="7" t="s">
        <v>2741</v>
      </c>
      <c r="B315" s="8" t="s">
        <v>2742</v>
      </c>
      <c r="C315" s="8" t="s">
        <v>321</v>
      </c>
      <c r="D315" s="7" t="s">
        <v>2743</v>
      </c>
      <c r="E315" s="28" t="s">
        <v>2745</v>
      </c>
      <c r="F315" s="28" t="s">
        <v>2746</v>
      </c>
      <c r="G315" s="7" t="str">
        <f t="shared" si="1"/>
        <v>Lubricar la pestaña de rueda con dosis de _____ mL por disparo</v>
      </c>
      <c r="H315" s="7" t="s">
        <v>324</v>
      </c>
      <c r="I315" s="8" t="s">
        <v>2747</v>
      </c>
      <c r="J315" s="7"/>
      <c r="K315" s="7" t="s">
        <v>2748</v>
      </c>
      <c r="L315" s="7" t="s">
        <v>2749</v>
      </c>
      <c r="M315" s="7" t="s">
        <v>2751</v>
      </c>
      <c r="N315" s="8">
        <v>3.0</v>
      </c>
      <c r="O315" s="8" t="s">
        <v>187</v>
      </c>
      <c r="P315" s="8" t="s">
        <v>67</v>
      </c>
      <c r="Q315" s="8" t="s">
        <v>87</v>
      </c>
      <c r="R315" s="7" t="s">
        <v>2752</v>
      </c>
      <c r="S315" s="8" t="s">
        <v>111</v>
      </c>
      <c r="T315" s="8" t="s">
        <v>2753</v>
      </c>
      <c r="U315" s="28" t="s">
        <v>2754</v>
      </c>
      <c r="V315" s="28" t="s">
        <v>904</v>
      </c>
      <c r="W315" s="28" t="s">
        <v>2755</v>
      </c>
    </row>
    <row r="316" ht="15.0" customHeight="1">
      <c r="A316" s="7" t="s">
        <v>2756</v>
      </c>
      <c r="B316" s="8" t="s">
        <v>2757</v>
      </c>
      <c r="C316" s="8" t="s">
        <v>2758</v>
      </c>
      <c r="D316" s="7" t="s">
        <v>2759</v>
      </c>
      <c r="E316" s="28" t="s">
        <v>2457</v>
      </c>
      <c r="F316" s="28" t="s">
        <v>2760</v>
      </c>
      <c r="G316" s="7" t="str">
        <f t="shared" si="1"/>
        <v>Grabar las imágenes durante un mínimo de _____ días</v>
      </c>
      <c r="H316" s="7" t="s">
        <v>61</v>
      </c>
      <c r="I316" s="8" t="s">
        <v>2761</v>
      </c>
      <c r="J316" s="7"/>
      <c r="K316" s="7" t="s">
        <v>2762</v>
      </c>
      <c r="L316" s="7" t="s">
        <v>2756</v>
      </c>
      <c r="M316" s="7" t="s">
        <v>2763</v>
      </c>
      <c r="N316" s="8">
        <v>1.0</v>
      </c>
      <c r="O316" s="8" t="s">
        <v>85</v>
      </c>
      <c r="P316" s="8" t="s">
        <v>67</v>
      </c>
      <c r="Q316" s="8" t="s">
        <v>87</v>
      </c>
      <c r="R316" s="7" t="s">
        <v>2765</v>
      </c>
      <c r="S316" s="8" t="s">
        <v>111</v>
      </c>
      <c r="T316" s="8" t="s">
        <v>2766</v>
      </c>
      <c r="U316" s="28" t="s">
        <v>2767</v>
      </c>
      <c r="V316" s="28" t="s">
        <v>904</v>
      </c>
      <c r="W316" s="28" t="s">
        <v>2768</v>
      </c>
    </row>
    <row r="317" ht="15.0" customHeight="1">
      <c r="A317" s="7" t="s">
        <v>2769</v>
      </c>
      <c r="B317" s="8" t="s">
        <v>2770</v>
      </c>
      <c r="C317" s="8" t="s">
        <v>1547</v>
      </c>
      <c r="D317" s="7" t="s">
        <v>1548</v>
      </c>
      <c r="E317" s="28" t="s">
        <v>1549</v>
      </c>
      <c r="F317" s="28" t="s">
        <v>180</v>
      </c>
      <c r="G317" s="7" t="str">
        <f t="shared" si="1"/>
        <v>Enfriar el aire de cabina a temperatura de consigna de _____ °C</v>
      </c>
      <c r="H317" s="7" t="s">
        <v>61</v>
      </c>
      <c r="I317" s="8" t="s">
        <v>2772</v>
      </c>
      <c r="J317" s="7"/>
      <c r="K317" s="7" t="s">
        <v>1551</v>
      </c>
      <c r="L317" s="7" t="s">
        <v>2773</v>
      </c>
      <c r="M317" s="7" t="s">
        <v>2774</v>
      </c>
      <c r="N317" s="8">
        <v>2.0</v>
      </c>
      <c r="O317" s="8" t="s">
        <v>66</v>
      </c>
      <c r="P317" s="8" t="s">
        <v>67</v>
      </c>
      <c r="Q317" s="8" t="s">
        <v>68</v>
      </c>
      <c r="R317" s="7" t="s">
        <v>1554</v>
      </c>
      <c r="S317" s="8" t="s">
        <v>111</v>
      </c>
      <c r="T317" s="8" t="s">
        <v>2775</v>
      </c>
      <c r="U317" s="28" t="s">
        <v>1555</v>
      </c>
      <c r="V317" s="28" t="s">
        <v>904</v>
      </c>
      <c r="W317" s="28" t="s">
        <v>1556</v>
      </c>
    </row>
    <row r="318" ht="23.25" customHeight="1">
      <c r="A318" s="7" t="s">
        <v>2778</v>
      </c>
      <c r="B318" s="8" t="s">
        <v>2779</v>
      </c>
      <c r="C318" s="8" t="s">
        <v>611</v>
      </c>
      <c r="D318" s="7" t="s">
        <v>2781</v>
      </c>
      <c r="E318" s="7" t="s">
        <v>76</v>
      </c>
      <c r="F318" s="7" t="s">
        <v>613</v>
      </c>
      <c r="G318" s="7" t="str">
        <f t="shared" si="1"/>
        <v>Sellar la caja del convertidor con 0 filtraciones en prueba de agua</v>
      </c>
      <c r="H318" s="7" t="s">
        <v>61</v>
      </c>
      <c r="I318" s="8" t="s">
        <v>2782</v>
      </c>
      <c r="J318" s="7" t="s">
        <v>2783</v>
      </c>
      <c r="K318" s="7" t="s">
        <v>2784</v>
      </c>
      <c r="L318" s="7" t="s">
        <v>2778</v>
      </c>
      <c r="M318" s="7" t="s">
        <v>2785</v>
      </c>
      <c r="N318" s="8">
        <v>1.0</v>
      </c>
      <c r="O318" s="8" t="s">
        <v>187</v>
      </c>
      <c r="P318" s="8" t="s">
        <v>86</v>
      </c>
      <c r="Q318" s="8" t="s">
        <v>87</v>
      </c>
      <c r="R318" s="7" t="s">
        <v>2786</v>
      </c>
      <c r="S318" s="8" t="s">
        <v>419</v>
      </c>
      <c r="T318" s="8" t="s">
        <v>1285</v>
      </c>
      <c r="U318" s="7" t="s">
        <v>2788</v>
      </c>
      <c r="V318" s="7" t="s">
        <v>904</v>
      </c>
      <c r="W318" s="7" t="s">
        <v>2789</v>
      </c>
    </row>
    <row r="319" ht="23.25" customHeight="1">
      <c r="A319" s="7" t="s">
        <v>2790</v>
      </c>
      <c r="B319" s="8" t="s">
        <v>2791</v>
      </c>
      <c r="C319" s="8" t="s">
        <v>1683</v>
      </c>
      <c r="D319" s="7" t="s">
        <v>2793</v>
      </c>
      <c r="E319" s="28" t="s">
        <v>2794</v>
      </c>
      <c r="F319" s="28" t="s">
        <v>2795</v>
      </c>
      <c r="G319" s="7" t="str">
        <f t="shared" si="1"/>
        <v>Filtrar los armónicos con inductancia de _____ mH</v>
      </c>
      <c r="H319" s="7" t="s">
        <v>61</v>
      </c>
      <c r="I319" s="8" t="s">
        <v>2796</v>
      </c>
      <c r="J319" s="7"/>
      <c r="K319" s="7" t="s">
        <v>2797</v>
      </c>
      <c r="L319" s="7" t="s">
        <v>2798</v>
      </c>
      <c r="M319" s="7" t="s">
        <v>2799</v>
      </c>
      <c r="N319" s="8">
        <v>4.0</v>
      </c>
      <c r="O319" s="8" t="s">
        <v>187</v>
      </c>
      <c r="P319" s="8" t="s">
        <v>67</v>
      </c>
      <c r="Q319" s="8" t="s">
        <v>87</v>
      </c>
      <c r="R319" s="7" t="s">
        <v>2800</v>
      </c>
      <c r="S319" s="8" t="s">
        <v>111</v>
      </c>
      <c r="T319" s="8" t="s">
        <v>2801</v>
      </c>
      <c r="U319" s="28" t="s">
        <v>2802</v>
      </c>
      <c r="V319" s="28" t="s">
        <v>904</v>
      </c>
      <c r="W319" s="28" t="s">
        <v>2803</v>
      </c>
    </row>
    <row r="320" ht="15.0" customHeight="1">
      <c r="A320" s="7" t="s">
        <v>2804</v>
      </c>
      <c r="B320" s="8" t="s">
        <v>2805</v>
      </c>
      <c r="C320" s="8" t="s">
        <v>2203</v>
      </c>
      <c r="D320" s="7" t="s">
        <v>2806</v>
      </c>
      <c r="E320" s="28" t="s">
        <v>2807</v>
      </c>
      <c r="F320" s="28" t="s">
        <v>291</v>
      </c>
      <c r="G320" s="7" t="str">
        <f t="shared" si="1"/>
        <v>Regular la tensión de salida a _____ ±_____ V</v>
      </c>
      <c r="H320" s="7" t="s">
        <v>61</v>
      </c>
      <c r="I320" s="8" t="s">
        <v>2809</v>
      </c>
      <c r="J320" s="7"/>
      <c r="K320" s="7" t="s">
        <v>2811</v>
      </c>
      <c r="L320" s="7" t="s">
        <v>2804</v>
      </c>
      <c r="M320" s="7" t="s">
        <v>2812</v>
      </c>
      <c r="N320" s="8">
        <v>1.0</v>
      </c>
      <c r="O320" s="8" t="s">
        <v>1215</v>
      </c>
      <c r="P320" s="8" t="s">
        <v>67</v>
      </c>
      <c r="Q320" s="8" t="s">
        <v>87</v>
      </c>
      <c r="R320" s="7" t="s">
        <v>2813</v>
      </c>
      <c r="S320" s="8" t="s">
        <v>111</v>
      </c>
      <c r="T320" s="8" t="s">
        <v>2467</v>
      </c>
      <c r="U320" s="28" t="s">
        <v>2814</v>
      </c>
      <c r="V320" s="28" t="s">
        <v>904</v>
      </c>
      <c r="W320" s="28" t="s">
        <v>2815</v>
      </c>
    </row>
    <row r="321" ht="15.0" customHeight="1">
      <c r="A321" s="7" t="s">
        <v>2816</v>
      </c>
      <c r="B321" s="8" t="s">
        <v>2817</v>
      </c>
      <c r="C321" s="8" t="s">
        <v>2203</v>
      </c>
      <c r="D321" s="7" t="s">
        <v>2806</v>
      </c>
      <c r="E321" s="28" t="s">
        <v>2807</v>
      </c>
      <c r="F321" s="28" t="s">
        <v>291</v>
      </c>
      <c r="G321" s="7" t="str">
        <f t="shared" si="1"/>
        <v>Regular la tensión de salida a _____ ±_____ V</v>
      </c>
      <c r="H321" s="7" t="s">
        <v>61</v>
      </c>
      <c r="I321" s="8" t="s">
        <v>2818</v>
      </c>
      <c r="J321" s="7"/>
      <c r="K321" s="7" t="s">
        <v>2811</v>
      </c>
      <c r="L321" s="7" t="s">
        <v>2819</v>
      </c>
      <c r="M321" s="7" t="s">
        <v>2820</v>
      </c>
      <c r="N321" s="8">
        <v>2.0</v>
      </c>
      <c r="O321" s="8" t="s">
        <v>1215</v>
      </c>
      <c r="P321" s="8" t="s">
        <v>67</v>
      </c>
      <c r="Q321" s="8" t="s">
        <v>87</v>
      </c>
      <c r="R321" s="7" t="s">
        <v>2813</v>
      </c>
      <c r="S321" s="8" t="s">
        <v>111</v>
      </c>
      <c r="T321" s="8" t="s">
        <v>2821</v>
      </c>
      <c r="U321" s="28" t="s">
        <v>2822</v>
      </c>
      <c r="V321" s="28" t="s">
        <v>904</v>
      </c>
      <c r="W321" s="28" t="s">
        <v>2815</v>
      </c>
    </row>
    <row r="322" ht="15.0" customHeight="1">
      <c r="A322" s="7" t="s">
        <v>2823</v>
      </c>
      <c r="B322" s="8" t="s">
        <v>2824</v>
      </c>
      <c r="C322" s="8" t="s">
        <v>2825</v>
      </c>
      <c r="D322" s="7" t="s">
        <v>2826</v>
      </c>
      <c r="E322" s="28" t="s">
        <v>1569</v>
      </c>
      <c r="F322" s="28" t="s">
        <v>2827</v>
      </c>
      <c r="G322" s="7" t="str">
        <f t="shared" si="1"/>
        <v>Estabilizar la tensión de entrada con capacidad de _____ µF</v>
      </c>
      <c r="H322" s="7" t="s">
        <v>61</v>
      </c>
      <c r="I322" s="8" t="s">
        <v>2828</v>
      </c>
      <c r="J322" s="7"/>
      <c r="K322" s="7" t="s">
        <v>2829</v>
      </c>
      <c r="L322" s="7" t="s">
        <v>2830</v>
      </c>
      <c r="M322" s="7" t="s">
        <v>2831</v>
      </c>
      <c r="N322" s="8">
        <v>2.0</v>
      </c>
      <c r="O322" s="8" t="s">
        <v>187</v>
      </c>
      <c r="P322" s="8" t="s">
        <v>67</v>
      </c>
      <c r="Q322" s="8" t="s">
        <v>87</v>
      </c>
      <c r="R322" s="7" t="s">
        <v>2832</v>
      </c>
      <c r="S322" s="8" t="s">
        <v>111</v>
      </c>
      <c r="T322" s="8" t="s">
        <v>2833</v>
      </c>
      <c r="U322" s="28" t="s">
        <v>2834</v>
      </c>
      <c r="V322" s="28" t="s">
        <v>904</v>
      </c>
      <c r="W322" s="28" t="s">
        <v>2835</v>
      </c>
    </row>
    <row r="323" ht="15.0" customHeight="1">
      <c r="A323" s="7" t="s">
        <v>2836</v>
      </c>
      <c r="B323" s="8" t="s">
        <v>2837</v>
      </c>
      <c r="C323" s="8" t="s">
        <v>2839</v>
      </c>
      <c r="D323" s="7" t="s">
        <v>2840</v>
      </c>
      <c r="E323" s="7" t="s">
        <v>2842</v>
      </c>
      <c r="F323" s="7" t="s">
        <v>291</v>
      </c>
      <c r="G323" s="7" t="str">
        <f t="shared" si="1"/>
        <v>Aterrizar el circuito de alta tensión con tensión residual de 0 V</v>
      </c>
      <c r="H323" s="7" t="s">
        <v>79</v>
      </c>
      <c r="I323" s="8" t="s">
        <v>2844</v>
      </c>
      <c r="J323" s="7" t="s">
        <v>2845</v>
      </c>
      <c r="K323" s="7" t="s">
        <v>2846</v>
      </c>
      <c r="L323" s="7" t="s">
        <v>2847</v>
      </c>
      <c r="M323" s="7" t="s">
        <v>2848</v>
      </c>
      <c r="N323" s="8">
        <v>2.0</v>
      </c>
      <c r="O323" s="8" t="s">
        <v>85</v>
      </c>
      <c r="P323" s="8" t="s">
        <v>67</v>
      </c>
      <c r="Q323" s="8" t="s">
        <v>87</v>
      </c>
      <c r="R323" s="7" t="s">
        <v>2849</v>
      </c>
      <c r="S323" s="8" t="s">
        <v>419</v>
      </c>
      <c r="T323" s="8" t="s">
        <v>2850</v>
      </c>
      <c r="U323" s="7" t="s">
        <v>2851</v>
      </c>
      <c r="V323" s="7" t="s">
        <v>904</v>
      </c>
      <c r="W323" s="7" t="s">
        <v>2853</v>
      </c>
    </row>
    <row r="324" ht="15.0" customHeight="1">
      <c r="A324" s="7" t="s">
        <v>2854</v>
      </c>
      <c r="B324" s="8" t="s">
        <v>2855</v>
      </c>
      <c r="C324" s="8" t="s">
        <v>2856</v>
      </c>
      <c r="D324" s="7" t="s">
        <v>2857</v>
      </c>
      <c r="E324" s="7" t="s">
        <v>2858</v>
      </c>
      <c r="F324" s="7" t="s">
        <v>2859</v>
      </c>
      <c r="G324" s="7" t="str">
        <f t="shared" si="1"/>
        <v>Alimentar el motor de tracción de 0 a 1.500 V CA</v>
      </c>
      <c r="H324" s="7" t="s">
        <v>61</v>
      </c>
      <c r="I324" s="8" t="s">
        <v>2860</v>
      </c>
      <c r="J324" s="7" t="s">
        <v>107</v>
      </c>
      <c r="K324" s="7" t="s">
        <v>2862</v>
      </c>
      <c r="L324" s="7" t="s">
        <v>2863</v>
      </c>
      <c r="M324" s="7" t="s">
        <v>2864</v>
      </c>
      <c r="N324" s="8">
        <v>2.0</v>
      </c>
      <c r="O324" s="8" t="s">
        <v>66</v>
      </c>
      <c r="P324" s="8" t="s">
        <v>67</v>
      </c>
      <c r="Q324" s="8" t="s">
        <v>68</v>
      </c>
      <c r="R324" s="7" t="s">
        <v>2865</v>
      </c>
      <c r="S324" s="8" t="s">
        <v>111</v>
      </c>
      <c r="T324" s="8" t="s">
        <v>2866</v>
      </c>
      <c r="U324" s="7" t="s">
        <v>2867</v>
      </c>
      <c r="V324" s="7" t="s">
        <v>904</v>
      </c>
      <c r="W324" s="7" t="s">
        <v>2868</v>
      </c>
    </row>
    <row r="325" ht="15.0" customHeight="1">
      <c r="A325" s="7" t="s">
        <v>2854</v>
      </c>
      <c r="B325" s="8" t="s">
        <v>2869</v>
      </c>
      <c r="C325" s="8" t="s">
        <v>2870</v>
      </c>
      <c r="D325" s="7" t="s">
        <v>2871</v>
      </c>
      <c r="E325" s="7" t="s">
        <v>2872</v>
      </c>
      <c r="F325" s="7" t="s">
        <v>2873</v>
      </c>
      <c r="G325" s="7" t="str">
        <f t="shared" si="1"/>
        <v>Variar la frecuencia del motor de 0 a 120 Hz</v>
      </c>
      <c r="H325" s="7" t="s">
        <v>61</v>
      </c>
      <c r="I325" s="8" t="s">
        <v>2860</v>
      </c>
      <c r="J325" s="7" t="s">
        <v>107</v>
      </c>
      <c r="K325" s="7"/>
      <c r="L325" s="7" t="s">
        <v>2863</v>
      </c>
      <c r="M325" s="7" t="s">
        <v>2864</v>
      </c>
      <c r="N325" s="8">
        <v>2.0</v>
      </c>
      <c r="O325" s="8" t="s">
        <v>1215</v>
      </c>
      <c r="P325" s="8" t="s">
        <v>67</v>
      </c>
      <c r="Q325" s="8" t="s">
        <v>68</v>
      </c>
      <c r="R325" s="7" t="s">
        <v>2876</v>
      </c>
      <c r="S325" s="8" t="s">
        <v>111</v>
      </c>
      <c r="T325" s="8" t="s">
        <v>2877</v>
      </c>
      <c r="U325" s="7" t="s">
        <v>2867</v>
      </c>
      <c r="V325" s="7" t="s">
        <v>904</v>
      </c>
      <c r="W325" s="7" t="s">
        <v>2878</v>
      </c>
    </row>
    <row r="326" ht="15.0" customHeight="1">
      <c r="A326" s="7" t="s">
        <v>2879</v>
      </c>
      <c r="B326" s="8" t="s">
        <v>2880</v>
      </c>
      <c r="C326" s="8" t="s">
        <v>2275</v>
      </c>
      <c r="D326" s="7" t="s">
        <v>2881</v>
      </c>
      <c r="E326" s="7" t="s">
        <v>2882</v>
      </c>
      <c r="F326" s="7" t="s">
        <v>2883</v>
      </c>
      <c r="G326" s="7" t="str">
        <f t="shared" si="1"/>
        <v>Interrumpir el cortocircuito de 0,45 a 3,6 kA</v>
      </c>
      <c r="H326" s="7" t="s">
        <v>79</v>
      </c>
      <c r="I326" s="8" t="s">
        <v>2884</v>
      </c>
      <c r="J326" s="7" t="s">
        <v>2885</v>
      </c>
      <c r="K326" s="7" t="s">
        <v>2886</v>
      </c>
      <c r="L326" s="7" t="s">
        <v>2887</v>
      </c>
      <c r="M326" s="7" t="s">
        <v>2888</v>
      </c>
      <c r="N326" s="8">
        <v>4.0</v>
      </c>
      <c r="O326" s="8" t="s">
        <v>187</v>
      </c>
      <c r="P326" s="8" t="s">
        <v>67</v>
      </c>
      <c r="Q326" s="8" t="s">
        <v>87</v>
      </c>
      <c r="R326" s="7" t="s">
        <v>2889</v>
      </c>
      <c r="S326" s="8" t="s">
        <v>419</v>
      </c>
      <c r="T326" s="8" t="s">
        <v>2890</v>
      </c>
      <c r="U326" s="7" t="s">
        <v>2891</v>
      </c>
      <c r="V326" s="7" t="s">
        <v>904</v>
      </c>
      <c r="W326" s="7" t="s">
        <v>2892</v>
      </c>
    </row>
    <row r="327" ht="15.0" customHeight="1">
      <c r="A327" s="7" t="s">
        <v>2879</v>
      </c>
      <c r="B327" s="8" t="s">
        <v>2893</v>
      </c>
      <c r="C327" s="8" t="s">
        <v>2641</v>
      </c>
      <c r="D327" s="7" t="s">
        <v>2894</v>
      </c>
      <c r="E327" s="7" t="s">
        <v>2895</v>
      </c>
      <c r="F327" s="7" t="s">
        <v>2896</v>
      </c>
      <c r="G327" s="7" t="str">
        <f t="shared" si="1"/>
        <v>Abrir el circuito principal en 5 a 10 ms</v>
      </c>
      <c r="H327" s="7" t="s">
        <v>79</v>
      </c>
      <c r="I327" s="8" t="s">
        <v>2884</v>
      </c>
      <c r="J327" s="7" t="s">
        <v>2885</v>
      </c>
      <c r="K327" s="7" t="s">
        <v>2897</v>
      </c>
      <c r="L327" s="7" t="s">
        <v>2887</v>
      </c>
      <c r="M327" s="7" t="s">
        <v>2888</v>
      </c>
      <c r="N327" s="8">
        <v>4.0</v>
      </c>
      <c r="O327" s="8" t="s">
        <v>187</v>
      </c>
      <c r="P327" s="8" t="s">
        <v>86</v>
      </c>
      <c r="Q327" s="8" t="s">
        <v>87</v>
      </c>
      <c r="R327" s="7" t="s">
        <v>2898</v>
      </c>
      <c r="S327" s="8" t="s">
        <v>419</v>
      </c>
      <c r="T327" s="8" t="s">
        <v>71</v>
      </c>
      <c r="U327" s="7" t="s">
        <v>2891</v>
      </c>
      <c r="V327" s="7" t="s">
        <v>904</v>
      </c>
      <c r="W327" s="7" t="s">
        <v>2900</v>
      </c>
    </row>
    <row r="328" ht="15.0" customHeight="1">
      <c r="A328" s="7" t="s">
        <v>2879</v>
      </c>
      <c r="B328" s="8" t="s">
        <v>2901</v>
      </c>
      <c r="C328" s="8" t="s">
        <v>2629</v>
      </c>
      <c r="D328" s="7" t="s">
        <v>2894</v>
      </c>
      <c r="E328" s="7" t="s">
        <v>2902</v>
      </c>
      <c r="F328" s="7" t="s">
        <v>2896</v>
      </c>
      <c r="G328" s="7" t="str">
        <f t="shared" si="1"/>
        <v>Cerrar el circuito principal en un máximo de 70 ms</v>
      </c>
      <c r="H328" s="7" t="s">
        <v>61</v>
      </c>
      <c r="I328" s="8" t="s">
        <v>2884</v>
      </c>
      <c r="J328" s="7" t="s">
        <v>2885</v>
      </c>
      <c r="K328" s="7" t="s">
        <v>2905</v>
      </c>
      <c r="L328" s="7" t="s">
        <v>2887</v>
      </c>
      <c r="M328" s="7" t="s">
        <v>2888</v>
      </c>
      <c r="N328" s="8">
        <v>4.0</v>
      </c>
      <c r="O328" s="8" t="s">
        <v>1215</v>
      </c>
      <c r="P328" s="8" t="s">
        <v>86</v>
      </c>
      <c r="Q328" s="8" t="s">
        <v>68</v>
      </c>
      <c r="R328" s="7" t="s">
        <v>2908</v>
      </c>
      <c r="S328" s="8" t="s">
        <v>419</v>
      </c>
      <c r="T328" s="8" t="s">
        <v>71</v>
      </c>
      <c r="U328" s="7" t="s">
        <v>2891</v>
      </c>
      <c r="V328" s="7" t="s">
        <v>904</v>
      </c>
      <c r="W328" s="7" t="s">
        <v>2909</v>
      </c>
    </row>
    <row r="329" ht="15.0" customHeight="1">
      <c r="A329" s="7" t="s">
        <v>2910</v>
      </c>
      <c r="B329" s="8" t="s">
        <v>2911</v>
      </c>
      <c r="C329" s="8" t="s">
        <v>143</v>
      </c>
      <c r="D329" s="7" t="s">
        <v>349</v>
      </c>
      <c r="E329" s="7" t="s">
        <v>2912</v>
      </c>
      <c r="F329" s="7" t="s">
        <v>351</v>
      </c>
      <c r="G329" s="7" t="str">
        <f t="shared" si="1"/>
        <v>Entregar potencia mecánica de 190 kW</v>
      </c>
      <c r="H329" s="7" t="s">
        <v>61</v>
      </c>
      <c r="I329" s="8" t="s">
        <v>2914</v>
      </c>
      <c r="J329" s="7" t="s">
        <v>2915</v>
      </c>
      <c r="K329" s="7" t="s">
        <v>2916</v>
      </c>
      <c r="L329" s="7" t="s">
        <v>2917</v>
      </c>
      <c r="M329" s="7" t="s">
        <v>2918</v>
      </c>
      <c r="N329" s="8">
        <v>2.0</v>
      </c>
      <c r="O329" s="8" t="s">
        <v>66</v>
      </c>
      <c r="P329" s="8" t="s">
        <v>67</v>
      </c>
      <c r="Q329" s="8" t="s">
        <v>68</v>
      </c>
      <c r="R329" s="7" t="s">
        <v>140</v>
      </c>
      <c r="S329" s="8" t="s">
        <v>111</v>
      </c>
      <c r="T329" s="8" t="s">
        <v>2919</v>
      </c>
      <c r="U329" s="7" t="s">
        <v>2920</v>
      </c>
      <c r="V329" s="7" t="s">
        <v>2081</v>
      </c>
      <c r="W329" s="7" t="s">
        <v>2921</v>
      </c>
    </row>
    <row r="330" ht="23.25" customHeight="1">
      <c r="A330" s="7" t="s">
        <v>2923</v>
      </c>
      <c r="B330" s="8" t="s">
        <v>2924</v>
      </c>
      <c r="C330" s="8" t="s">
        <v>143</v>
      </c>
      <c r="D330" s="7" t="s">
        <v>349</v>
      </c>
      <c r="E330" s="28" t="s">
        <v>935</v>
      </c>
      <c r="F330" s="28" t="s">
        <v>351</v>
      </c>
      <c r="G330" s="7" t="str">
        <f t="shared" si="1"/>
        <v>Entregar potencia mecánica de _____ kW</v>
      </c>
      <c r="H330" s="7" t="s">
        <v>61</v>
      </c>
      <c r="I330" s="8" t="s">
        <v>2925</v>
      </c>
      <c r="J330" s="7"/>
      <c r="K330" s="7" t="s">
        <v>2926</v>
      </c>
      <c r="L330" s="7" t="s">
        <v>2927</v>
      </c>
      <c r="M330" s="7" t="s">
        <v>2928</v>
      </c>
      <c r="N330" s="8">
        <v>1.0</v>
      </c>
      <c r="O330" s="8" t="s">
        <v>66</v>
      </c>
      <c r="P330" s="8" t="s">
        <v>67</v>
      </c>
      <c r="Q330" s="8" t="s">
        <v>68</v>
      </c>
      <c r="R330" s="7" t="s">
        <v>2930</v>
      </c>
      <c r="S330" s="8" t="s">
        <v>111</v>
      </c>
      <c r="T330" s="8" t="s">
        <v>71</v>
      </c>
      <c r="U330" s="28" t="s">
        <v>2920</v>
      </c>
      <c r="V330" s="28" t="s">
        <v>2081</v>
      </c>
      <c r="W330" s="28" t="s">
        <v>945</v>
      </c>
    </row>
    <row r="331" ht="15.0" customHeight="1">
      <c r="A331" s="7" t="s">
        <v>2931</v>
      </c>
      <c r="B331" s="8" t="s">
        <v>2932</v>
      </c>
      <c r="C331" s="8" t="s">
        <v>2856</v>
      </c>
      <c r="D331" s="7" t="s">
        <v>2857</v>
      </c>
      <c r="E331" s="28" t="s">
        <v>2933</v>
      </c>
      <c r="F331" s="28" t="s">
        <v>2859</v>
      </c>
      <c r="G331" s="7" t="str">
        <f t="shared" si="1"/>
        <v>Alimentar el motor de tracción de _____ a _____ V CA</v>
      </c>
      <c r="H331" s="7" t="s">
        <v>61</v>
      </c>
      <c r="I331" s="8" t="s">
        <v>2937</v>
      </c>
      <c r="J331" s="7"/>
      <c r="K331" s="7" t="s">
        <v>2938</v>
      </c>
      <c r="L331" s="7" t="s">
        <v>2931</v>
      </c>
      <c r="M331" s="7" t="s">
        <v>2939</v>
      </c>
      <c r="N331" s="8">
        <v>1.0</v>
      </c>
      <c r="O331" s="8" t="s">
        <v>66</v>
      </c>
      <c r="P331" s="8" t="s">
        <v>67</v>
      </c>
      <c r="Q331" s="8" t="s">
        <v>68</v>
      </c>
      <c r="R331" s="7" t="s">
        <v>2865</v>
      </c>
      <c r="S331" s="8" t="s">
        <v>111</v>
      </c>
      <c r="T331" s="8" t="s">
        <v>2940</v>
      </c>
      <c r="U331" s="28" t="s">
        <v>2941</v>
      </c>
      <c r="V331" s="28" t="s">
        <v>904</v>
      </c>
      <c r="W331" s="28" t="s">
        <v>2942</v>
      </c>
    </row>
    <row r="332" ht="15.0" customHeight="1">
      <c r="A332" s="7" t="s">
        <v>2931</v>
      </c>
      <c r="B332" s="8" t="s">
        <v>2943</v>
      </c>
      <c r="C332" s="8" t="s">
        <v>2870</v>
      </c>
      <c r="D332" s="7" t="s">
        <v>2871</v>
      </c>
      <c r="E332" s="28" t="s">
        <v>2933</v>
      </c>
      <c r="F332" s="28" t="s">
        <v>2873</v>
      </c>
      <c r="G332" s="7" t="str">
        <f t="shared" si="1"/>
        <v>Variar la frecuencia del motor de _____ a _____ Hz</v>
      </c>
      <c r="H332" s="7" t="s">
        <v>61</v>
      </c>
      <c r="I332" s="8" t="s">
        <v>2937</v>
      </c>
      <c r="J332" s="7"/>
      <c r="K332" s="7" t="s">
        <v>2938</v>
      </c>
      <c r="L332" s="7" t="s">
        <v>2931</v>
      </c>
      <c r="M332" s="7" t="s">
        <v>2939</v>
      </c>
      <c r="N332" s="8">
        <v>1.0</v>
      </c>
      <c r="O332" s="8" t="s">
        <v>1215</v>
      </c>
      <c r="P332" s="8" t="s">
        <v>67</v>
      </c>
      <c r="Q332" s="8" t="s">
        <v>68</v>
      </c>
      <c r="R332" s="7" t="s">
        <v>2876</v>
      </c>
      <c r="S332" s="8" t="s">
        <v>111</v>
      </c>
      <c r="T332" s="8" t="s">
        <v>71</v>
      </c>
      <c r="U332" s="28" t="s">
        <v>2941</v>
      </c>
      <c r="V332" s="28" t="s">
        <v>904</v>
      </c>
      <c r="W332" s="28" t="s">
        <v>2945</v>
      </c>
    </row>
    <row r="333" ht="15.0" customHeight="1">
      <c r="A333" s="7" t="s">
        <v>2946</v>
      </c>
      <c r="B333" s="8" t="s">
        <v>2947</v>
      </c>
      <c r="C333" s="8" t="s">
        <v>2948</v>
      </c>
      <c r="D333" s="7" t="s">
        <v>2949</v>
      </c>
      <c r="E333" s="28" t="s">
        <v>2950</v>
      </c>
      <c r="F333" s="28" t="s">
        <v>2951</v>
      </c>
      <c r="G333" s="7" t="str">
        <f t="shared" si="1"/>
        <v>Refrigerar el equipo de tracción con caudal de _____ m³/h</v>
      </c>
      <c r="H333" s="7" t="s">
        <v>61</v>
      </c>
      <c r="I333" s="8" t="s">
        <v>2952</v>
      </c>
      <c r="J333" s="7"/>
      <c r="K333" s="7" t="s">
        <v>2954</v>
      </c>
      <c r="L333" s="7" t="s">
        <v>2955</v>
      </c>
      <c r="M333" s="7" t="s">
        <v>2956</v>
      </c>
      <c r="N333" s="8">
        <v>2.0</v>
      </c>
      <c r="O333" s="8" t="s">
        <v>187</v>
      </c>
      <c r="P333" s="8" t="s">
        <v>67</v>
      </c>
      <c r="Q333" s="8" t="s">
        <v>87</v>
      </c>
      <c r="R333" s="7" t="s">
        <v>2958</v>
      </c>
      <c r="S333" s="8" t="s">
        <v>111</v>
      </c>
      <c r="T333" s="8" t="s">
        <v>2959</v>
      </c>
      <c r="U333" s="28" t="s">
        <v>2961</v>
      </c>
      <c r="V333" s="28" t="s">
        <v>904</v>
      </c>
      <c r="W333" s="28" t="s">
        <v>2963</v>
      </c>
    </row>
    <row r="334" ht="15.0" customHeight="1">
      <c r="A334" s="7" t="s">
        <v>2964</v>
      </c>
      <c r="B334" s="8" t="s">
        <v>2965</v>
      </c>
      <c r="C334" s="8" t="s">
        <v>2966</v>
      </c>
      <c r="D334" s="7" t="s">
        <v>2967</v>
      </c>
      <c r="E334" s="28" t="s">
        <v>2950</v>
      </c>
      <c r="F334" s="28" t="s">
        <v>2968</v>
      </c>
      <c r="G334" s="7" t="str">
        <f t="shared" si="1"/>
        <v>Renovar el aire del salón con caudal de _____ m³/h por pasajero</v>
      </c>
      <c r="H334" s="7" t="s">
        <v>61</v>
      </c>
      <c r="I334" s="8" t="s">
        <v>2969</v>
      </c>
      <c r="J334" s="7"/>
      <c r="K334" s="7" t="s">
        <v>2970</v>
      </c>
      <c r="L334" s="7" t="s">
        <v>2964</v>
      </c>
      <c r="M334" s="7" t="s">
        <v>2971</v>
      </c>
      <c r="N334" s="8">
        <v>1.0</v>
      </c>
      <c r="O334" s="8" t="s">
        <v>66</v>
      </c>
      <c r="P334" s="8" t="s">
        <v>67</v>
      </c>
      <c r="Q334" s="8" t="s">
        <v>68</v>
      </c>
      <c r="R334" s="7" t="s">
        <v>2972</v>
      </c>
      <c r="S334" s="8" t="s">
        <v>111</v>
      </c>
      <c r="T334" s="8" t="s">
        <v>2973</v>
      </c>
      <c r="U334" s="28" t="s">
        <v>2974</v>
      </c>
      <c r="V334" s="28" t="s">
        <v>904</v>
      </c>
      <c r="W334" s="28" t="s">
        <v>2975</v>
      </c>
    </row>
    <row r="335" ht="15.0" customHeight="1">
      <c r="A335" s="7" t="s">
        <v>2976</v>
      </c>
      <c r="B335" s="8" t="s">
        <v>2977</v>
      </c>
      <c r="C335" s="8" t="s">
        <v>252</v>
      </c>
      <c r="D335" s="7" t="s">
        <v>2978</v>
      </c>
      <c r="E335" s="28" t="s">
        <v>705</v>
      </c>
      <c r="F335" s="28" t="s">
        <v>959</v>
      </c>
      <c r="G335" s="7" t="str">
        <f t="shared" si="1"/>
        <v>Soportar el coche elevado hasta _____ t</v>
      </c>
      <c r="H335" s="7" t="s">
        <v>79</v>
      </c>
      <c r="I335" s="8" t="s">
        <v>2979</v>
      </c>
      <c r="J335" s="7"/>
      <c r="K335" s="7" t="s">
        <v>2980</v>
      </c>
      <c r="L335" s="7" t="s">
        <v>2981</v>
      </c>
      <c r="M335" s="7" t="s">
        <v>2982</v>
      </c>
      <c r="N335" s="8">
        <v>22.0</v>
      </c>
      <c r="O335" s="8" t="s">
        <v>260</v>
      </c>
      <c r="P335" s="8" t="s">
        <v>67</v>
      </c>
      <c r="Q335" s="8" t="s">
        <v>87</v>
      </c>
      <c r="R335" s="7" t="s">
        <v>667</v>
      </c>
      <c r="S335" s="8" t="s">
        <v>111</v>
      </c>
      <c r="T335" s="8" t="s">
        <v>2983</v>
      </c>
      <c r="U335" s="28" t="s">
        <v>2984</v>
      </c>
      <c r="V335" s="28" t="s">
        <v>904</v>
      </c>
      <c r="W335" s="28" t="s">
        <v>2985</v>
      </c>
    </row>
    <row r="336" ht="15.0" customHeight="1">
      <c r="A336" s="7" t="s">
        <v>2986</v>
      </c>
      <c r="B336" s="8" t="s">
        <v>2987</v>
      </c>
      <c r="C336" s="8" t="s">
        <v>767</v>
      </c>
      <c r="D336" s="7" t="s">
        <v>2988</v>
      </c>
      <c r="E336" s="28" t="s">
        <v>705</v>
      </c>
      <c r="F336" s="28" t="s">
        <v>2989</v>
      </c>
      <c r="G336" s="7" t="str">
        <f t="shared" si="1"/>
        <v>Elevar los coches del tren hasta _____ t por punto de elevación</v>
      </c>
      <c r="H336" s="7" t="s">
        <v>79</v>
      </c>
      <c r="I336" s="8" t="s">
        <v>2991</v>
      </c>
      <c r="J336" s="7"/>
      <c r="K336" s="7" t="s">
        <v>2993</v>
      </c>
      <c r="L336" s="7" t="s">
        <v>2994</v>
      </c>
      <c r="M336" s="7" t="s">
        <v>2995</v>
      </c>
      <c r="N336" s="8">
        <v>6.0</v>
      </c>
      <c r="O336" s="8" t="s">
        <v>66</v>
      </c>
      <c r="P336" s="8" t="s">
        <v>67</v>
      </c>
      <c r="Q336" s="8" t="s">
        <v>68</v>
      </c>
      <c r="R336" s="7" t="s">
        <v>2996</v>
      </c>
      <c r="S336" s="8" t="s">
        <v>111</v>
      </c>
      <c r="T336" s="8" t="s">
        <v>2997</v>
      </c>
      <c r="U336" s="28" t="s">
        <v>2998</v>
      </c>
      <c r="V336" s="28" t="s">
        <v>904</v>
      </c>
      <c r="W336" s="28" t="s">
        <v>2999</v>
      </c>
    </row>
    <row r="337" ht="15.0" customHeight="1">
      <c r="A337" s="7" t="s">
        <v>2986</v>
      </c>
      <c r="B337" s="8" t="s">
        <v>3000</v>
      </c>
      <c r="C337" s="8" t="s">
        <v>3001</v>
      </c>
      <c r="D337" s="7" t="s">
        <v>3002</v>
      </c>
      <c r="E337" s="28" t="s">
        <v>3003</v>
      </c>
      <c r="F337" s="28" t="s">
        <v>268</v>
      </c>
      <c r="G337" s="7" t="str">
        <f t="shared" si="1"/>
        <v>Sincronizar la elevación con desnivel máximo de _____ mm</v>
      </c>
      <c r="H337" s="7" t="s">
        <v>79</v>
      </c>
      <c r="I337" s="8" t="s">
        <v>2991</v>
      </c>
      <c r="J337" s="7"/>
      <c r="K337" s="7" t="s">
        <v>3004</v>
      </c>
      <c r="L337" s="7" t="s">
        <v>2994</v>
      </c>
      <c r="M337" s="7" t="s">
        <v>2995</v>
      </c>
      <c r="N337" s="8">
        <v>6.0</v>
      </c>
      <c r="O337" s="8" t="s">
        <v>85</v>
      </c>
      <c r="P337" s="8" t="s">
        <v>86</v>
      </c>
      <c r="Q337" s="8" t="s">
        <v>87</v>
      </c>
      <c r="R337" s="7" t="s">
        <v>3005</v>
      </c>
      <c r="S337" s="8" t="s">
        <v>111</v>
      </c>
      <c r="T337" s="8" t="s">
        <v>71</v>
      </c>
      <c r="U337" s="28" t="s">
        <v>2998</v>
      </c>
      <c r="V337" s="28" t="s">
        <v>904</v>
      </c>
      <c r="W337" s="28" t="s">
        <v>3006</v>
      </c>
    </row>
    <row r="338" ht="15.0" customHeight="1">
      <c r="A338" s="7" t="s">
        <v>2986</v>
      </c>
      <c r="B338" s="8" t="s">
        <v>3007</v>
      </c>
      <c r="C338" s="8" t="s">
        <v>3008</v>
      </c>
      <c r="D338" s="7" t="s">
        <v>2978</v>
      </c>
      <c r="E338" s="28" t="s">
        <v>705</v>
      </c>
      <c r="F338" s="28" t="s">
        <v>3009</v>
      </c>
      <c r="G338" s="7" t="str">
        <f t="shared" si="1"/>
        <v>Sostener el coche elevado hasta _____ t por plataforma</v>
      </c>
      <c r="H338" s="7" t="s">
        <v>79</v>
      </c>
      <c r="I338" s="8" t="s">
        <v>2991</v>
      </c>
      <c r="J338" s="7"/>
      <c r="K338" s="7" t="s">
        <v>3010</v>
      </c>
      <c r="L338" s="7" t="s">
        <v>2994</v>
      </c>
      <c r="M338" s="7" t="s">
        <v>2995</v>
      </c>
      <c r="N338" s="8">
        <v>6.0</v>
      </c>
      <c r="O338" s="8" t="s">
        <v>85</v>
      </c>
      <c r="P338" s="8" t="s">
        <v>86</v>
      </c>
      <c r="Q338" s="8" t="s">
        <v>87</v>
      </c>
      <c r="R338" s="7" t="s">
        <v>3011</v>
      </c>
      <c r="S338" s="8" t="s">
        <v>89</v>
      </c>
      <c r="T338" s="8" t="s">
        <v>71</v>
      </c>
      <c r="U338" s="28" t="s">
        <v>2998</v>
      </c>
      <c r="V338" s="28" t="s">
        <v>904</v>
      </c>
      <c r="W338" s="28" t="s">
        <v>3012</v>
      </c>
    </row>
    <row r="339" ht="15.0" customHeight="1">
      <c r="A339" s="7" t="s">
        <v>3013</v>
      </c>
      <c r="B339" s="8" t="s">
        <v>3014</v>
      </c>
      <c r="C339" s="8" t="s">
        <v>335</v>
      </c>
      <c r="D339" s="7" t="s">
        <v>3015</v>
      </c>
      <c r="E339" s="28" t="s">
        <v>3016</v>
      </c>
      <c r="F339" s="28" t="s">
        <v>3017</v>
      </c>
      <c r="G339" s="7" t="str">
        <f t="shared" si="1"/>
        <v>Transmitir el movimiento de elevación a velocidad de _____ mm/s</v>
      </c>
      <c r="H339" s="7" t="s">
        <v>61</v>
      </c>
      <c r="I339" s="8" t="s">
        <v>3020</v>
      </c>
      <c r="J339" s="7"/>
      <c r="K339" s="7" t="s">
        <v>3022</v>
      </c>
      <c r="L339" s="7" t="s">
        <v>3023</v>
      </c>
      <c r="M339" s="7" t="s">
        <v>3024</v>
      </c>
      <c r="N339" s="8">
        <v>2.0</v>
      </c>
      <c r="O339" s="8" t="s">
        <v>66</v>
      </c>
      <c r="P339" s="8" t="s">
        <v>67</v>
      </c>
      <c r="Q339" s="8" t="s">
        <v>68</v>
      </c>
      <c r="R339" s="7" t="s">
        <v>3025</v>
      </c>
      <c r="S339" s="8" t="s">
        <v>111</v>
      </c>
      <c r="T339" s="8" t="s">
        <v>3026</v>
      </c>
      <c r="U339" s="28" t="s">
        <v>3027</v>
      </c>
      <c r="V339" s="28" t="s">
        <v>904</v>
      </c>
      <c r="W339" s="28" t="s">
        <v>3028</v>
      </c>
    </row>
    <row r="340" ht="15.0" customHeight="1">
      <c r="A340" s="7" t="s">
        <v>3029</v>
      </c>
      <c r="B340" s="8" t="s">
        <v>3030</v>
      </c>
      <c r="C340" s="8" t="s">
        <v>3031</v>
      </c>
      <c r="D340" s="7" t="s">
        <v>3032</v>
      </c>
      <c r="E340" s="28" t="s">
        <v>3033</v>
      </c>
      <c r="F340" s="28" t="s">
        <v>1010</v>
      </c>
      <c r="G340" s="7" t="str">
        <f t="shared" si="1"/>
        <v>Desplazar el tren en el torno con fuerza de tiro de _____ kN</v>
      </c>
      <c r="H340" s="7" t="s">
        <v>61</v>
      </c>
      <c r="I340" s="8" t="s">
        <v>3034</v>
      </c>
      <c r="J340" s="7"/>
      <c r="K340" s="7" t="s">
        <v>3035</v>
      </c>
      <c r="L340" s="7" t="s">
        <v>3036</v>
      </c>
      <c r="M340" s="7" t="s">
        <v>3037</v>
      </c>
      <c r="N340" s="8">
        <v>1.0</v>
      </c>
      <c r="O340" s="8" t="s">
        <v>66</v>
      </c>
      <c r="P340" s="8" t="s">
        <v>67</v>
      </c>
      <c r="Q340" s="8" t="s">
        <v>68</v>
      </c>
      <c r="R340" s="7" t="s">
        <v>667</v>
      </c>
      <c r="S340" s="8" t="s">
        <v>111</v>
      </c>
      <c r="T340" s="8" t="s">
        <v>3038</v>
      </c>
      <c r="U340" s="28" t="s">
        <v>3039</v>
      </c>
      <c r="V340" s="28" t="s">
        <v>904</v>
      </c>
      <c r="W340" s="28" t="s">
        <v>3040</v>
      </c>
    </row>
    <row r="341" ht="15.0" customHeight="1">
      <c r="A341" s="7" t="s">
        <v>3041</v>
      </c>
      <c r="B341" s="8" t="s">
        <v>3042</v>
      </c>
      <c r="C341" s="8" t="s">
        <v>3043</v>
      </c>
      <c r="D341" s="7" t="s">
        <v>3044</v>
      </c>
      <c r="E341" s="28" t="s">
        <v>901</v>
      </c>
      <c r="F341" s="28" t="s">
        <v>268</v>
      </c>
      <c r="G341" s="7" t="str">
        <f t="shared" si="1"/>
        <v>Copiar el perfil patrón con exactitud de ±_____ mm</v>
      </c>
      <c r="H341" s="7" t="s">
        <v>61</v>
      </c>
      <c r="I341" s="8" t="s">
        <v>3045</v>
      </c>
      <c r="J341" s="7"/>
      <c r="K341" s="7" t="s">
        <v>3046</v>
      </c>
      <c r="L341" s="7" t="s">
        <v>3047</v>
      </c>
      <c r="M341" s="7" t="s">
        <v>3048</v>
      </c>
      <c r="N341" s="8">
        <v>2.0</v>
      </c>
      <c r="O341" s="8" t="s">
        <v>1215</v>
      </c>
      <c r="P341" s="8" t="s">
        <v>67</v>
      </c>
      <c r="Q341" s="8" t="s">
        <v>87</v>
      </c>
      <c r="R341" s="7" t="s">
        <v>551</v>
      </c>
      <c r="S341" s="8" t="s">
        <v>111</v>
      </c>
      <c r="T341" s="8" t="s">
        <v>3049</v>
      </c>
      <c r="U341" s="28" t="s">
        <v>3050</v>
      </c>
      <c r="V341" s="28" t="s">
        <v>904</v>
      </c>
      <c r="W341" s="28" t="s">
        <v>3051</v>
      </c>
    </row>
    <row r="342" ht="15.0" customHeight="1">
      <c r="A342" s="7" t="s">
        <v>3052</v>
      </c>
      <c r="B342" s="8" t="s">
        <v>3053</v>
      </c>
      <c r="C342" s="8" t="s">
        <v>1939</v>
      </c>
      <c r="D342" s="7" t="s">
        <v>3056</v>
      </c>
      <c r="E342" s="28" t="s">
        <v>3057</v>
      </c>
      <c r="F342" s="28" t="s">
        <v>268</v>
      </c>
      <c r="G342" s="7" t="str">
        <f t="shared" si="1"/>
        <v>Posicionar la herramienta de corte con precisión de ±_____ mm</v>
      </c>
      <c r="H342" s="7" t="s">
        <v>61</v>
      </c>
      <c r="I342" s="8" t="s">
        <v>3058</v>
      </c>
      <c r="J342" s="7"/>
      <c r="K342" s="7" t="s">
        <v>3059</v>
      </c>
      <c r="L342" s="7" t="s">
        <v>3060</v>
      </c>
      <c r="M342" s="7" t="s">
        <v>3061</v>
      </c>
      <c r="N342" s="8">
        <v>1.0</v>
      </c>
      <c r="O342" s="8" t="s">
        <v>1215</v>
      </c>
      <c r="P342" s="8" t="s">
        <v>67</v>
      </c>
      <c r="Q342" s="8" t="s">
        <v>68</v>
      </c>
      <c r="R342" s="7" t="s">
        <v>3062</v>
      </c>
      <c r="S342" s="8" t="s">
        <v>111</v>
      </c>
      <c r="T342" s="8" t="s">
        <v>3063</v>
      </c>
      <c r="U342" s="28" t="s">
        <v>3064</v>
      </c>
      <c r="V342" s="28" t="s">
        <v>904</v>
      </c>
      <c r="W342" s="28" t="s">
        <v>3065</v>
      </c>
    </row>
    <row r="343" ht="15.0" customHeight="1">
      <c r="A343" s="7" t="s">
        <v>3066</v>
      </c>
      <c r="B343" s="8" t="s">
        <v>3067</v>
      </c>
      <c r="C343" s="8" t="s">
        <v>1939</v>
      </c>
      <c r="D343" s="7" t="s">
        <v>3068</v>
      </c>
      <c r="E343" s="28" t="s">
        <v>3069</v>
      </c>
      <c r="F343" s="28" t="s">
        <v>268</v>
      </c>
      <c r="G343" s="7" t="str">
        <f t="shared" si="1"/>
        <v>Posicionar el palpador con repetibilidad de ±_____ mm</v>
      </c>
      <c r="H343" s="7" t="s">
        <v>61</v>
      </c>
      <c r="I343" s="8" t="s">
        <v>3070</v>
      </c>
      <c r="J343" s="7"/>
      <c r="K343" s="7" t="s">
        <v>3071</v>
      </c>
      <c r="L343" s="7" t="s">
        <v>3072</v>
      </c>
      <c r="M343" s="7" t="s">
        <v>3073</v>
      </c>
      <c r="N343" s="8">
        <v>1.0</v>
      </c>
      <c r="O343" s="8" t="s">
        <v>1215</v>
      </c>
      <c r="P343" s="8" t="s">
        <v>67</v>
      </c>
      <c r="Q343" s="8" t="s">
        <v>68</v>
      </c>
      <c r="R343" s="7" t="s">
        <v>3062</v>
      </c>
      <c r="S343" s="8" t="s">
        <v>111</v>
      </c>
      <c r="T343" s="8" t="s">
        <v>3074</v>
      </c>
      <c r="U343" s="28" t="s">
        <v>3075</v>
      </c>
      <c r="V343" s="28" t="s">
        <v>904</v>
      </c>
      <c r="W343" s="28" t="s">
        <v>3076</v>
      </c>
    </row>
    <row r="344" ht="15.0" customHeight="1">
      <c r="A344" s="7" t="s">
        <v>3077</v>
      </c>
      <c r="B344" s="8" t="s">
        <v>3078</v>
      </c>
      <c r="C344" s="8" t="s">
        <v>1619</v>
      </c>
      <c r="D344" s="7" t="s">
        <v>3079</v>
      </c>
      <c r="E344" s="28" t="s">
        <v>2933</v>
      </c>
      <c r="F344" s="28" t="s">
        <v>579</v>
      </c>
      <c r="G344" s="7" t="str">
        <f t="shared" si="1"/>
        <v>Girar el eje montado de _____ a _____ rpm</v>
      </c>
      <c r="H344" s="7" t="s">
        <v>61</v>
      </c>
      <c r="I344" s="8" t="s">
        <v>3080</v>
      </c>
      <c r="J344" s="7"/>
      <c r="K344" s="7" t="s">
        <v>3081</v>
      </c>
      <c r="L344" s="7" t="s">
        <v>3082</v>
      </c>
      <c r="M344" s="7" t="s">
        <v>3083</v>
      </c>
      <c r="N344" s="8">
        <v>1.0</v>
      </c>
      <c r="O344" s="8" t="s">
        <v>66</v>
      </c>
      <c r="P344" s="8" t="s">
        <v>67</v>
      </c>
      <c r="Q344" s="8" t="s">
        <v>68</v>
      </c>
      <c r="R344" s="7" t="s">
        <v>1624</v>
      </c>
      <c r="S344" s="8" t="s">
        <v>111</v>
      </c>
      <c r="T344" s="8" t="s">
        <v>3084</v>
      </c>
      <c r="U344" s="28" t="s">
        <v>3085</v>
      </c>
      <c r="V344" s="28" t="s">
        <v>904</v>
      </c>
      <c r="W344" s="28" t="s">
        <v>3086</v>
      </c>
    </row>
    <row r="345" ht="23.25" customHeight="1">
      <c r="A345" s="7" t="s">
        <v>3087</v>
      </c>
      <c r="B345" s="8" t="s">
        <v>3088</v>
      </c>
      <c r="C345" s="8" t="s">
        <v>3089</v>
      </c>
      <c r="D345" s="7" t="s">
        <v>3079</v>
      </c>
      <c r="E345" s="28" t="s">
        <v>3090</v>
      </c>
      <c r="F345" s="28" t="s">
        <v>1010</v>
      </c>
      <c r="G345" s="7" t="str">
        <f t="shared" si="1"/>
        <v>Sujetar el eje montado con fuerza de _____ kN</v>
      </c>
      <c r="H345" s="7" t="s">
        <v>61</v>
      </c>
      <c r="I345" s="8" t="s">
        <v>3091</v>
      </c>
      <c r="J345" s="7"/>
      <c r="K345" s="7" t="s">
        <v>3092</v>
      </c>
      <c r="L345" s="7" t="s">
        <v>3093</v>
      </c>
      <c r="M345" s="7" t="s">
        <v>3094</v>
      </c>
      <c r="N345" s="8">
        <v>1.0</v>
      </c>
      <c r="O345" s="8" t="s">
        <v>260</v>
      </c>
      <c r="P345" s="8" t="s">
        <v>67</v>
      </c>
      <c r="Q345" s="8" t="s">
        <v>68</v>
      </c>
      <c r="R345" s="7" t="s">
        <v>3095</v>
      </c>
      <c r="S345" s="8" t="s">
        <v>111</v>
      </c>
      <c r="T345" s="8" t="s">
        <v>3096</v>
      </c>
      <c r="U345" s="28" t="s">
        <v>3097</v>
      </c>
      <c r="V345" s="28" t="s">
        <v>904</v>
      </c>
      <c r="W345" s="28" t="s">
        <v>3098</v>
      </c>
    </row>
    <row r="346" ht="15.0" customHeight="1">
      <c r="A346" s="7" t="s">
        <v>3099</v>
      </c>
      <c r="B346" s="8" t="s">
        <v>3100</v>
      </c>
      <c r="C346" s="8" t="s">
        <v>890</v>
      </c>
      <c r="D346" s="7" t="s">
        <v>2130</v>
      </c>
      <c r="E346" s="28" t="s">
        <v>901</v>
      </c>
      <c r="F346" s="28" t="s">
        <v>268</v>
      </c>
      <c r="G346" s="7" t="str">
        <f t="shared" si="1"/>
        <v>Medir el diámetro de rueda con exactitud de ±_____ mm</v>
      </c>
      <c r="H346" s="7" t="s">
        <v>61</v>
      </c>
      <c r="I346" s="8" t="s">
        <v>3101</v>
      </c>
      <c r="J346" s="7"/>
      <c r="K346" s="7" t="s">
        <v>3102</v>
      </c>
      <c r="L346" s="7" t="s">
        <v>3103</v>
      </c>
      <c r="M346" s="7" t="s">
        <v>3104</v>
      </c>
      <c r="N346" s="8">
        <v>1.0</v>
      </c>
      <c r="O346" s="8" t="s">
        <v>550</v>
      </c>
      <c r="P346" s="8" t="s">
        <v>67</v>
      </c>
      <c r="Q346" s="8" t="s">
        <v>87</v>
      </c>
      <c r="R346" s="7" t="s">
        <v>1649</v>
      </c>
      <c r="S346" s="8" t="s">
        <v>111</v>
      </c>
      <c r="T346" s="8" t="s">
        <v>3105</v>
      </c>
      <c r="U346" s="28" t="s">
        <v>3106</v>
      </c>
      <c r="V346" s="28" t="s">
        <v>904</v>
      </c>
      <c r="W346" s="28" t="s">
        <v>3107</v>
      </c>
    </row>
    <row r="347" ht="15.0" customHeight="1">
      <c r="A347" s="7" t="s">
        <v>3108</v>
      </c>
      <c r="B347" s="8" t="s">
        <v>3109</v>
      </c>
      <c r="C347" s="8" t="s">
        <v>3110</v>
      </c>
      <c r="D347" s="7" t="s">
        <v>3111</v>
      </c>
      <c r="E347" s="28" t="s">
        <v>1569</v>
      </c>
      <c r="F347" s="28" t="s">
        <v>3113</v>
      </c>
      <c r="G347" s="7" t="str">
        <f t="shared" si="1"/>
        <v>Evacuar la viruta con capacidad de _____ kg/h</v>
      </c>
      <c r="H347" s="7" t="s">
        <v>61</v>
      </c>
      <c r="I347" s="8" t="s">
        <v>3114</v>
      </c>
      <c r="J347" s="7"/>
      <c r="K347" s="7" t="s">
        <v>3116</v>
      </c>
      <c r="L347" s="7" t="s">
        <v>3117</v>
      </c>
      <c r="M347" s="7" t="s">
        <v>3119</v>
      </c>
      <c r="N347" s="8">
        <v>1.0</v>
      </c>
      <c r="O347" s="8" t="s">
        <v>187</v>
      </c>
      <c r="P347" s="8" t="s">
        <v>67</v>
      </c>
      <c r="Q347" s="8" t="s">
        <v>68</v>
      </c>
      <c r="R347" s="7" t="s">
        <v>748</v>
      </c>
      <c r="S347" s="8" t="s">
        <v>111</v>
      </c>
      <c r="T347" s="8" t="s">
        <v>3120</v>
      </c>
      <c r="U347" s="28" t="s">
        <v>3121</v>
      </c>
      <c r="V347" s="28" t="s">
        <v>904</v>
      </c>
      <c r="W347" s="28" t="s">
        <v>3122</v>
      </c>
    </row>
    <row r="348" ht="15.0" customHeight="1">
      <c r="A348" s="7" t="s">
        <v>3123</v>
      </c>
      <c r="B348" s="8" t="s">
        <v>3124</v>
      </c>
      <c r="C348" s="8" t="s">
        <v>309</v>
      </c>
      <c r="D348" s="7" t="s">
        <v>310</v>
      </c>
      <c r="E348" s="7" t="s">
        <v>311</v>
      </c>
      <c r="F348" s="7" t="s">
        <v>155</v>
      </c>
      <c r="G348" s="7" t="str">
        <f t="shared" si="1"/>
        <v>Presurizar los cilindros de freno entre 3,7 y 3,9 bar</v>
      </c>
      <c r="H348" s="7" t="s">
        <v>79</v>
      </c>
      <c r="I348" s="8" t="s">
        <v>3125</v>
      </c>
      <c r="J348" s="7" t="s">
        <v>315</v>
      </c>
      <c r="K348" s="7" t="s">
        <v>3126</v>
      </c>
      <c r="L348" s="7" t="s">
        <v>3127</v>
      </c>
      <c r="M348" s="7" t="s">
        <v>3128</v>
      </c>
      <c r="N348" s="8">
        <v>2.0</v>
      </c>
      <c r="O348" s="8" t="s">
        <v>85</v>
      </c>
      <c r="P348" s="8" t="s">
        <v>67</v>
      </c>
      <c r="Q348" s="8" t="s">
        <v>68</v>
      </c>
      <c r="R348" s="7" t="s">
        <v>3129</v>
      </c>
      <c r="S348" s="8" t="s">
        <v>89</v>
      </c>
      <c r="T348" s="8" t="s">
        <v>71</v>
      </c>
      <c r="U348" s="7" t="s">
        <v>3130</v>
      </c>
      <c r="V348" s="7" t="s">
        <v>3131</v>
      </c>
      <c r="W348" s="7" t="s">
        <v>1148</v>
      </c>
    </row>
    <row r="349" ht="15.0" customHeight="1">
      <c r="A349" s="7" t="s">
        <v>3123</v>
      </c>
      <c r="B349" s="8" t="s">
        <v>3132</v>
      </c>
      <c r="C349" s="8" t="s">
        <v>3133</v>
      </c>
      <c r="D349" s="7" t="s">
        <v>3134</v>
      </c>
      <c r="E349" s="7" t="s">
        <v>3135</v>
      </c>
      <c r="F349" s="7" t="s">
        <v>1392</v>
      </c>
      <c r="G349" s="7" t="str">
        <f t="shared" si="1"/>
        <v>Llenar el cilindro de freno en 3 a 5 s</v>
      </c>
      <c r="H349" s="7" t="s">
        <v>79</v>
      </c>
      <c r="I349" s="8" t="s">
        <v>3125</v>
      </c>
      <c r="J349" s="7" t="s">
        <v>315</v>
      </c>
      <c r="K349" s="7"/>
      <c r="L349" s="7" t="s">
        <v>3127</v>
      </c>
      <c r="M349" s="7" t="s">
        <v>3128</v>
      </c>
      <c r="N349" s="8">
        <v>2.0</v>
      </c>
      <c r="O349" s="8" t="s">
        <v>85</v>
      </c>
      <c r="P349" s="8" t="s">
        <v>86</v>
      </c>
      <c r="Q349" s="8" t="s">
        <v>68</v>
      </c>
      <c r="R349" s="7" t="s">
        <v>3136</v>
      </c>
      <c r="S349" s="8" t="s">
        <v>89</v>
      </c>
      <c r="T349" s="8" t="s">
        <v>71</v>
      </c>
      <c r="U349" s="7" t="s">
        <v>3130</v>
      </c>
      <c r="V349" s="7" t="s">
        <v>3131</v>
      </c>
      <c r="W349" s="7" t="s">
        <v>3137</v>
      </c>
    </row>
    <row r="350" ht="15.0" customHeight="1">
      <c r="A350" s="7" t="s">
        <v>3123</v>
      </c>
      <c r="B350" s="8" t="s">
        <v>3138</v>
      </c>
      <c r="C350" s="8" t="s">
        <v>3139</v>
      </c>
      <c r="D350" s="7" t="s">
        <v>3140</v>
      </c>
      <c r="E350" s="7" t="s">
        <v>3141</v>
      </c>
      <c r="F350" s="7" t="s">
        <v>1392</v>
      </c>
      <c r="G350" s="7" t="str">
        <f t="shared" si="1"/>
        <v>Aflojar el freno en 15 a 20 s</v>
      </c>
      <c r="H350" s="7" t="s">
        <v>61</v>
      </c>
      <c r="I350" s="8" t="s">
        <v>3125</v>
      </c>
      <c r="J350" s="7" t="s">
        <v>315</v>
      </c>
      <c r="K350" s="7"/>
      <c r="L350" s="7" t="s">
        <v>3127</v>
      </c>
      <c r="M350" s="7" t="s">
        <v>3128</v>
      </c>
      <c r="N350" s="8">
        <v>2.0</v>
      </c>
      <c r="O350" s="8" t="s">
        <v>66</v>
      </c>
      <c r="P350" s="8" t="s">
        <v>86</v>
      </c>
      <c r="Q350" s="8" t="s">
        <v>68</v>
      </c>
      <c r="R350" s="7" t="s">
        <v>3136</v>
      </c>
      <c r="S350" s="8" t="s">
        <v>89</v>
      </c>
      <c r="T350" s="8" t="s">
        <v>71</v>
      </c>
      <c r="U350" s="7" t="s">
        <v>3130</v>
      </c>
      <c r="V350" s="7" t="s">
        <v>3131</v>
      </c>
      <c r="W350" s="7" t="s">
        <v>3142</v>
      </c>
    </row>
    <row r="351" ht="23.25" customHeight="1">
      <c r="A351" s="7" t="s">
        <v>3143</v>
      </c>
      <c r="B351" s="8" t="s">
        <v>3144</v>
      </c>
      <c r="C351" s="8" t="s">
        <v>309</v>
      </c>
      <c r="D351" s="7" t="s">
        <v>310</v>
      </c>
      <c r="E351" s="7" t="s">
        <v>311</v>
      </c>
      <c r="F351" s="7" t="s">
        <v>155</v>
      </c>
      <c r="G351" s="7" t="str">
        <f t="shared" si="1"/>
        <v>Presurizar los cilindros de freno entre 3,7 y 3,9 bar</v>
      </c>
      <c r="H351" s="7" t="s">
        <v>79</v>
      </c>
      <c r="I351" s="8" t="s">
        <v>3145</v>
      </c>
      <c r="J351" s="7" t="s">
        <v>315</v>
      </c>
      <c r="K351" s="7" t="s">
        <v>3126</v>
      </c>
      <c r="L351" s="7" t="s">
        <v>3148</v>
      </c>
      <c r="M351" s="7" t="s">
        <v>3149</v>
      </c>
      <c r="N351" s="8">
        <v>1.0</v>
      </c>
      <c r="O351" s="8" t="s">
        <v>85</v>
      </c>
      <c r="P351" s="8" t="s">
        <v>67</v>
      </c>
      <c r="Q351" s="8" t="s">
        <v>68</v>
      </c>
      <c r="R351" s="7" t="s">
        <v>3129</v>
      </c>
      <c r="S351" s="8" t="s">
        <v>89</v>
      </c>
      <c r="T351" s="8" t="s">
        <v>71</v>
      </c>
      <c r="U351" s="7" t="s">
        <v>3130</v>
      </c>
      <c r="V351" s="7" t="s">
        <v>3131</v>
      </c>
      <c r="W351" s="7" t="s">
        <v>1148</v>
      </c>
    </row>
    <row r="352" ht="15.0" customHeight="1">
      <c r="A352" s="7" t="s">
        <v>3143</v>
      </c>
      <c r="B352" s="8" t="s">
        <v>3150</v>
      </c>
      <c r="C352" s="8" t="s">
        <v>3133</v>
      </c>
      <c r="D352" s="7" t="s">
        <v>3134</v>
      </c>
      <c r="E352" s="7" t="s">
        <v>3135</v>
      </c>
      <c r="F352" s="7" t="s">
        <v>1392</v>
      </c>
      <c r="G352" s="7" t="str">
        <f t="shared" si="1"/>
        <v>Llenar el cilindro de freno en 3 a 5 s</v>
      </c>
      <c r="H352" s="7" t="s">
        <v>79</v>
      </c>
      <c r="I352" s="8" t="s">
        <v>3145</v>
      </c>
      <c r="J352" s="7" t="s">
        <v>315</v>
      </c>
      <c r="K352" s="7"/>
      <c r="L352" s="7" t="s">
        <v>3148</v>
      </c>
      <c r="M352" s="7" t="s">
        <v>3149</v>
      </c>
      <c r="N352" s="8">
        <v>1.0</v>
      </c>
      <c r="O352" s="8" t="s">
        <v>85</v>
      </c>
      <c r="P352" s="8" t="s">
        <v>86</v>
      </c>
      <c r="Q352" s="8" t="s">
        <v>68</v>
      </c>
      <c r="R352" s="7" t="s">
        <v>3136</v>
      </c>
      <c r="S352" s="8" t="s">
        <v>89</v>
      </c>
      <c r="T352" s="8" t="s">
        <v>71</v>
      </c>
      <c r="U352" s="7" t="s">
        <v>3130</v>
      </c>
      <c r="V352" s="7" t="s">
        <v>3131</v>
      </c>
      <c r="W352" s="7" t="s">
        <v>3137</v>
      </c>
    </row>
    <row r="353" ht="23.25" customHeight="1">
      <c r="A353" s="7" t="s">
        <v>3143</v>
      </c>
      <c r="B353" s="8" t="s">
        <v>3151</v>
      </c>
      <c r="C353" s="8" t="s">
        <v>3139</v>
      </c>
      <c r="D353" s="7" t="s">
        <v>3140</v>
      </c>
      <c r="E353" s="7" t="s">
        <v>3141</v>
      </c>
      <c r="F353" s="7" t="s">
        <v>1392</v>
      </c>
      <c r="G353" s="7" t="str">
        <f t="shared" si="1"/>
        <v>Aflojar el freno en 15 a 20 s</v>
      </c>
      <c r="H353" s="7" t="s">
        <v>61</v>
      </c>
      <c r="I353" s="8" t="s">
        <v>3145</v>
      </c>
      <c r="J353" s="7" t="s">
        <v>315</v>
      </c>
      <c r="K353" s="7"/>
      <c r="L353" s="7" t="s">
        <v>3148</v>
      </c>
      <c r="M353" s="7" t="s">
        <v>3149</v>
      </c>
      <c r="N353" s="8">
        <v>1.0</v>
      </c>
      <c r="O353" s="8" t="s">
        <v>66</v>
      </c>
      <c r="P353" s="8" t="s">
        <v>86</v>
      </c>
      <c r="Q353" s="8" t="s">
        <v>68</v>
      </c>
      <c r="R353" s="7" t="s">
        <v>3136</v>
      </c>
      <c r="S353" s="8" t="s">
        <v>89</v>
      </c>
      <c r="T353" s="8" t="s">
        <v>71</v>
      </c>
      <c r="U353" s="7" t="s">
        <v>3130</v>
      </c>
      <c r="V353" s="7" t="s">
        <v>3131</v>
      </c>
      <c r="W353" s="7" t="s">
        <v>3142</v>
      </c>
    </row>
    <row r="354" ht="15.0" customHeight="1">
      <c r="A354" s="7" t="s">
        <v>3152</v>
      </c>
      <c r="B354" s="8" t="s">
        <v>3153</v>
      </c>
      <c r="C354" s="8" t="s">
        <v>309</v>
      </c>
      <c r="D354" s="7" t="s">
        <v>310</v>
      </c>
      <c r="E354" s="7" t="s">
        <v>311</v>
      </c>
      <c r="F354" s="7" t="s">
        <v>155</v>
      </c>
      <c r="G354" s="7" t="str">
        <f t="shared" si="1"/>
        <v>Presurizar los cilindros de freno entre 3,7 y 3,9 bar</v>
      </c>
      <c r="H354" s="7" t="s">
        <v>79</v>
      </c>
      <c r="I354" s="8" t="s">
        <v>3155</v>
      </c>
      <c r="J354" s="7" t="s">
        <v>315</v>
      </c>
      <c r="K354" s="7" t="s">
        <v>3126</v>
      </c>
      <c r="L354" s="7" t="s">
        <v>3156</v>
      </c>
      <c r="M354" s="7" t="s">
        <v>3157</v>
      </c>
      <c r="N354" s="8">
        <v>7.0</v>
      </c>
      <c r="O354" s="8" t="s">
        <v>85</v>
      </c>
      <c r="P354" s="8" t="s">
        <v>67</v>
      </c>
      <c r="Q354" s="8" t="s">
        <v>68</v>
      </c>
      <c r="R354" s="7" t="s">
        <v>3129</v>
      </c>
      <c r="S354" s="8" t="s">
        <v>89</v>
      </c>
      <c r="T354" s="8" t="s">
        <v>71</v>
      </c>
      <c r="U354" s="7" t="s">
        <v>3130</v>
      </c>
      <c r="V354" s="7" t="s">
        <v>3131</v>
      </c>
      <c r="W354" s="7" t="s">
        <v>1148</v>
      </c>
    </row>
    <row r="355" ht="15.0" customHeight="1">
      <c r="A355" s="7" t="s">
        <v>3152</v>
      </c>
      <c r="B355" s="8" t="s">
        <v>3158</v>
      </c>
      <c r="C355" s="8" t="s">
        <v>3133</v>
      </c>
      <c r="D355" s="7" t="s">
        <v>3134</v>
      </c>
      <c r="E355" s="7" t="s">
        <v>3135</v>
      </c>
      <c r="F355" s="7" t="s">
        <v>1392</v>
      </c>
      <c r="G355" s="7" t="str">
        <f t="shared" si="1"/>
        <v>Llenar el cilindro de freno en 3 a 5 s</v>
      </c>
      <c r="H355" s="7" t="s">
        <v>79</v>
      </c>
      <c r="I355" s="8" t="s">
        <v>3155</v>
      </c>
      <c r="J355" s="7" t="s">
        <v>315</v>
      </c>
      <c r="K355" s="7"/>
      <c r="L355" s="7" t="s">
        <v>3156</v>
      </c>
      <c r="M355" s="7" t="s">
        <v>3157</v>
      </c>
      <c r="N355" s="8">
        <v>7.0</v>
      </c>
      <c r="O355" s="8" t="s">
        <v>85</v>
      </c>
      <c r="P355" s="8" t="s">
        <v>86</v>
      </c>
      <c r="Q355" s="8" t="s">
        <v>68</v>
      </c>
      <c r="R355" s="7" t="s">
        <v>3136</v>
      </c>
      <c r="S355" s="8" t="s">
        <v>89</v>
      </c>
      <c r="T355" s="8" t="s">
        <v>71</v>
      </c>
      <c r="U355" s="7" t="s">
        <v>3130</v>
      </c>
      <c r="V355" s="7" t="s">
        <v>3131</v>
      </c>
      <c r="W355" s="7" t="s">
        <v>3137</v>
      </c>
    </row>
    <row r="356" ht="15.0" customHeight="1">
      <c r="A356" s="7" t="s">
        <v>3152</v>
      </c>
      <c r="B356" s="8" t="s">
        <v>3159</v>
      </c>
      <c r="C356" s="8" t="s">
        <v>3139</v>
      </c>
      <c r="D356" s="7" t="s">
        <v>3140</v>
      </c>
      <c r="E356" s="7" t="s">
        <v>3141</v>
      </c>
      <c r="F356" s="7" t="s">
        <v>1392</v>
      </c>
      <c r="G356" s="7" t="str">
        <f t="shared" si="1"/>
        <v>Aflojar el freno en 15 a 20 s</v>
      </c>
      <c r="H356" s="7" t="s">
        <v>61</v>
      </c>
      <c r="I356" s="8" t="s">
        <v>3155</v>
      </c>
      <c r="J356" s="7" t="s">
        <v>315</v>
      </c>
      <c r="K356" s="7"/>
      <c r="L356" s="7" t="s">
        <v>3156</v>
      </c>
      <c r="M356" s="7" t="s">
        <v>3157</v>
      </c>
      <c r="N356" s="8">
        <v>7.0</v>
      </c>
      <c r="O356" s="8" t="s">
        <v>66</v>
      </c>
      <c r="P356" s="8" t="s">
        <v>86</v>
      </c>
      <c r="Q356" s="8" t="s">
        <v>68</v>
      </c>
      <c r="R356" s="7" t="s">
        <v>3136</v>
      </c>
      <c r="S356" s="8" t="s">
        <v>89</v>
      </c>
      <c r="T356" s="8" t="s">
        <v>71</v>
      </c>
      <c r="U356" s="7" t="s">
        <v>3130</v>
      </c>
      <c r="V356" s="7" t="s">
        <v>3131</v>
      </c>
      <c r="W356" s="7" t="s">
        <v>3142</v>
      </c>
    </row>
    <row r="357" ht="23.25" customHeight="1">
      <c r="A357" s="7" t="s">
        <v>3161</v>
      </c>
      <c r="B357" s="8" t="s">
        <v>3162</v>
      </c>
      <c r="C357" s="8" t="s">
        <v>55</v>
      </c>
      <c r="D357" s="7" t="s">
        <v>1420</v>
      </c>
      <c r="E357" s="28" t="s">
        <v>705</v>
      </c>
      <c r="F357" s="28" t="s">
        <v>959</v>
      </c>
      <c r="G357" s="7" t="str">
        <f t="shared" si="1"/>
        <v>Transportar material de vía hasta _____ t</v>
      </c>
      <c r="H357" s="7" t="s">
        <v>61</v>
      </c>
      <c r="I357" s="8" t="s">
        <v>3165</v>
      </c>
      <c r="J357" s="7"/>
      <c r="K357" s="7" t="s">
        <v>1428</v>
      </c>
      <c r="L357" s="7" t="s">
        <v>3161</v>
      </c>
      <c r="M357" s="7" t="s">
        <v>3166</v>
      </c>
      <c r="N357" s="8">
        <v>1.0</v>
      </c>
      <c r="O357" s="8" t="s">
        <v>66</v>
      </c>
      <c r="P357" s="8" t="s">
        <v>67</v>
      </c>
      <c r="Q357" s="8" t="s">
        <v>68</v>
      </c>
      <c r="R357" s="7" t="s">
        <v>1431</v>
      </c>
      <c r="S357" s="8" t="s">
        <v>111</v>
      </c>
      <c r="T357" s="8" t="s">
        <v>71</v>
      </c>
      <c r="U357" s="28" t="s">
        <v>1432</v>
      </c>
      <c r="V357" s="28" t="s">
        <v>904</v>
      </c>
      <c r="W357" s="28" t="s">
        <v>1433</v>
      </c>
    </row>
    <row r="358" ht="15.0" customHeight="1">
      <c r="A358" s="7" t="s">
        <v>3161</v>
      </c>
      <c r="B358" s="8" t="s">
        <v>3167</v>
      </c>
      <c r="C358" s="8" t="s">
        <v>309</v>
      </c>
      <c r="D358" s="7" t="s">
        <v>310</v>
      </c>
      <c r="E358" s="7" t="s">
        <v>311</v>
      </c>
      <c r="F358" s="7" t="s">
        <v>155</v>
      </c>
      <c r="G358" s="7" t="str">
        <f t="shared" si="1"/>
        <v>Presurizar los cilindros de freno entre 3,7 y 3,9 bar</v>
      </c>
      <c r="H358" s="7" t="s">
        <v>79</v>
      </c>
      <c r="I358" s="8" t="s">
        <v>3165</v>
      </c>
      <c r="J358" s="7" t="s">
        <v>315</v>
      </c>
      <c r="K358" s="7" t="s">
        <v>316</v>
      </c>
      <c r="L358" s="7" t="s">
        <v>3161</v>
      </c>
      <c r="M358" s="7" t="s">
        <v>3166</v>
      </c>
      <c r="N358" s="8">
        <v>1.0</v>
      </c>
      <c r="O358" s="8" t="s">
        <v>85</v>
      </c>
      <c r="P358" s="8" t="s">
        <v>86</v>
      </c>
      <c r="Q358" s="8" t="s">
        <v>68</v>
      </c>
      <c r="R358" s="7" t="s">
        <v>3170</v>
      </c>
      <c r="S358" s="8" t="s">
        <v>89</v>
      </c>
      <c r="T358" s="8" t="s">
        <v>71</v>
      </c>
      <c r="U358" s="7" t="s">
        <v>1432</v>
      </c>
      <c r="V358" s="7" t="s">
        <v>904</v>
      </c>
      <c r="W358" s="7" t="s">
        <v>1148</v>
      </c>
    </row>
    <row r="359" ht="15.0" customHeight="1">
      <c r="A359" s="7" t="s">
        <v>3171</v>
      </c>
      <c r="B359" s="8" t="s">
        <v>3172</v>
      </c>
      <c r="C359" s="8" t="s">
        <v>192</v>
      </c>
      <c r="D359" s="7" t="s">
        <v>1465</v>
      </c>
      <c r="E359" s="28" t="s">
        <v>935</v>
      </c>
      <c r="F359" s="28" t="s">
        <v>155</v>
      </c>
      <c r="G359" s="7" t="str">
        <f t="shared" si="1"/>
        <v>Suministrar agua a presión de _____ bar</v>
      </c>
      <c r="H359" s="7" t="s">
        <v>79</v>
      </c>
      <c r="I359" s="8" t="s">
        <v>3173</v>
      </c>
      <c r="J359" s="7"/>
      <c r="K359" s="7" t="s">
        <v>3174</v>
      </c>
      <c r="L359" s="7" t="s">
        <v>3175</v>
      </c>
      <c r="M359" s="7" t="s">
        <v>3176</v>
      </c>
      <c r="N359" s="8">
        <v>1.0</v>
      </c>
      <c r="O359" s="8" t="s">
        <v>85</v>
      </c>
      <c r="P359" s="8" t="s">
        <v>67</v>
      </c>
      <c r="Q359" s="8" t="s">
        <v>68</v>
      </c>
      <c r="R359" s="7" t="s">
        <v>208</v>
      </c>
      <c r="S359" s="8" t="s">
        <v>111</v>
      </c>
      <c r="T359" s="8" t="s">
        <v>71</v>
      </c>
      <c r="U359" s="28" t="s">
        <v>3177</v>
      </c>
      <c r="V359" s="28" t="s">
        <v>904</v>
      </c>
      <c r="W359" s="28" t="s">
        <v>1474</v>
      </c>
    </row>
    <row r="360" ht="23.25" customHeight="1">
      <c r="A360" s="7" t="s">
        <v>3178</v>
      </c>
      <c r="B360" s="8" t="s">
        <v>3179</v>
      </c>
      <c r="C360" s="8" t="s">
        <v>265</v>
      </c>
      <c r="D360" s="7" t="s">
        <v>266</v>
      </c>
      <c r="E360" s="7" t="s">
        <v>267</v>
      </c>
      <c r="F360" s="7" t="s">
        <v>268</v>
      </c>
      <c r="G360" s="7" t="str">
        <f t="shared" si="1"/>
        <v>Impedir el remonte de pestaña con cota qR ≥ 6,5 mm</v>
      </c>
      <c r="H360" s="7" t="s">
        <v>79</v>
      </c>
      <c r="I360" s="8" t="s">
        <v>3180</v>
      </c>
      <c r="J360" s="7" t="s">
        <v>269</v>
      </c>
      <c r="K360" s="7" t="s">
        <v>270</v>
      </c>
      <c r="L360" s="7" t="s">
        <v>3182</v>
      </c>
      <c r="M360" s="7" t="s">
        <v>3183</v>
      </c>
      <c r="N360" s="8">
        <v>1.0</v>
      </c>
      <c r="O360" s="8" t="s">
        <v>85</v>
      </c>
      <c r="P360" s="8" t="s">
        <v>67</v>
      </c>
      <c r="Q360" s="8" t="s">
        <v>87</v>
      </c>
      <c r="R360" s="7" t="s">
        <v>3187</v>
      </c>
      <c r="S360" s="8" t="s">
        <v>89</v>
      </c>
      <c r="T360" s="8" t="s">
        <v>71</v>
      </c>
      <c r="U360" s="7" t="s">
        <v>1095</v>
      </c>
      <c r="V360" s="7" t="s">
        <v>919</v>
      </c>
      <c r="W360" s="7" t="s">
        <v>972</v>
      </c>
    </row>
    <row r="361" ht="15.0" customHeight="1">
      <c r="A361" s="7" t="s">
        <v>3188</v>
      </c>
      <c r="B361" s="8" t="s">
        <v>3189</v>
      </c>
      <c r="C361" s="8" t="s">
        <v>717</v>
      </c>
      <c r="D361" s="7" t="s">
        <v>1582</v>
      </c>
      <c r="E361" s="28" t="s">
        <v>1583</v>
      </c>
      <c r="F361" s="28" t="s">
        <v>1584</v>
      </c>
      <c r="G361" s="7" t="str">
        <f t="shared" si="1"/>
        <v>Retener el polvo de esmerilado hasta presión diferencial de _____ Pa</v>
      </c>
      <c r="H361" s="7" t="s">
        <v>79</v>
      </c>
      <c r="I361" s="8" t="s">
        <v>3191</v>
      </c>
      <c r="J361" s="7"/>
      <c r="K361" s="7" t="s">
        <v>3192</v>
      </c>
      <c r="L361" s="7" t="s">
        <v>3188</v>
      </c>
      <c r="M361" s="7" t="s">
        <v>3193</v>
      </c>
      <c r="N361" s="8">
        <v>1.0</v>
      </c>
      <c r="O361" s="8" t="s">
        <v>724</v>
      </c>
      <c r="P361" s="8" t="s">
        <v>67</v>
      </c>
      <c r="Q361" s="8" t="s">
        <v>68</v>
      </c>
      <c r="R361" s="7" t="s">
        <v>1591</v>
      </c>
      <c r="S361" s="8" t="s">
        <v>111</v>
      </c>
      <c r="T361" s="8" t="s">
        <v>71</v>
      </c>
      <c r="U361" s="28" t="s">
        <v>1592</v>
      </c>
      <c r="V361" s="28" t="s">
        <v>904</v>
      </c>
      <c r="W361" s="28" t="s">
        <v>1593</v>
      </c>
    </row>
    <row r="362" ht="15.0" customHeight="1">
      <c r="A362" s="7" t="s">
        <v>3194</v>
      </c>
      <c r="B362" s="8" t="s">
        <v>3195</v>
      </c>
      <c r="C362" s="8" t="s">
        <v>309</v>
      </c>
      <c r="D362" s="7" t="s">
        <v>310</v>
      </c>
      <c r="E362" s="7" t="s">
        <v>311</v>
      </c>
      <c r="F362" s="7" t="s">
        <v>155</v>
      </c>
      <c r="G362" s="7" t="str">
        <f t="shared" si="1"/>
        <v>Presurizar los cilindros de freno entre 3,7 y 3,9 bar</v>
      </c>
      <c r="H362" s="7" t="s">
        <v>79</v>
      </c>
      <c r="I362" s="8" t="s">
        <v>3197</v>
      </c>
      <c r="J362" s="7" t="s">
        <v>315</v>
      </c>
      <c r="K362" s="7" t="s">
        <v>316</v>
      </c>
      <c r="L362" s="7" t="s">
        <v>317</v>
      </c>
      <c r="M362" s="7" t="s">
        <v>3198</v>
      </c>
      <c r="N362" s="8">
        <v>1.0</v>
      </c>
      <c r="O362" s="8" t="s">
        <v>85</v>
      </c>
      <c r="P362" s="8" t="s">
        <v>86</v>
      </c>
      <c r="Q362" s="8" t="s">
        <v>68</v>
      </c>
      <c r="R362" s="7" t="s">
        <v>208</v>
      </c>
      <c r="S362" s="8" t="s">
        <v>89</v>
      </c>
      <c r="T362" s="8" t="s">
        <v>71</v>
      </c>
      <c r="U362" s="7" t="s">
        <v>1293</v>
      </c>
      <c r="V362" s="7" t="s">
        <v>904</v>
      </c>
      <c r="W362" s="7" t="s">
        <v>1148</v>
      </c>
    </row>
    <row r="363" ht="23.25" customHeight="1">
      <c r="A363" s="7" t="s">
        <v>3202</v>
      </c>
      <c r="B363" s="8" t="s">
        <v>3203</v>
      </c>
      <c r="C363" s="8" t="s">
        <v>204</v>
      </c>
      <c r="D363" s="7" t="s">
        <v>3204</v>
      </c>
      <c r="E363" s="28" t="s">
        <v>3205</v>
      </c>
      <c r="F363" s="28" t="s">
        <v>2859</v>
      </c>
      <c r="G363" s="7" t="str">
        <f t="shared" si="1"/>
        <v>Generar energía trifásica a 460 V CA</v>
      </c>
      <c r="H363" s="7" t="s">
        <v>61</v>
      </c>
      <c r="I363" s="8" t="s">
        <v>3206</v>
      </c>
      <c r="J363" s="7"/>
      <c r="K363" s="7" t="s">
        <v>3207</v>
      </c>
      <c r="L363" s="7" t="s">
        <v>3208</v>
      </c>
      <c r="M363" s="7" t="s">
        <v>3209</v>
      </c>
      <c r="N363" s="8">
        <v>1.0</v>
      </c>
      <c r="O363" s="8" t="s">
        <v>66</v>
      </c>
      <c r="P363" s="8" t="s">
        <v>67</v>
      </c>
      <c r="Q363" s="8" t="s">
        <v>68</v>
      </c>
      <c r="R363" s="7" t="s">
        <v>297</v>
      </c>
      <c r="S363" s="8" t="s">
        <v>111</v>
      </c>
      <c r="T363" s="8" t="s">
        <v>71</v>
      </c>
      <c r="U363" s="28" t="s">
        <v>3211</v>
      </c>
      <c r="V363" s="28" t="s">
        <v>1272</v>
      </c>
      <c r="W363" s="28" t="s">
        <v>3212</v>
      </c>
    </row>
    <row r="364" ht="15.0" customHeight="1">
      <c r="A364" s="7" t="s">
        <v>3213</v>
      </c>
      <c r="B364" s="8" t="s">
        <v>3214</v>
      </c>
      <c r="C364" s="8" t="s">
        <v>143</v>
      </c>
      <c r="D364" s="7" t="s">
        <v>349</v>
      </c>
      <c r="E364" s="28" t="s">
        <v>935</v>
      </c>
      <c r="F364" s="28" t="s">
        <v>351</v>
      </c>
      <c r="G364" s="7" t="str">
        <f t="shared" si="1"/>
        <v>Entregar potencia mecánica de _____ kW</v>
      </c>
      <c r="H364" s="7" t="s">
        <v>61</v>
      </c>
      <c r="I364" s="8" t="s">
        <v>3215</v>
      </c>
      <c r="J364" s="7"/>
      <c r="K364" s="7" t="s">
        <v>3216</v>
      </c>
      <c r="L364" s="7" t="s">
        <v>3218</v>
      </c>
      <c r="M364" s="7" t="s">
        <v>3219</v>
      </c>
      <c r="N364" s="8">
        <v>1.0</v>
      </c>
      <c r="O364" s="8" t="s">
        <v>66</v>
      </c>
      <c r="P364" s="8" t="s">
        <v>67</v>
      </c>
      <c r="Q364" s="8" t="s">
        <v>68</v>
      </c>
      <c r="R364" s="7" t="s">
        <v>667</v>
      </c>
      <c r="S364" s="8" t="s">
        <v>111</v>
      </c>
      <c r="T364" s="8" t="s">
        <v>71</v>
      </c>
      <c r="U364" s="28" t="s">
        <v>943</v>
      </c>
      <c r="V364" s="28" t="s">
        <v>944</v>
      </c>
      <c r="W364" s="28" t="s">
        <v>945</v>
      </c>
    </row>
    <row r="365" ht="15.0" customHeight="1">
      <c r="A365" s="7" t="s">
        <v>3223</v>
      </c>
      <c r="B365" s="8" t="s">
        <v>3224</v>
      </c>
      <c r="C365" s="8" t="s">
        <v>309</v>
      </c>
      <c r="D365" s="7" t="s">
        <v>310</v>
      </c>
      <c r="E365" s="7" t="s">
        <v>311</v>
      </c>
      <c r="F365" s="7" t="s">
        <v>155</v>
      </c>
      <c r="G365" s="7" t="str">
        <f t="shared" si="1"/>
        <v>Presurizar los cilindros de freno entre 3,7 y 3,9 bar</v>
      </c>
      <c r="H365" s="7" t="s">
        <v>79</v>
      </c>
      <c r="I365" s="8" t="s">
        <v>3226</v>
      </c>
      <c r="J365" s="7" t="s">
        <v>315</v>
      </c>
      <c r="K365" s="7" t="s">
        <v>3126</v>
      </c>
      <c r="L365" s="7" t="s">
        <v>3223</v>
      </c>
      <c r="M365" s="7" t="s">
        <v>3227</v>
      </c>
      <c r="N365" s="8">
        <v>1.0</v>
      </c>
      <c r="O365" s="8" t="s">
        <v>85</v>
      </c>
      <c r="P365" s="8" t="s">
        <v>67</v>
      </c>
      <c r="Q365" s="8" t="s">
        <v>68</v>
      </c>
      <c r="R365" s="7" t="s">
        <v>3129</v>
      </c>
      <c r="S365" s="8" t="s">
        <v>89</v>
      </c>
      <c r="T365" s="8" t="s">
        <v>71</v>
      </c>
      <c r="U365" s="7" t="s">
        <v>3130</v>
      </c>
      <c r="V365" s="7" t="s">
        <v>3131</v>
      </c>
      <c r="W365" s="7" t="s">
        <v>1148</v>
      </c>
    </row>
    <row r="366" ht="15.0" customHeight="1">
      <c r="A366" s="7" t="s">
        <v>3223</v>
      </c>
      <c r="B366" s="8" t="s">
        <v>3228</v>
      </c>
      <c r="C366" s="8" t="s">
        <v>3133</v>
      </c>
      <c r="D366" s="7" t="s">
        <v>3134</v>
      </c>
      <c r="E366" s="7" t="s">
        <v>3135</v>
      </c>
      <c r="F366" s="7" t="s">
        <v>1392</v>
      </c>
      <c r="G366" s="7" t="str">
        <f t="shared" si="1"/>
        <v>Llenar el cilindro de freno en 3 a 5 s</v>
      </c>
      <c r="H366" s="7" t="s">
        <v>79</v>
      </c>
      <c r="I366" s="8" t="s">
        <v>3226</v>
      </c>
      <c r="J366" s="7" t="s">
        <v>315</v>
      </c>
      <c r="K366" s="7"/>
      <c r="L366" s="7" t="s">
        <v>3223</v>
      </c>
      <c r="M366" s="7" t="s">
        <v>3227</v>
      </c>
      <c r="N366" s="8">
        <v>1.0</v>
      </c>
      <c r="O366" s="8" t="s">
        <v>85</v>
      </c>
      <c r="P366" s="8" t="s">
        <v>86</v>
      </c>
      <c r="Q366" s="8" t="s">
        <v>68</v>
      </c>
      <c r="R366" s="7" t="s">
        <v>3136</v>
      </c>
      <c r="S366" s="8" t="s">
        <v>89</v>
      </c>
      <c r="T366" s="8" t="s">
        <v>71</v>
      </c>
      <c r="U366" s="7" t="s">
        <v>3130</v>
      </c>
      <c r="V366" s="7" t="s">
        <v>3131</v>
      </c>
      <c r="W366" s="7" t="s">
        <v>3137</v>
      </c>
    </row>
    <row r="367" ht="15.0" customHeight="1">
      <c r="A367" s="7" t="s">
        <v>3223</v>
      </c>
      <c r="B367" s="8" t="s">
        <v>3229</v>
      </c>
      <c r="C367" s="8" t="s">
        <v>3139</v>
      </c>
      <c r="D367" s="7" t="s">
        <v>3140</v>
      </c>
      <c r="E367" s="7" t="s">
        <v>3141</v>
      </c>
      <c r="F367" s="7" t="s">
        <v>1392</v>
      </c>
      <c r="G367" s="7" t="str">
        <f t="shared" si="1"/>
        <v>Aflojar el freno en 15 a 20 s</v>
      </c>
      <c r="H367" s="7" t="s">
        <v>61</v>
      </c>
      <c r="I367" s="8" t="s">
        <v>3226</v>
      </c>
      <c r="J367" s="7" t="s">
        <v>315</v>
      </c>
      <c r="K367" s="7"/>
      <c r="L367" s="7" t="s">
        <v>3223</v>
      </c>
      <c r="M367" s="7" t="s">
        <v>3227</v>
      </c>
      <c r="N367" s="8">
        <v>1.0</v>
      </c>
      <c r="O367" s="8" t="s">
        <v>66</v>
      </c>
      <c r="P367" s="8" t="s">
        <v>86</v>
      </c>
      <c r="Q367" s="8" t="s">
        <v>68</v>
      </c>
      <c r="R367" s="7" t="s">
        <v>3136</v>
      </c>
      <c r="S367" s="8" t="s">
        <v>89</v>
      </c>
      <c r="T367" s="8" t="s">
        <v>71</v>
      </c>
      <c r="U367" s="7" t="s">
        <v>3130</v>
      </c>
      <c r="V367" s="7" t="s">
        <v>3131</v>
      </c>
      <c r="W367" s="7" t="s">
        <v>3142</v>
      </c>
    </row>
    <row r="368" ht="23.25" customHeight="1">
      <c r="A368" s="7" t="s">
        <v>3233</v>
      </c>
      <c r="B368" s="8" t="s">
        <v>3234</v>
      </c>
      <c r="C368" s="8" t="s">
        <v>3235</v>
      </c>
      <c r="D368" s="7" t="s">
        <v>3236</v>
      </c>
      <c r="E368" s="28" t="s">
        <v>3237</v>
      </c>
      <c r="F368" s="28" t="s">
        <v>3238</v>
      </c>
      <c r="G368" s="7" t="str">
        <f t="shared" si="1"/>
        <v>Lavar los trenes a razón de _____ trenes/h</v>
      </c>
      <c r="H368" s="7" t="s">
        <v>61</v>
      </c>
      <c r="I368" s="8" t="s">
        <v>3239</v>
      </c>
      <c r="J368" s="7"/>
      <c r="K368" s="7" t="s">
        <v>3240</v>
      </c>
      <c r="L368" s="7" t="s">
        <v>3233</v>
      </c>
      <c r="M368" s="7" t="s">
        <v>3241</v>
      </c>
      <c r="N368" s="8">
        <v>1.0</v>
      </c>
      <c r="O368" s="8" t="s">
        <v>66</v>
      </c>
      <c r="P368" s="8" t="s">
        <v>67</v>
      </c>
      <c r="Q368" s="8" t="s">
        <v>68</v>
      </c>
      <c r="R368" s="7" t="s">
        <v>1877</v>
      </c>
      <c r="S368" s="8" t="s">
        <v>111</v>
      </c>
      <c r="T368" s="8" t="s">
        <v>71</v>
      </c>
      <c r="U368" s="28" t="s">
        <v>3242</v>
      </c>
      <c r="V368" s="28" t="s">
        <v>904</v>
      </c>
      <c r="W368" s="28" t="s">
        <v>3243</v>
      </c>
    </row>
    <row r="369" ht="23.25" customHeight="1">
      <c r="A369" s="7" t="s">
        <v>3244</v>
      </c>
      <c r="B369" s="8" t="s">
        <v>3245</v>
      </c>
      <c r="C369" s="8" t="s">
        <v>55</v>
      </c>
      <c r="D369" s="7" t="s">
        <v>3246</v>
      </c>
      <c r="E369" s="28" t="s">
        <v>705</v>
      </c>
      <c r="F369" s="28" t="s">
        <v>959</v>
      </c>
      <c r="G369" s="7" t="str">
        <f t="shared" si="1"/>
        <v>Transportar materiales hasta _____ t</v>
      </c>
      <c r="H369" s="7" t="s">
        <v>61</v>
      </c>
      <c r="I369" s="8" t="s">
        <v>3247</v>
      </c>
      <c r="J369" s="7"/>
      <c r="K369" s="7" t="s">
        <v>3240</v>
      </c>
      <c r="L369" s="7" t="s">
        <v>3244</v>
      </c>
      <c r="M369" s="7" t="s">
        <v>3248</v>
      </c>
      <c r="N369" s="8">
        <v>1.0</v>
      </c>
      <c r="O369" s="8" t="s">
        <v>66</v>
      </c>
      <c r="P369" s="8" t="s">
        <v>67</v>
      </c>
      <c r="Q369" s="8" t="s">
        <v>68</v>
      </c>
      <c r="R369" s="7" t="s">
        <v>1877</v>
      </c>
      <c r="S369" s="8" t="s">
        <v>111</v>
      </c>
      <c r="T369" s="8" t="s">
        <v>71</v>
      </c>
      <c r="U369" s="28" t="s">
        <v>3249</v>
      </c>
      <c r="V369" s="28" t="s">
        <v>904</v>
      </c>
      <c r="W369" s="28" t="s">
        <v>3252</v>
      </c>
    </row>
    <row r="370" ht="15.0" customHeight="1">
      <c r="A370" s="7" t="s">
        <v>3253</v>
      </c>
      <c r="B370" s="8" t="s">
        <v>3254</v>
      </c>
      <c r="C370" s="8" t="s">
        <v>3255</v>
      </c>
      <c r="D370" s="7" t="s">
        <v>3256</v>
      </c>
      <c r="E370" s="28" t="s">
        <v>2205</v>
      </c>
      <c r="F370" s="28" t="s">
        <v>268</v>
      </c>
      <c r="G370" s="7" t="str">
        <f t="shared" si="1"/>
        <v>Mecanizar piezas con tolerancia de ±_____ mm</v>
      </c>
      <c r="H370" s="7" t="s">
        <v>61</v>
      </c>
      <c r="I370" s="8" t="s">
        <v>3257</v>
      </c>
      <c r="J370" s="7"/>
      <c r="K370" s="7" t="s">
        <v>3240</v>
      </c>
      <c r="L370" s="7" t="s">
        <v>3253</v>
      </c>
      <c r="M370" s="7" t="s">
        <v>3258</v>
      </c>
      <c r="N370" s="8">
        <v>1.0</v>
      </c>
      <c r="O370" s="8" t="s">
        <v>66</v>
      </c>
      <c r="P370" s="8" t="s">
        <v>67</v>
      </c>
      <c r="Q370" s="8" t="s">
        <v>68</v>
      </c>
      <c r="R370" s="7" t="s">
        <v>1877</v>
      </c>
      <c r="S370" s="8" t="s">
        <v>111</v>
      </c>
      <c r="T370" s="8" t="s">
        <v>71</v>
      </c>
      <c r="U370" s="28" t="s">
        <v>3259</v>
      </c>
      <c r="V370" s="28" t="s">
        <v>904</v>
      </c>
      <c r="W370" s="28" t="s">
        <v>3260</v>
      </c>
    </row>
    <row r="371" ht="23.25" customHeight="1">
      <c r="A371" s="7" t="s">
        <v>3261</v>
      </c>
      <c r="B371" s="8" t="s">
        <v>3262</v>
      </c>
      <c r="C371" s="8" t="s">
        <v>192</v>
      </c>
      <c r="D371" s="7" t="s">
        <v>3263</v>
      </c>
      <c r="E371" s="28" t="s">
        <v>2331</v>
      </c>
      <c r="F371" s="28" t="s">
        <v>155</v>
      </c>
      <c r="G371" s="7" t="str">
        <f t="shared" si="1"/>
        <v>Suministrar aire comprimido a presión de _____ bar</v>
      </c>
      <c r="H371" s="7" t="s">
        <v>61</v>
      </c>
      <c r="I371" s="8" t="s">
        <v>3264</v>
      </c>
      <c r="J371" s="7"/>
      <c r="K371" s="7" t="s">
        <v>3240</v>
      </c>
      <c r="L371" s="7" t="s">
        <v>3261</v>
      </c>
      <c r="M371" s="7" t="s">
        <v>3265</v>
      </c>
      <c r="N371" s="8">
        <v>1.0</v>
      </c>
      <c r="O371" s="8" t="s">
        <v>66</v>
      </c>
      <c r="P371" s="8" t="s">
        <v>67</v>
      </c>
      <c r="Q371" s="8" t="s">
        <v>68</v>
      </c>
      <c r="R371" s="7" t="s">
        <v>1877</v>
      </c>
      <c r="S371" s="8" t="s">
        <v>111</v>
      </c>
      <c r="T371" s="8" t="s">
        <v>71</v>
      </c>
      <c r="U371" s="28" t="s">
        <v>3266</v>
      </c>
      <c r="V371" s="28" t="s">
        <v>904</v>
      </c>
      <c r="W371" s="28" t="s">
        <v>3267</v>
      </c>
    </row>
    <row r="372" ht="15.0" customHeight="1">
      <c r="A372" s="7" t="s">
        <v>3268</v>
      </c>
      <c r="B372" s="8" t="s">
        <v>3269</v>
      </c>
      <c r="C372" s="8" t="s">
        <v>2720</v>
      </c>
      <c r="D372" s="7" t="s">
        <v>3270</v>
      </c>
      <c r="E372" s="28" t="s">
        <v>2666</v>
      </c>
      <c r="F372" s="28" t="s">
        <v>291</v>
      </c>
      <c r="G372" s="7" t="str">
        <f t="shared" si="1"/>
        <v>Detectar la tensión de catenaria a partir de _____ V</v>
      </c>
      <c r="H372" s="7" t="s">
        <v>61</v>
      </c>
      <c r="I372" s="8" t="s">
        <v>3273</v>
      </c>
      <c r="J372" s="7"/>
      <c r="K372" s="7" t="s">
        <v>3240</v>
      </c>
      <c r="L372" s="7" t="s">
        <v>3268</v>
      </c>
      <c r="M372" s="7" t="s">
        <v>3274</v>
      </c>
      <c r="N372" s="8">
        <v>1.0</v>
      </c>
      <c r="O372" s="8" t="s">
        <v>85</v>
      </c>
      <c r="P372" s="8" t="s">
        <v>67</v>
      </c>
      <c r="Q372" s="8" t="s">
        <v>87</v>
      </c>
      <c r="R372" s="7" t="s">
        <v>1877</v>
      </c>
      <c r="S372" s="8" t="s">
        <v>111</v>
      </c>
      <c r="T372" s="8" t="s">
        <v>71</v>
      </c>
      <c r="U372" s="28" t="s">
        <v>3275</v>
      </c>
      <c r="V372" s="28" t="s">
        <v>904</v>
      </c>
      <c r="W372" s="28" t="s">
        <v>3276</v>
      </c>
    </row>
    <row r="373" ht="23.25" customHeight="1"/>
    <row r="374" ht="15.0" customHeight="1"/>
    <row r="375" ht="15.0" customHeight="1"/>
    <row r="376" ht="15.0" customHeight="1"/>
    <row r="377" ht="23.25" customHeight="1"/>
    <row r="378" ht="23.25" customHeight="1"/>
    <row r="379" ht="23.25" customHeight="1"/>
    <row r="380" ht="23.25" customHeight="1"/>
    <row r="381" ht="23.25" customHeight="1"/>
    <row r="382" ht="15.0" customHeight="1"/>
    <row r="383" ht="15.0" customHeight="1"/>
    <row r="384" ht="15.0" customHeight="1"/>
    <row r="385" ht="15.0" customHeight="1"/>
    <row r="386" ht="15.0" customHeight="1"/>
    <row r="387" ht="15.0" customHeight="1"/>
    <row r="388" ht="15.0" customHeight="1"/>
    <row r="389" ht="23.25" customHeight="1"/>
    <row r="390" ht="23.25" customHeight="1"/>
    <row r="391" ht="23.25" customHeight="1"/>
    <row r="392" ht="15.0" customHeight="1"/>
    <row r="393" ht="15.0" customHeight="1"/>
    <row r="394" ht="15.0" customHeight="1"/>
    <row r="395" ht="15.0" customHeight="1"/>
    <row r="396" ht="15.0" customHeight="1"/>
    <row r="397" ht="15.0" customHeight="1"/>
    <row r="398" ht="23.25" customHeight="1"/>
    <row r="399" ht="23.25" customHeight="1"/>
    <row r="400" ht="23.25" customHeight="1"/>
    <row r="401" ht="15.0" customHeight="1"/>
    <row r="402" ht="23.25" customHeight="1"/>
    <row r="403" ht="23.25" customHeight="1"/>
    <row r="404" ht="23.25" customHeight="1"/>
    <row r="405" ht="23.25" customHeight="1"/>
    <row r="406" ht="23.25" customHeight="1"/>
    <row r="407" ht="23.25" customHeight="1"/>
    <row r="408" ht="23.25" customHeight="1"/>
    <row r="409" ht="23.25" customHeight="1"/>
    <row r="410" ht="23.25" customHeight="1"/>
    <row r="411" ht="23.25" customHeight="1"/>
    <row r="412" ht="23.25" customHeight="1"/>
    <row r="413" ht="23.25" customHeight="1"/>
    <row r="414" ht="23.25" customHeight="1"/>
    <row r="415" ht="23.25" customHeight="1"/>
    <row r="416" ht="15.0" customHeight="1"/>
    <row r="417" ht="23.25" customHeight="1"/>
    <row r="418" ht="15.0" customHeight="1"/>
    <row r="419" ht="23.25" customHeight="1"/>
    <row r="420" ht="15.0" customHeight="1"/>
    <row r="421" ht="23.25" customHeight="1"/>
    <row r="422" ht="23.25" customHeight="1"/>
    <row r="423" ht="23.25" customHeight="1"/>
    <row r="424" ht="23.25" customHeight="1"/>
    <row r="425" ht="45.75" customHeight="1"/>
    <row r="426" ht="15.0" customHeight="1"/>
    <row r="427" ht="15.0" customHeight="1"/>
    <row r="428" ht="15.0" customHeight="1"/>
    <row r="429" ht="15.0" customHeight="1"/>
    <row r="430" ht="23.25" customHeight="1"/>
    <row r="431" ht="15.0" customHeight="1"/>
    <row r="432" ht="23.25" customHeight="1"/>
    <row r="433" ht="45.75" customHeight="1"/>
    <row r="434" ht="15.0" customHeight="1"/>
    <row r="435" ht="15.0" customHeight="1"/>
    <row r="436" ht="15.0" customHeight="1"/>
    <row r="437" ht="15.0" customHeight="1"/>
    <row r="438" ht="15.0" customHeight="1"/>
    <row r="439" ht="15.0" customHeight="1"/>
    <row r="440" ht="15.0" customHeight="1"/>
    <row r="441" ht="15.0" customHeight="1"/>
    <row r="442" ht="15.0" customHeight="1"/>
    <row r="443" ht="15.0" customHeight="1"/>
    <row r="444" ht="15.0" customHeight="1"/>
    <row r="445" ht="23.25" customHeight="1"/>
    <row r="446" ht="15.0" customHeight="1"/>
    <row r="447" ht="23.25" customHeight="1"/>
    <row r="448" ht="23.25" customHeight="1"/>
    <row r="449" ht="15.0" customHeight="1"/>
    <row r="450" ht="15.0" customHeight="1"/>
    <row r="451" ht="15.0" customHeight="1"/>
    <row r="452" ht="23.25" customHeight="1"/>
    <row r="453" ht="15.0" customHeight="1"/>
    <row r="454" ht="23.25" customHeight="1"/>
    <row r="455" ht="15.0" customHeight="1"/>
    <row r="456" ht="23.25" customHeight="1"/>
    <row r="457" ht="15.0" customHeight="1"/>
    <row r="458" ht="23.25" customHeight="1"/>
    <row r="459" ht="15.0" customHeight="1"/>
    <row r="460" ht="23.25" customHeight="1"/>
    <row r="461" ht="15.0" customHeight="1"/>
    <row r="462" ht="23.25" customHeight="1"/>
    <row r="463" ht="15.0" customHeight="1"/>
    <row r="464" ht="23.25" customHeight="1"/>
    <row r="465" ht="15.0" customHeight="1"/>
    <row r="466" ht="15.0" customHeight="1"/>
    <row r="467" ht="15.0" customHeight="1"/>
    <row r="468" ht="15.0" customHeight="1"/>
    <row r="469" ht="23.25" customHeight="1"/>
    <row r="470" ht="23.25" customHeight="1"/>
    <row r="471" ht="23.25" customHeight="1"/>
    <row r="472" ht="23.25" customHeight="1"/>
    <row r="473" ht="23.25" customHeight="1"/>
    <row r="474" ht="23.25" customHeight="1"/>
    <row r="475" ht="23.25" customHeight="1"/>
    <row r="476" ht="23.25" customHeight="1"/>
    <row r="477" ht="15.0" customHeight="1"/>
    <row r="478" ht="23.25" customHeight="1"/>
    <row r="479" ht="23.25" customHeight="1"/>
    <row r="480" ht="23.25" customHeight="1"/>
    <row r="481" ht="23.25" customHeight="1"/>
    <row r="482" ht="23.25" customHeight="1"/>
    <row r="483" ht="23.25" customHeight="1"/>
    <row r="484" ht="23.25" customHeight="1"/>
    <row r="485" ht="23.25" customHeight="1"/>
    <row r="486" ht="23.25" customHeight="1"/>
    <row r="487" ht="23.25" customHeight="1"/>
    <row r="488" ht="23.25" customHeight="1"/>
    <row r="489" ht="23.25" customHeight="1"/>
    <row r="490" ht="23.25" customHeight="1"/>
    <row r="491" ht="23.25" customHeight="1"/>
    <row r="492" ht="23.25" customHeight="1"/>
    <row r="493" ht="23.25" customHeight="1"/>
    <row r="494" ht="23.25" customHeight="1"/>
    <row r="495" ht="23.25" customHeight="1"/>
    <row r="496" ht="23.25" customHeight="1"/>
    <row r="497" ht="23.25" customHeight="1"/>
    <row r="498" ht="23.25" customHeight="1"/>
    <row r="499" ht="23.25" customHeight="1"/>
    <row r="500" ht="15.0" customHeight="1"/>
    <row r="501" ht="15.0" customHeight="1"/>
    <row r="502" ht="15.0" customHeight="1"/>
    <row r="503" ht="23.25" customHeight="1"/>
    <row r="504" ht="23.25" customHeight="1"/>
    <row r="505" ht="23.25" customHeight="1"/>
    <row r="506" ht="23.25" customHeight="1"/>
    <row r="507" ht="23.25" customHeight="1"/>
    <row r="508" ht="23.25" customHeight="1"/>
    <row r="509" ht="23.25" customHeight="1"/>
    <row r="510" ht="23.25" customHeight="1"/>
    <row r="511" ht="23.25" customHeight="1"/>
    <row r="512" ht="23.25" customHeight="1"/>
    <row r="513" ht="23.25" customHeight="1"/>
    <row r="514" ht="23.25" customHeight="1"/>
    <row r="515" ht="23.25" customHeight="1"/>
    <row r="516" ht="23.25" customHeight="1"/>
    <row r="517" ht="23.25" customHeight="1"/>
    <row r="518" ht="23.25" customHeight="1"/>
    <row r="519" ht="23.25" customHeight="1"/>
    <row r="520" ht="15.0" customHeight="1"/>
    <row r="521" ht="15.0" customHeight="1"/>
    <row r="522" ht="15.0" customHeight="1"/>
    <row r="523" ht="15.0" customHeight="1"/>
    <row r="524" ht="15.0" customHeight="1"/>
    <row r="525" ht="15.0" customHeight="1"/>
    <row r="526" ht="15.0" customHeight="1"/>
    <row r="527" ht="15.0" customHeight="1"/>
    <row r="528" ht="15.0" customHeight="1"/>
    <row r="529" ht="15.0" customHeight="1"/>
    <row r="530" ht="15.0" customHeight="1"/>
    <row r="531" ht="15.0" customHeight="1"/>
    <row r="532" ht="15.0" customHeight="1"/>
    <row r="533" ht="15.0" customHeight="1"/>
    <row r="534" ht="15.0" customHeight="1"/>
    <row r="535" ht="15.0" customHeight="1"/>
    <row r="536" ht="15.0" customHeight="1"/>
    <row r="537" ht="15.0" customHeight="1"/>
    <row r="538" ht="23.25" customHeight="1"/>
    <row r="539" ht="15.0" customHeight="1"/>
    <row r="540" ht="15.0" customHeight="1"/>
    <row r="541" ht="23.25" customHeight="1"/>
    <row r="542" ht="15.0" customHeight="1"/>
    <row r="543" ht="15.0" customHeight="1"/>
    <row r="544" ht="15.0" customHeight="1"/>
    <row r="545" ht="15.0" customHeight="1"/>
    <row r="546" ht="15.0" customHeight="1"/>
    <row r="547" ht="15.0" customHeight="1"/>
    <row r="548" ht="15.0" customHeight="1"/>
    <row r="549" ht="15.0" customHeight="1"/>
    <row r="550" ht="15.0" customHeight="1"/>
    <row r="551" ht="15.0" customHeight="1"/>
    <row r="552" ht="23.25" customHeight="1"/>
    <row r="553" ht="23.25" customHeight="1"/>
    <row r="554" ht="23.25" customHeight="1"/>
    <row r="555" ht="23.25" customHeight="1"/>
    <row r="556" ht="23.25" customHeight="1"/>
    <row r="557" ht="23.25" customHeight="1"/>
    <row r="558" ht="23.25" customHeight="1"/>
    <row r="559" ht="23.25" customHeight="1"/>
    <row r="560" ht="23.25" customHeight="1"/>
    <row r="561" ht="23.25" customHeight="1"/>
    <row r="562" ht="23.25" customHeight="1"/>
    <row r="563" ht="23.25" customHeight="1"/>
    <row r="564" ht="23.25" customHeight="1"/>
    <row r="565" ht="23.25" customHeight="1"/>
    <row r="566" ht="15.0" customHeight="1"/>
    <row r="567" ht="15.0" customHeight="1"/>
    <row r="568" ht="15.0" customHeight="1"/>
    <row r="569" ht="15.0" customHeight="1"/>
    <row r="570" ht="15.0" customHeight="1"/>
    <row r="571" ht="15.0" customHeight="1"/>
    <row r="572" ht="15.0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W$372"/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4.43" defaultRowHeight="15.0"/>
  <cols>
    <col customWidth="1" min="1" max="1" width="14.71"/>
    <col customWidth="1" min="2" max="2" width="19.86"/>
    <col customWidth="1" min="3" max="3" width="20.71"/>
    <col customWidth="1" min="4" max="4" width="38.86"/>
    <col customWidth="1" min="5" max="5" width="18.29"/>
    <col customWidth="1" min="6" max="6" width="78.0"/>
    <col customWidth="1" min="7" max="7" width="56.0"/>
    <col customWidth="1" min="8" max="8" width="17.0"/>
    <col customWidth="1" min="9" max="9" width="28.0"/>
    <col customWidth="1" min="10" max="10" width="25.14"/>
    <col customWidth="1" min="11" max="14" width="18.0"/>
    <col customWidth="1" min="15" max="15" width="24.43"/>
    <col customWidth="1" min="16" max="16" width="18.0"/>
    <col customWidth="1" min="17" max="17" width="23.14"/>
    <col customWidth="1" min="18" max="20" width="18.0"/>
    <col customWidth="1" min="21" max="21" width="40.0"/>
    <col customWidth="1" min="22" max="22" width="28.0"/>
    <col customWidth="1" min="23" max="23" width="28.29"/>
    <col customWidth="1" min="24" max="24" width="14.43"/>
    <col customWidth="1" min="25" max="25" width="17.0"/>
  </cols>
  <sheetData>
    <row r="1" ht="104.25" customHeight="1">
      <c r="A1" s="3" t="s">
        <v>1</v>
      </c>
      <c r="B1" s="3" t="s">
        <v>0</v>
      </c>
      <c r="C1" s="3" t="s">
        <v>8</v>
      </c>
      <c r="D1" s="3" t="s">
        <v>11</v>
      </c>
      <c r="E1" s="3" t="s">
        <v>7</v>
      </c>
      <c r="F1" s="3" t="s">
        <v>16</v>
      </c>
      <c r="G1" s="3" t="s">
        <v>19</v>
      </c>
      <c r="H1" s="3" t="s">
        <v>21</v>
      </c>
      <c r="I1" s="3" t="s">
        <v>24</v>
      </c>
      <c r="J1" s="3" t="s">
        <v>26</v>
      </c>
      <c r="K1" s="3" t="s">
        <v>29</v>
      </c>
      <c r="L1" s="3" t="s">
        <v>31</v>
      </c>
      <c r="M1" s="3" t="s">
        <v>34</v>
      </c>
      <c r="N1" s="3" t="s">
        <v>37</v>
      </c>
      <c r="O1" s="3" t="s">
        <v>39</v>
      </c>
      <c r="P1" s="3" t="s">
        <v>41</v>
      </c>
      <c r="Q1" s="3" t="s">
        <v>43</v>
      </c>
      <c r="R1" s="3" t="s">
        <v>46</v>
      </c>
      <c r="S1" s="3" t="s">
        <v>48</v>
      </c>
      <c r="T1" s="3" t="s">
        <v>50</v>
      </c>
      <c r="U1" s="3" t="s">
        <v>51</v>
      </c>
      <c r="V1" s="3" t="s">
        <v>53</v>
      </c>
      <c r="W1" s="3" t="s">
        <v>54</v>
      </c>
      <c r="X1" s="3" t="s">
        <v>57</v>
      </c>
      <c r="Y1" s="3" t="s">
        <v>59</v>
      </c>
    </row>
    <row r="2" ht="14.25" customHeight="1">
      <c r="A2" s="11" t="s">
        <v>47</v>
      </c>
      <c r="B2" s="9" t="s">
        <v>49</v>
      </c>
      <c r="C2" s="9" t="str">
        <f t="array" ref="C2">INDEX(Funciones!$G$2:$G$372,MATCH($A2,Funciones!$B$2:$B$372,0))</f>
        <v>Transportar pasajeros hasta 300 por coche</v>
      </c>
      <c r="D2" s="9" t="s">
        <v>78</v>
      </c>
      <c r="E2" s="9" t="s">
        <v>52</v>
      </c>
      <c r="F2" s="9" t="s">
        <v>82</v>
      </c>
      <c r="G2" s="9" t="s">
        <v>84</v>
      </c>
      <c r="H2" s="18" t="str">
        <f t="array" ref="H2">_xlfn.XLOOKUP(E:E,'Calificación consecuencia'!B:B,'Calificación consecuencia'!K:K,"No encontrada",2)</f>
        <v>Alta</v>
      </c>
      <c r="I2" s="9" t="s">
        <v>113</v>
      </c>
      <c r="J2" s="20" t="s">
        <v>116</v>
      </c>
      <c r="K2" s="21"/>
      <c r="L2" s="21"/>
      <c r="M2" s="20" t="s">
        <v>116</v>
      </c>
      <c r="N2" s="22" t="s">
        <v>120</v>
      </c>
      <c r="O2" s="21"/>
      <c r="P2" s="21"/>
      <c r="Q2" s="21"/>
      <c r="R2" s="21"/>
      <c r="S2" s="21"/>
      <c r="T2" s="21"/>
      <c r="U2" s="9" t="s">
        <v>123</v>
      </c>
      <c r="V2" s="9" t="s">
        <v>123</v>
      </c>
      <c r="W2" s="1" t="s">
        <v>125</v>
      </c>
      <c r="X2" s="1">
        <v>12.0</v>
      </c>
      <c r="Y2" s="1" t="s">
        <v>127</v>
      </c>
    </row>
    <row r="3" ht="14.25" customHeight="1">
      <c r="A3" s="11" t="s">
        <v>47</v>
      </c>
      <c r="B3" s="9" t="s">
        <v>49</v>
      </c>
      <c r="C3" s="9" t="str">
        <f t="array" ref="C3">INDEX(Funciones!$G$2:$G$372,MATCH($A3,Funciones!$B$2:$B$372,0))</f>
        <v>Transportar pasajeros hasta 300 por coche</v>
      </c>
      <c r="D3" s="9" t="s">
        <v>78</v>
      </c>
      <c r="E3" s="9" t="s">
        <v>114</v>
      </c>
      <c r="F3" s="9" t="s">
        <v>169</v>
      </c>
      <c r="G3" s="9" t="s">
        <v>170</v>
      </c>
      <c r="H3" s="18" t="str">
        <f t="array" ref="H3">_xlfn.XLOOKUP(E:E,'Calificación consecuencia'!B:B,'Calificación consecuencia'!K:K,"No encontrada",2)</f>
        <v>Media</v>
      </c>
      <c r="I3" s="9" t="s">
        <v>113</v>
      </c>
      <c r="J3" s="20" t="s">
        <v>116</v>
      </c>
      <c r="K3" s="21"/>
      <c r="L3" s="21"/>
      <c r="M3" s="20" t="s">
        <v>116</v>
      </c>
      <c r="N3" s="20" t="s">
        <v>116</v>
      </c>
      <c r="O3" s="21"/>
      <c r="P3" s="21"/>
      <c r="Q3" s="21"/>
      <c r="R3" s="21"/>
      <c r="S3" s="21"/>
      <c r="T3" s="21"/>
      <c r="U3" s="9" t="s">
        <v>195</v>
      </c>
      <c r="V3" s="9" t="s">
        <v>196</v>
      </c>
    </row>
    <row r="4" ht="14.25" customHeight="1">
      <c r="A4" s="11" t="s">
        <v>47</v>
      </c>
      <c r="B4" s="9" t="s">
        <v>49</v>
      </c>
      <c r="C4" s="9" t="str">
        <f t="array" ref="C4">INDEX(Funciones!$G$2:$G$372,MATCH($A4,Funciones!$B$2:$B$372,0))</f>
        <v>Transportar pasajeros hasta 300 por coche</v>
      </c>
      <c r="D4" s="9" t="s">
        <v>78</v>
      </c>
      <c r="E4" s="9" t="s">
        <v>124</v>
      </c>
      <c r="F4" s="9" t="s">
        <v>212</v>
      </c>
      <c r="G4" s="9" t="s">
        <v>213</v>
      </c>
      <c r="H4" s="18" t="str">
        <f t="array" ref="H4">_xlfn.XLOOKUP(E:E,'Calificación consecuencia'!B:B,'Calificación consecuencia'!K:K,"No encontrada",2)</f>
        <v>Media</v>
      </c>
      <c r="I4" s="9" t="s">
        <v>113</v>
      </c>
      <c r="J4" s="20" t="s">
        <v>116</v>
      </c>
      <c r="K4" s="21"/>
      <c r="L4" s="21"/>
      <c r="M4" s="20" t="s">
        <v>116</v>
      </c>
      <c r="N4" s="22" t="s">
        <v>120</v>
      </c>
      <c r="O4" s="21"/>
      <c r="P4" s="21"/>
      <c r="Q4" s="21"/>
      <c r="R4" s="21"/>
      <c r="S4" s="21"/>
      <c r="T4" s="21"/>
      <c r="U4" s="9" t="s">
        <v>230</v>
      </c>
      <c r="V4" s="9" t="s">
        <v>230</v>
      </c>
    </row>
    <row r="5" ht="14.25" customHeight="1">
      <c r="A5" s="11" t="s">
        <v>47</v>
      </c>
      <c r="B5" s="9" t="s">
        <v>49</v>
      </c>
      <c r="C5" s="9" t="str">
        <f t="array" ref="C5">INDEX(Funciones!$G$2:$G$372,MATCH($A5,Funciones!$B$2:$B$372,0))</f>
        <v>Transportar pasajeros hasta 300 por coche</v>
      </c>
      <c r="D5" s="9" t="s">
        <v>78</v>
      </c>
      <c r="E5" s="9" t="s">
        <v>136</v>
      </c>
      <c r="F5" s="9" t="s">
        <v>246</v>
      </c>
      <c r="G5" s="9" t="s">
        <v>247</v>
      </c>
      <c r="H5" s="18" t="str">
        <f t="array" ref="H5">_xlfn.XLOOKUP(E:E,'Calificación consecuencia'!B:B,'Calificación consecuencia'!K:K,"No encontrada",2)</f>
        <v>Media</v>
      </c>
      <c r="I5" s="9" t="s">
        <v>113</v>
      </c>
      <c r="J5" s="20" t="s">
        <v>116</v>
      </c>
      <c r="K5" s="21"/>
      <c r="L5" s="21"/>
      <c r="M5" s="20" t="s">
        <v>116</v>
      </c>
      <c r="N5" s="20" t="s">
        <v>116</v>
      </c>
      <c r="O5" s="21"/>
      <c r="P5" s="21"/>
      <c r="Q5" s="21"/>
      <c r="R5" s="21"/>
      <c r="S5" s="21"/>
      <c r="T5" s="21"/>
      <c r="U5" s="9" t="s">
        <v>195</v>
      </c>
      <c r="V5" s="9" t="s">
        <v>196</v>
      </c>
    </row>
    <row r="6" ht="14.25" customHeight="1">
      <c r="A6" s="11" t="s">
        <v>47</v>
      </c>
      <c r="B6" s="9" t="s">
        <v>49</v>
      </c>
      <c r="C6" s="9" t="str">
        <f t="array" ref="C6">INDEX(Funciones!$G$2:$G$372,MATCH($A6,Funciones!$B$2:$B$372,0))</f>
        <v>Transportar pasajeros hasta 300 por coche</v>
      </c>
      <c r="D6" s="9" t="s">
        <v>78</v>
      </c>
      <c r="E6" s="9" t="s">
        <v>147</v>
      </c>
      <c r="F6" s="9" t="s">
        <v>283</v>
      </c>
      <c r="G6" s="9" t="s">
        <v>284</v>
      </c>
      <c r="H6" s="18" t="str">
        <f t="array" ref="H6">_xlfn.XLOOKUP(E:E,'Calificación consecuencia'!B:B,'Calificación consecuencia'!K:K,"No encontrada",2)</f>
        <v>Media</v>
      </c>
      <c r="I6" s="9" t="s">
        <v>113</v>
      </c>
      <c r="J6" s="20" t="s">
        <v>116</v>
      </c>
      <c r="K6" s="21"/>
      <c r="L6" s="21"/>
      <c r="M6" s="20" t="s">
        <v>116</v>
      </c>
      <c r="N6" s="22" t="s">
        <v>120</v>
      </c>
      <c r="O6" s="21"/>
      <c r="P6" s="21"/>
      <c r="Q6" s="21"/>
      <c r="R6" s="21"/>
      <c r="S6" s="21"/>
      <c r="T6" s="21"/>
      <c r="U6" s="9" t="s">
        <v>230</v>
      </c>
      <c r="V6" s="9" t="s">
        <v>230</v>
      </c>
    </row>
    <row r="7" ht="45.0" customHeight="1">
      <c r="A7" s="11" t="s">
        <v>47</v>
      </c>
      <c r="B7" s="9" t="s">
        <v>49</v>
      </c>
      <c r="C7" s="9" t="str">
        <f t="array" ref="C7">INDEX(Funciones!$G$2:$G$372,MATCH($A7,Funciones!$B$2:$B$372,0))</f>
        <v>Transportar pasajeros hasta 300 por coche</v>
      </c>
      <c r="D7" s="9" t="s">
        <v>308</v>
      </c>
      <c r="E7" s="9" t="s">
        <v>156</v>
      </c>
      <c r="F7" s="9" t="s">
        <v>312</v>
      </c>
      <c r="G7" s="9" t="s">
        <v>313</v>
      </c>
      <c r="H7" s="18" t="str">
        <f t="array" ref="H7">_xlfn.XLOOKUP(E:E,'Calificación consecuencia'!B:B,'Calificación consecuencia'!K:K,"No encontrada",2)</f>
        <v>Baja</v>
      </c>
      <c r="I7" s="9" t="s">
        <v>339</v>
      </c>
      <c r="J7" s="20" t="s">
        <v>116</v>
      </c>
      <c r="K7" s="21"/>
      <c r="L7" s="21"/>
      <c r="M7" s="22" t="s">
        <v>120</v>
      </c>
      <c r="N7" s="21"/>
      <c r="O7" s="20" t="s">
        <v>116</v>
      </c>
      <c r="P7" s="20" t="s">
        <v>116</v>
      </c>
      <c r="Q7" s="21"/>
      <c r="R7" s="21"/>
      <c r="S7" s="21"/>
      <c r="T7" s="21"/>
      <c r="U7" s="9" t="s">
        <v>345</v>
      </c>
      <c r="V7" s="9" t="s">
        <v>196</v>
      </c>
    </row>
    <row r="8" ht="14.25" customHeight="1">
      <c r="A8" s="11" t="s">
        <v>47</v>
      </c>
      <c r="B8" s="9" t="s">
        <v>49</v>
      </c>
      <c r="C8" s="9" t="str">
        <f t="array" ref="C8">INDEX(Funciones!$G$2:$G$372,MATCH($A8,Funciones!$B$2:$B$372,0))</f>
        <v>Transportar pasajeros hasta 300 por coche</v>
      </c>
      <c r="D8" s="9" t="s">
        <v>308</v>
      </c>
      <c r="E8" s="9" t="s">
        <v>167</v>
      </c>
      <c r="F8" s="9" t="s">
        <v>368</v>
      </c>
      <c r="G8" s="9" t="s">
        <v>370</v>
      </c>
      <c r="H8" s="18" t="str">
        <f t="array" ref="H8">_xlfn.XLOOKUP(E:E,'Calificación consecuencia'!B:B,'Calificación consecuencia'!K:K,"No encontrada",2)</f>
        <v>Baja</v>
      </c>
      <c r="I8" s="9" t="s">
        <v>339</v>
      </c>
      <c r="J8" s="20" t="s">
        <v>116</v>
      </c>
      <c r="K8" s="21"/>
      <c r="L8" s="21"/>
      <c r="M8" s="22" t="s">
        <v>120</v>
      </c>
      <c r="N8" s="21"/>
      <c r="O8" s="20" t="s">
        <v>116</v>
      </c>
      <c r="P8" s="20" t="s">
        <v>116</v>
      </c>
      <c r="Q8" s="21"/>
      <c r="R8" s="21"/>
      <c r="S8" s="21"/>
      <c r="T8" s="21"/>
      <c r="U8" s="9" t="s">
        <v>345</v>
      </c>
      <c r="V8" s="9" t="s">
        <v>196</v>
      </c>
    </row>
    <row r="9" ht="14.25" customHeight="1">
      <c r="A9" s="11" t="s">
        <v>73</v>
      </c>
      <c r="B9" s="27" t="s">
        <v>72</v>
      </c>
      <c r="C9" s="27" t="str">
        <f t="array" ref="C9">INDEX(Funciones!$G$2:$G$372,MATCH($A9,Funciones!$B$2:$B$372,0))</f>
        <v>Bloquear la tracción con 0 arranques con puerta abierta</v>
      </c>
      <c r="D9" s="27" t="s">
        <v>394</v>
      </c>
      <c r="E9" s="27" t="s">
        <v>185</v>
      </c>
      <c r="F9" s="27" t="s">
        <v>400</v>
      </c>
      <c r="G9" s="27" t="s">
        <v>401</v>
      </c>
      <c r="H9" s="18" t="str">
        <f t="array" ref="H9">_xlfn.XLOOKUP(E:E,'Calificación consecuencia'!B:B,'Calificación consecuencia'!K:K,"No encontrada",2)</f>
        <v>Media</v>
      </c>
      <c r="I9" s="27" t="s">
        <v>425</v>
      </c>
      <c r="J9" s="29" t="s">
        <v>120</v>
      </c>
      <c r="K9" s="30" t="s">
        <v>116</v>
      </c>
      <c r="L9" s="21"/>
      <c r="M9" s="21"/>
      <c r="N9" s="21"/>
      <c r="O9" s="21"/>
      <c r="P9" s="21"/>
      <c r="Q9" s="21"/>
      <c r="R9" s="21"/>
      <c r="S9" s="21"/>
      <c r="T9" s="21"/>
      <c r="U9" s="27" t="s">
        <v>439</v>
      </c>
      <c r="V9" s="27" t="s">
        <v>440</v>
      </c>
    </row>
    <row r="10" ht="14.25" customHeight="1">
      <c r="A10" s="11" t="s">
        <v>73</v>
      </c>
      <c r="B10" s="27" t="s">
        <v>72</v>
      </c>
      <c r="C10" s="27" t="str">
        <f t="array" ref="C10">INDEX(Funciones!$G$2:$G$372,MATCH($A10,Funciones!$B$2:$B$372,0))</f>
        <v>Bloquear la tracción con 0 arranques con puerta abierta</v>
      </c>
      <c r="D10" s="27" t="s">
        <v>394</v>
      </c>
      <c r="E10" s="27" t="s">
        <v>198</v>
      </c>
      <c r="F10" s="27" t="s">
        <v>458</v>
      </c>
      <c r="G10" s="27" t="s">
        <v>461</v>
      </c>
      <c r="H10" s="18" t="str">
        <f t="array" ref="H10">_xlfn.XLOOKUP(E:E,'Calificación consecuencia'!B:B,'Calificación consecuencia'!K:K,"No encontrada",2)</f>
        <v>Baja</v>
      </c>
      <c r="I10" s="27" t="s">
        <v>425</v>
      </c>
      <c r="J10" s="29" t="s">
        <v>120</v>
      </c>
      <c r="K10" s="30" t="s">
        <v>116</v>
      </c>
      <c r="L10" s="21"/>
      <c r="M10" s="21"/>
      <c r="N10" s="21"/>
      <c r="O10" s="21"/>
      <c r="P10" s="21"/>
      <c r="Q10" s="21"/>
      <c r="R10" s="21"/>
      <c r="S10" s="21"/>
      <c r="T10" s="21"/>
      <c r="U10" s="27" t="s">
        <v>439</v>
      </c>
      <c r="V10" s="27" t="s">
        <v>440</v>
      </c>
    </row>
    <row r="11" ht="14.25" customHeight="1">
      <c r="A11" s="11" t="s">
        <v>73</v>
      </c>
      <c r="B11" s="27" t="s">
        <v>72</v>
      </c>
      <c r="C11" s="27" t="str">
        <f t="array" ref="C11">INDEX(Funciones!$G$2:$G$372,MATCH($A11,Funciones!$B$2:$B$372,0))</f>
        <v>Bloquear la tracción con 0 arranques con puerta abierta</v>
      </c>
      <c r="D11" s="27" t="s">
        <v>394</v>
      </c>
      <c r="E11" s="27" t="s">
        <v>207</v>
      </c>
      <c r="F11" s="27" t="s">
        <v>482</v>
      </c>
      <c r="G11" s="27" t="s">
        <v>483</v>
      </c>
      <c r="H11" s="18" t="str">
        <f t="array" ref="H11">_xlfn.XLOOKUP(E:E,'Calificación consecuencia'!B:B,'Calificación consecuencia'!K:K,"No encontrada",2)</f>
        <v>Media</v>
      </c>
      <c r="I11" s="27" t="s">
        <v>425</v>
      </c>
      <c r="J11" s="29" t="s">
        <v>120</v>
      </c>
      <c r="K11" s="30" t="s">
        <v>116</v>
      </c>
      <c r="L11" s="21"/>
      <c r="M11" s="21"/>
      <c r="N11" s="21"/>
      <c r="O11" s="21"/>
      <c r="P11" s="21"/>
      <c r="Q11" s="21"/>
      <c r="R11" s="21"/>
      <c r="S11" s="21"/>
      <c r="T11" s="21"/>
      <c r="U11" s="27" t="s">
        <v>439</v>
      </c>
      <c r="V11" s="27" t="s">
        <v>440</v>
      </c>
    </row>
    <row r="12" ht="14.25" customHeight="1">
      <c r="A12" s="31" t="s">
        <v>73</v>
      </c>
      <c r="B12" s="27" t="s">
        <v>72</v>
      </c>
      <c r="C12" s="27" t="str">
        <f t="array" ref="C12">INDEX(Funciones!$G$2:$G$372,MATCH($A12,Funciones!$B$2:$B$372,0))</f>
        <v>Bloquear la tracción con 0 arranques con puerta abierta</v>
      </c>
      <c r="D12" s="27" t="s">
        <v>394</v>
      </c>
      <c r="E12" s="27" t="s">
        <v>220</v>
      </c>
      <c r="F12" s="27" t="s">
        <v>522</v>
      </c>
      <c r="G12" s="27" t="s">
        <v>523</v>
      </c>
      <c r="H12" s="18" t="str">
        <f t="array" ref="H12">_xlfn.XLOOKUP(E:E,'Calificación consecuencia'!B:B,'Calificación consecuencia'!K:K,"No encontrada",2)</f>
        <v>Media</v>
      </c>
      <c r="I12" s="27" t="s">
        <v>425</v>
      </c>
      <c r="J12" s="29" t="s">
        <v>120</v>
      </c>
      <c r="K12" s="30" t="s">
        <v>116</v>
      </c>
      <c r="L12" s="21"/>
      <c r="M12" s="21"/>
      <c r="N12" s="21"/>
      <c r="O12" s="21"/>
      <c r="P12" s="21"/>
      <c r="Q12" s="21"/>
      <c r="R12" s="21"/>
      <c r="S12" s="21"/>
      <c r="T12" s="21"/>
      <c r="U12" s="27" t="s">
        <v>439</v>
      </c>
      <c r="V12" s="27" t="s">
        <v>440</v>
      </c>
    </row>
    <row r="13" ht="14.25" customHeight="1">
      <c r="A13" s="31" t="s">
        <v>73</v>
      </c>
      <c r="B13" s="27" t="s">
        <v>72</v>
      </c>
      <c r="C13" s="27" t="str">
        <f t="array" ref="C13">INDEX(Funciones!$G$2:$G$372,MATCH($A13,Funciones!$B$2:$B$372,0))</f>
        <v>Bloquear la tracción con 0 arranques con puerta abierta</v>
      </c>
      <c r="D13" s="27" t="s">
        <v>394</v>
      </c>
      <c r="E13" s="27" t="s">
        <v>234</v>
      </c>
      <c r="F13" s="27" t="s">
        <v>554</v>
      </c>
      <c r="G13" s="27" t="s">
        <v>558</v>
      </c>
      <c r="H13" s="18" t="str">
        <f t="array" ref="H13">_xlfn.XLOOKUP(E:E,'Calificación consecuencia'!B:B,'Calificación consecuencia'!K:K,"No encontrada",2)</f>
        <v>Media</v>
      </c>
      <c r="I13" s="27" t="s">
        <v>425</v>
      </c>
      <c r="J13" s="29" t="s">
        <v>120</v>
      </c>
      <c r="K13" s="30" t="s">
        <v>116</v>
      </c>
      <c r="L13" s="21"/>
      <c r="M13" s="21"/>
      <c r="N13" s="21"/>
      <c r="O13" s="21"/>
      <c r="P13" s="21"/>
      <c r="Q13" s="21"/>
      <c r="R13" s="21"/>
      <c r="S13" s="21"/>
      <c r="T13" s="21"/>
      <c r="U13" s="27" t="s">
        <v>439</v>
      </c>
      <c r="V13" s="27" t="s">
        <v>440</v>
      </c>
    </row>
    <row r="14" ht="14.25" customHeight="1">
      <c r="A14" s="31" t="s">
        <v>73</v>
      </c>
      <c r="B14" s="27" t="s">
        <v>72</v>
      </c>
      <c r="C14" s="27" t="str">
        <f t="array" ref="C14">INDEX(Funciones!$G$2:$G$372,MATCH($A14,Funciones!$B$2:$B$372,0))</f>
        <v>Bloquear la tracción con 0 arranques con puerta abierta</v>
      </c>
      <c r="D14" s="27" t="s">
        <v>583</v>
      </c>
      <c r="E14" s="27" t="s">
        <v>242</v>
      </c>
      <c r="F14" s="27" t="s">
        <v>584</v>
      </c>
      <c r="G14" s="27" t="s">
        <v>483</v>
      </c>
      <c r="H14" s="18" t="str">
        <f t="array" ref="H14">_xlfn.XLOOKUP(E:E,'Calificación consecuencia'!B:B,'Calificación consecuencia'!K:K,"No encontrada",2)</f>
        <v>Media</v>
      </c>
      <c r="I14" s="27" t="s">
        <v>425</v>
      </c>
      <c r="J14" s="29" t="s">
        <v>120</v>
      </c>
      <c r="K14" s="30" t="s">
        <v>116</v>
      </c>
      <c r="L14" s="21"/>
      <c r="M14" s="21"/>
      <c r="N14" s="21"/>
      <c r="O14" s="21"/>
      <c r="P14" s="21"/>
      <c r="Q14" s="21"/>
      <c r="R14" s="21"/>
      <c r="S14" s="21"/>
      <c r="T14" s="21"/>
      <c r="U14" s="27" t="s">
        <v>439</v>
      </c>
      <c r="V14" s="27" t="s">
        <v>440</v>
      </c>
    </row>
    <row r="15" ht="14.25" customHeight="1">
      <c r="A15" s="31" t="s">
        <v>73</v>
      </c>
      <c r="B15" s="27" t="s">
        <v>72</v>
      </c>
      <c r="C15" s="27" t="str">
        <f t="array" ref="C15">INDEX(Funciones!$G$2:$G$372,MATCH($A15,Funciones!$B$2:$B$372,0))</f>
        <v>Bloquear la tracción con 0 arranques con puerta abierta</v>
      </c>
      <c r="D15" s="27" t="s">
        <v>583</v>
      </c>
      <c r="E15" s="27" t="s">
        <v>262</v>
      </c>
      <c r="F15" s="27" t="s">
        <v>618</v>
      </c>
      <c r="G15" s="27" t="s">
        <v>619</v>
      </c>
      <c r="H15" s="18" t="str">
        <f t="array" ref="H15">_xlfn.XLOOKUP(E:E,'Calificación consecuencia'!B:B,'Calificación consecuencia'!K:K,"No encontrada",2)</f>
        <v>Media</v>
      </c>
      <c r="I15" s="27" t="s">
        <v>425</v>
      </c>
      <c r="J15" s="29" t="s">
        <v>120</v>
      </c>
      <c r="K15" s="30" t="s">
        <v>116</v>
      </c>
      <c r="L15" s="21"/>
      <c r="M15" s="21"/>
      <c r="N15" s="21"/>
      <c r="O15" s="21"/>
      <c r="P15" s="21"/>
      <c r="Q15" s="21"/>
      <c r="R15" s="21"/>
      <c r="S15" s="21"/>
      <c r="T15" s="21"/>
      <c r="U15" s="27" t="s">
        <v>439</v>
      </c>
      <c r="V15" s="27" t="s">
        <v>440</v>
      </c>
    </row>
    <row r="16" ht="14.25" customHeight="1">
      <c r="A16" s="31" t="s">
        <v>91</v>
      </c>
      <c r="B16" s="9" t="s">
        <v>72</v>
      </c>
      <c r="C16" s="9" t="str">
        <f t="array" ref="C16">INDEX(Funciones!$G$2:$G$372,MATCH($A16,Funciones!$B$2:$B$372,0))</f>
        <v>Permitir el intercambio de pasajeros con 24 puertas operativas</v>
      </c>
      <c r="D16" s="9" t="s">
        <v>641</v>
      </c>
      <c r="E16" s="9" t="s">
        <v>275</v>
      </c>
      <c r="F16" s="9" t="s">
        <v>644</v>
      </c>
      <c r="G16" s="9" t="s">
        <v>645</v>
      </c>
      <c r="H16" s="18" t="str">
        <f t="array" ref="H16">_xlfn.XLOOKUP(E:E,'Calificación consecuencia'!B:B,'Calificación consecuencia'!K:K,"No encontrada",2)</f>
        <v>Media</v>
      </c>
      <c r="I16" s="9" t="s">
        <v>113</v>
      </c>
      <c r="J16" s="20" t="s">
        <v>116</v>
      </c>
      <c r="K16" s="21"/>
      <c r="L16" s="21"/>
      <c r="M16" s="20" t="s">
        <v>116</v>
      </c>
      <c r="N16" s="20" t="s">
        <v>116</v>
      </c>
      <c r="O16" s="21"/>
      <c r="P16" s="21"/>
      <c r="Q16" s="21"/>
      <c r="R16" s="21"/>
      <c r="S16" s="21"/>
      <c r="T16" s="21"/>
      <c r="U16" s="9" t="s">
        <v>195</v>
      </c>
      <c r="V16" s="9" t="s">
        <v>196</v>
      </c>
    </row>
    <row r="17" ht="14.25" customHeight="1">
      <c r="A17" s="31" t="s">
        <v>91</v>
      </c>
      <c r="B17" s="9" t="s">
        <v>72</v>
      </c>
      <c r="C17" s="9" t="str">
        <f t="array" ref="C17">INDEX(Funciones!$G$2:$G$372,MATCH($A17,Funciones!$B$2:$B$372,0))</f>
        <v>Permitir el intercambio de pasajeros con 24 puertas operativas</v>
      </c>
      <c r="D17" s="9" t="s">
        <v>641</v>
      </c>
      <c r="E17" s="9" t="s">
        <v>292</v>
      </c>
      <c r="F17" s="9" t="s">
        <v>676</v>
      </c>
      <c r="G17" s="9" t="s">
        <v>679</v>
      </c>
      <c r="H17" s="18" t="str">
        <f t="array" ref="H17">_xlfn.XLOOKUP(E:E,'Calificación consecuencia'!B:B,'Calificación consecuencia'!K:K,"No encontrada",2)</f>
        <v>Baja</v>
      </c>
      <c r="I17" s="9" t="s">
        <v>113</v>
      </c>
      <c r="J17" s="20" t="s">
        <v>116</v>
      </c>
      <c r="K17" s="21"/>
      <c r="L17" s="21"/>
      <c r="M17" s="20" t="s">
        <v>116</v>
      </c>
      <c r="N17" s="22" t="s">
        <v>120</v>
      </c>
      <c r="O17" s="21"/>
      <c r="P17" s="21"/>
      <c r="Q17" s="21"/>
      <c r="R17" s="21"/>
      <c r="S17" s="21"/>
      <c r="T17" s="21"/>
      <c r="U17" s="9" t="s">
        <v>230</v>
      </c>
      <c r="V17" s="9" t="s">
        <v>230</v>
      </c>
    </row>
    <row r="18" ht="14.25" customHeight="1">
      <c r="A18" s="31" t="s">
        <v>91</v>
      </c>
      <c r="B18" s="9" t="s">
        <v>72</v>
      </c>
      <c r="C18" s="9" t="str">
        <f t="array" ref="C18">INDEX(Funciones!$G$2:$G$372,MATCH($A18,Funciones!$B$2:$B$372,0))</f>
        <v>Permitir el intercambio de pasajeros con 24 puertas operativas</v>
      </c>
      <c r="D18" s="9" t="s">
        <v>697</v>
      </c>
      <c r="E18" s="9" t="s">
        <v>304</v>
      </c>
      <c r="F18" s="9" t="s">
        <v>700</v>
      </c>
      <c r="G18" s="9" t="s">
        <v>702</v>
      </c>
      <c r="H18" s="18" t="str">
        <f t="array" ref="H18">_xlfn.XLOOKUP(E:E,'Calificación consecuencia'!B:B,'Calificación consecuencia'!K:K,"No encontrada",2)</f>
        <v>Baja</v>
      </c>
      <c r="I18" s="9" t="s">
        <v>339</v>
      </c>
      <c r="J18" s="20" t="s">
        <v>116</v>
      </c>
      <c r="K18" s="21"/>
      <c r="L18" s="21"/>
      <c r="M18" s="22" t="s">
        <v>120</v>
      </c>
      <c r="N18" s="21"/>
      <c r="O18" s="20" t="s">
        <v>116</v>
      </c>
      <c r="P18" s="20" t="s">
        <v>116</v>
      </c>
      <c r="Q18" s="21"/>
      <c r="R18" s="21"/>
      <c r="S18" s="21"/>
      <c r="T18" s="21"/>
      <c r="U18" s="9" t="s">
        <v>345</v>
      </c>
      <c r="V18" s="9" t="s">
        <v>196</v>
      </c>
    </row>
    <row r="19" ht="14.25" customHeight="1">
      <c r="A19" s="31" t="s">
        <v>91</v>
      </c>
      <c r="B19" s="9" t="s">
        <v>72</v>
      </c>
      <c r="C19" s="9" t="str">
        <f t="array" ref="C19">INDEX(Funciones!$G$2:$G$372,MATCH($A19,Funciones!$B$2:$B$372,0))</f>
        <v>Permitir el intercambio de pasajeros con 24 puertas operativas</v>
      </c>
      <c r="D19" s="9" t="s">
        <v>697</v>
      </c>
      <c r="E19" s="9" t="s">
        <v>326</v>
      </c>
      <c r="F19" s="9" t="s">
        <v>730</v>
      </c>
      <c r="G19" s="9" t="s">
        <v>732</v>
      </c>
      <c r="H19" s="18" t="str">
        <f t="array" ref="H19">_xlfn.XLOOKUP(E:E,'Calificación consecuencia'!B:B,'Calificación consecuencia'!K:K,"No encontrada",2)</f>
        <v>Baja</v>
      </c>
      <c r="I19" s="9" t="s">
        <v>339</v>
      </c>
      <c r="J19" s="20" t="s">
        <v>116</v>
      </c>
      <c r="K19" s="21"/>
      <c r="L19" s="21"/>
      <c r="M19" s="22" t="s">
        <v>120</v>
      </c>
      <c r="N19" s="21"/>
      <c r="O19" s="20" t="s">
        <v>116</v>
      </c>
      <c r="P19" s="20" t="s">
        <v>116</v>
      </c>
      <c r="Q19" s="21"/>
      <c r="R19" s="21"/>
      <c r="S19" s="21"/>
      <c r="T19" s="21"/>
      <c r="U19" s="9" t="s">
        <v>345</v>
      </c>
      <c r="V19" s="9" t="s">
        <v>196</v>
      </c>
    </row>
    <row r="20" ht="14.25" customHeight="1">
      <c r="A20" s="31" t="s">
        <v>91</v>
      </c>
      <c r="B20" s="9" t="s">
        <v>72</v>
      </c>
      <c r="C20" s="9" t="str">
        <f t="array" ref="C20">INDEX(Funciones!$G$2:$G$372,MATCH($A20,Funciones!$B$2:$B$372,0))</f>
        <v>Permitir el intercambio de pasajeros con 24 puertas operativas</v>
      </c>
      <c r="D20" s="9" t="s">
        <v>697</v>
      </c>
      <c r="E20" s="9" t="s">
        <v>344</v>
      </c>
      <c r="F20" s="9" t="s">
        <v>769</v>
      </c>
      <c r="G20" s="9" t="s">
        <v>771</v>
      </c>
      <c r="H20" s="18" t="str">
        <f t="array" ref="H20">_xlfn.XLOOKUP(E:E,'Calificación consecuencia'!B:B,'Calificación consecuencia'!K:K,"No encontrada",2)</f>
        <v>Media</v>
      </c>
      <c r="I20" s="9" t="s">
        <v>339</v>
      </c>
      <c r="J20" s="20" t="s">
        <v>116</v>
      </c>
      <c r="K20" s="21"/>
      <c r="L20" s="21"/>
      <c r="M20" s="22" t="s">
        <v>120</v>
      </c>
      <c r="N20" s="21"/>
      <c r="O20" s="20" t="s">
        <v>116</v>
      </c>
      <c r="P20" s="22" t="s">
        <v>120</v>
      </c>
      <c r="Q20" s="20" t="s">
        <v>116</v>
      </c>
      <c r="R20" s="21"/>
      <c r="S20" s="21"/>
      <c r="T20" s="21"/>
      <c r="U20" s="9" t="s">
        <v>785</v>
      </c>
      <c r="V20" s="9" t="s">
        <v>786</v>
      </c>
    </row>
    <row r="21" ht="14.25" customHeight="1">
      <c r="A21" s="31" t="s">
        <v>91</v>
      </c>
      <c r="B21" s="9" t="s">
        <v>72</v>
      </c>
      <c r="C21" s="9" t="str">
        <f t="array" ref="C21">INDEX(Funciones!$G$2:$G$372,MATCH($A21,Funciones!$B$2:$B$372,0))</f>
        <v>Permitir el intercambio de pasajeros con 24 puertas operativas</v>
      </c>
      <c r="D21" s="9" t="s">
        <v>697</v>
      </c>
      <c r="E21" s="9" t="s">
        <v>360</v>
      </c>
      <c r="F21" s="9" t="s">
        <v>805</v>
      </c>
      <c r="G21" s="9" t="s">
        <v>806</v>
      </c>
      <c r="H21" s="18" t="str">
        <f t="array" ref="H21">_xlfn.XLOOKUP(E:E,'Calificación consecuencia'!B:B,'Calificación consecuencia'!K:K,"No encontrada",2)</f>
        <v>Baja</v>
      </c>
      <c r="I21" s="9" t="s">
        <v>339</v>
      </c>
      <c r="J21" s="20" t="s">
        <v>116</v>
      </c>
      <c r="K21" s="21"/>
      <c r="L21" s="21"/>
      <c r="M21" s="22" t="s">
        <v>120</v>
      </c>
      <c r="N21" s="21"/>
      <c r="O21" s="20" t="s">
        <v>116</v>
      </c>
      <c r="P21" s="20" t="s">
        <v>116</v>
      </c>
      <c r="Q21" s="21"/>
      <c r="R21" s="21"/>
      <c r="S21" s="21"/>
      <c r="T21" s="21"/>
      <c r="U21" s="9" t="s">
        <v>345</v>
      </c>
      <c r="V21" s="9" t="s">
        <v>196</v>
      </c>
    </row>
    <row r="22" ht="14.25" customHeight="1">
      <c r="A22" s="34" t="s">
        <v>101</v>
      </c>
      <c r="B22" s="27" t="s">
        <v>100</v>
      </c>
      <c r="C22" s="27" t="str">
        <f t="array" ref="C22">INDEX(Funciones!$G$2:$G$372,MATCH($A22,Funciones!$B$2:$B$372,0))</f>
        <v>Frenar el tren en una distancia máxima de 30 m</v>
      </c>
      <c r="D22" s="27" t="s">
        <v>828</v>
      </c>
      <c r="E22" s="27" t="s">
        <v>383</v>
      </c>
      <c r="F22" s="27" t="s">
        <v>831</v>
      </c>
      <c r="G22" s="27" t="s">
        <v>833</v>
      </c>
      <c r="H22" s="18" t="str">
        <f t="array" ref="H22">_xlfn.XLOOKUP(E:E,'Calificación consecuencia'!B:B,'Calificación consecuencia'!K:K,"No encontrada",2)</f>
        <v>Media</v>
      </c>
      <c r="I22" s="27" t="s">
        <v>844</v>
      </c>
      <c r="J22" s="30" t="s">
        <v>116</v>
      </c>
      <c r="K22" s="21"/>
      <c r="L22" s="21"/>
      <c r="M22" s="30" t="s">
        <v>116</v>
      </c>
      <c r="N22" s="30" t="s">
        <v>116</v>
      </c>
      <c r="O22" s="21"/>
      <c r="P22" s="21"/>
      <c r="Q22" s="21"/>
      <c r="R22" s="21"/>
      <c r="S22" s="21"/>
      <c r="T22" s="21"/>
      <c r="U22" s="27" t="s">
        <v>195</v>
      </c>
      <c r="V22" s="27" t="s">
        <v>196</v>
      </c>
    </row>
    <row r="23" ht="14.25" customHeight="1">
      <c r="A23" s="34" t="s">
        <v>101</v>
      </c>
      <c r="B23" s="27" t="s">
        <v>100</v>
      </c>
      <c r="C23" s="27" t="str">
        <f t="array" ref="C23">INDEX(Funciones!$G$2:$G$372,MATCH($A23,Funciones!$B$2:$B$372,0))</f>
        <v>Frenar el tren en una distancia máxima de 30 m</v>
      </c>
      <c r="D23" s="27" t="s">
        <v>828</v>
      </c>
      <c r="E23" s="27" t="s">
        <v>387</v>
      </c>
      <c r="F23" s="27" t="s">
        <v>856</v>
      </c>
      <c r="G23" s="27" t="s">
        <v>857</v>
      </c>
      <c r="H23" s="18" t="str">
        <f t="array" ref="H23">_xlfn.XLOOKUP(E:E,'Calificación consecuencia'!B:B,'Calificación consecuencia'!K:K,"No encontrada",2)</f>
        <v>Media</v>
      </c>
      <c r="I23" s="27" t="s">
        <v>844</v>
      </c>
      <c r="J23" s="30" t="s">
        <v>116</v>
      </c>
      <c r="K23" s="21"/>
      <c r="L23" s="21"/>
      <c r="M23" s="30" t="s">
        <v>116</v>
      </c>
      <c r="N23" s="30" t="s">
        <v>116</v>
      </c>
      <c r="O23" s="21"/>
      <c r="P23" s="21"/>
      <c r="Q23" s="21"/>
      <c r="R23" s="21"/>
      <c r="S23" s="21"/>
      <c r="T23" s="21"/>
      <c r="U23" s="27" t="s">
        <v>195</v>
      </c>
      <c r="V23" s="27" t="s">
        <v>196</v>
      </c>
    </row>
    <row r="24" ht="14.25" customHeight="1">
      <c r="A24" s="34" t="s">
        <v>101</v>
      </c>
      <c r="B24" s="27" t="s">
        <v>100</v>
      </c>
      <c r="C24" s="27" t="str">
        <f t="array" ref="C24">INDEX(Funciones!$G$2:$G$372,MATCH($A24,Funciones!$B$2:$B$372,0))</f>
        <v>Frenar el tren en una distancia máxima de 30 m</v>
      </c>
      <c r="D24" s="27" t="s">
        <v>828</v>
      </c>
      <c r="E24" s="27" t="s">
        <v>398</v>
      </c>
      <c r="F24" s="27" t="s">
        <v>892</v>
      </c>
      <c r="G24" s="27" t="s">
        <v>893</v>
      </c>
      <c r="H24" s="18" t="str">
        <f t="array" ref="H24">_xlfn.XLOOKUP(E:E,'Calificación consecuencia'!B:B,'Calificación consecuencia'!K:K,"No encontrada",2)</f>
        <v>Media</v>
      </c>
      <c r="I24" s="27" t="s">
        <v>844</v>
      </c>
      <c r="J24" s="30" t="s">
        <v>116</v>
      </c>
      <c r="K24" s="21"/>
      <c r="L24" s="21"/>
      <c r="M24" s="30" t="s">
        <v>116</v>
      </c>
      <c r="N24" s="29" t="s">
        <v>120</v>
      </c>
      <c r="O24" s="21"/>
      <c r="P24" s="21"/>
      <c r="Q24" s="21"/>
      <c r="R24" s="21"/>
      <c r="S24" s="21"/>
      <c r="T24" s="21"/>
      <c r="U24" s="27" t="s">
        <v>230</v>
      </c>
      <c r="V24" s="27" t="s">
        <v>230</v>
      </c>
    </row>
    <row r="25" ht="14.25" customHeight="1">
      <c r="A25" s="34" t="s">
        <v>101</v>
      </c>
      <c r="B25" s="27" t="s">
        <v>100</v>
      </c>
      <c r="C25" s="27" t="str">
        <f t="array" ref="C25">INDEX(Funciones!$G$2:$G$372,MATCH($A25,Funciones!$B$2:$B$372,0))</f>
        <v>Frenar el tren en una distancia máxima de 30 m</v>
      </c>
      <c r="D25" s="27" t="s">
        <v>936</v>
      </c>
      <c r="E25" s="27" t="s">
        <v>412</v>
      </c>
      <c r="F25" s="27" t="s">
        <v>938</v>
      </c>
      <c r="G25" s="27" t="s">
        <v>940</v>
      </c>
      <c r="H25" s="18" t="str">
        <f t="array" ref="H25">_xlfn.XLOOKUP(E:E,'Calificación consecuencia'!B:B,'Calificación consecuencia'!K:K,"No encontrada",2)</f>
        <v>Media</v>
      </c>
      <c r="I25" s="27" t="s">
        <v>425</v>
      </c>
      <c r="J25" s="30" t="s">
        <v>116</v>
      </c>
      <c r="K25" s="21"/>
      <c r="L25" s="21"/>
      <c r="M25" s="30" t="s">
        <v>116</v>
      </c>
      <c r="N25" s="30" t="s">
        <v>116</v>
      </c>
      <c r="O25" s="21"/>
      <c r="P25" s="21"/>
      <c r="Q25" s="21"/>
      <c r="R25" s="21"/>
      <c r="S25" s="21"/>
      <c r="T25" s="21"/>
      <c r="U25" s="27" t="s">
        <v>195</v>
      </c>
      <c r="V25" s="27" t="s">
        <v>196</v>
      </c>
    </row>
    <row r="26" ht="14.25" customHeight="1">
      <c r="A26" s="34" t="s">
        <v>101</v>
      </c>
      <c r="B26" s="27" t="s">
        <v>100</v>
      </c>
      <c r="C26" s="27" t="str">
        <f t="array" ref="C26">INDEX(Funciones!$G$2:$G$372,MATCH($A26,Funciones!$B$2:$B$372,0))</f>
        <v>Frenar el tren en una distancia máxima de 30 m</v>
      </c>
      <c r="D26" s="27" t="s">
        <v>936</v>
      </c>
      <c r="E26" s="27" t="s">
        <v>424</v>
      </c>
      <c r="F26" s="27" t="s">
        <v>969</v>
      </c>
      <c r="G26" s="27" t="s">
        <v>970</v>
      </c>
      <c r="H26" s="18" t="str">
        <f t="array" ref="H26">_xlfn.XLOOKUP(E:E,'Calificación consecuencia'!B:B,'Calificación consecuencia'!K:K,"No encontrada",2)</f>
        <v>Media</v>
      </c>
      <c r="I26" s="27" t="s">
        <v>425</v>
      </c>
      <c r="J26" s="30" t="s">
        <v>116</v>
      </c>
      <c r="K26" s="21"/>
      <c r="L26" s="21"/>
      <c r="M26" s="30" t="s">
        <v>116</v>
      </c>
      <c r="N26" s="30" t="s">
        <v>116</v>
      </c>
      <c r="O26" s="21"/>
      <c r="P26" s="21"/>
      <c r="Q26" s="21"/>
      <c r="R26" s="21"/>
      <c r="S26" s="21"/>
      <c r="T26" s="21"/>
      <c r="U26" s="27" t="s">
        <v>195</v>
      </c>
      <c r="V26" s="27" t="s">
        <v>196</v>
      </c>
    </row>
    <row r="27" ht="14.25" customHeight="1">
      <c r="A27" s="34" t="s">
        <v>101</v>
      </c>
      <c r="B27" s="27" t="s">
        <v>100</v>
      </c>
      <c r="C27" s="27" t="str">
        <f t="array" ref="C27">INDEX(Funciones!$G$2:$G$372,MATCH($A27,Funciones!$B$2:$B$372,0))</f>
        <v>Frenar el tren en una distancia máxima de 30 m</v>
      </c>
      <c r="D27" s="27" t="s">
        <v>936</v>
      </c>
      <c r="E27" s="27" t="s">
        <v>434</v>
      </c>
      <c r="F27" s="27" t="s">
        <v>987</v>
      </c>
      <c r="G27" s="27" t="s">
        <v>988</v>
      </c>
      <c r="H27" s="18" t="str">
        <f t="array" ref="H27">_xlfn.XLOOKUP(E:E,'Calificación consecuencia'!B:B,'Calificación consecuencia'!K:K,"No encontrada",2)</f>
        <v>Media</v>
      </c>
      <c r="I27" s="27" t="s">
        <v>425</v>
      </c>
      <c r="J27" s="30" t="s">
        <v>116</v>
      </c>
      <c r="K27" s="21"/>
      <c r="L27" s="21"/>
      <c r="M27" s="30" t="s">
        <v>116</v>
      </c>
      <c r="N27" s="30" t="s">
        <v>116</v>
      </c>
      <c r="O27" s="21"/>
      <c r="P27" s="21"/>
      <c r="Q27" s="21"/>
      <c r="R27" s="21"/>
      <c r="S27" s="21"/>
      <c r="T27" s="21"/>
      <c r="U27" s="27" t="s">
        <v>195</v>
      </c>
      <c r="V27" s="27" t="s">
        <v>196</v>
      </c>
    </row>
    <row r="28" ht="14.25" customHeight="1">
      <c r="A28" s="34" t="s">
        <v>101</v>
      </c>
      <c r="B28" s="27" t="s">
        <v>100</v>
      </c>
      <c r="C28" s="27" t="str">
        <f t="array" ref="C28">INDEX(Funciones!$G$2:$G$372,MATCH($A28,Funciones!$B$2:$B$372,0))</f>
        <v>Frenar el tren en una distancia máxima de 30 m</v>
      </c>
      <c r="D28" s="27" t="s">
        <v>936</v>
      </c>
      <c r="E28" s="27" t="s">
        <v>449</v>
      </c>
      <c r="F28" s="27" t="s">
        <v>1022</v>
      </c>
      <c r="G28" s="27" t="s">
        <v>1025</v>
      </c>
      <c r="H28" s="18" t="str">
        <f t="array" ref="H28">_xlfn.XLOOKUP(E:E,'Calificación consecuencia'!B:B,'Calificación consecuencia'!K:K,"No encontrada",2)</f>
        <v>Media</v>
      </c>
      <c r="I28" s="27" t="s">
        <v>425</v>
      </c>
      <c r="J28" s="30" t="s">
        <v>116</v>
      </c>
      <c r="K28" s="21"/>
      <c r="L28" s="21"/>
      <c r="M28" s="30" t="s">
        <v>116</v>
      </c>
      <c r="N28" s="30" t="s">
        <v>116</v>
      </c>
      <c r="O28" s="21"/>
      <c r="P28" s="21"/>
      <c r="Q28" s="21"/>
      <c r="R28" s="21"/>
      <c r="S28" s="21"/>
      <c r="T28" s="21"/>
      <c r="U28" s="27" t="s">
        <v>195</v>
      </c>
      <c r="V28" s="27" t="s">
        <v>196</v>
      </c>
    </row>
    <row r="29" ht="14.25" customHeight="1">
      <c r="A29" s="34" t="s">
        <v>101</v>
      </c>
      <c r="B29" s="27" t="s">
        <v>100</v>
      </c>
      <c r="C29" s="27" t="str">
        <f t="array" ref="C29">INDEX(Funciones!$G$2:$G$372,MATCH($A29,Funciones!$B$2:$B$372,0))</f>
        <v>Frenar el tren en una distancia máxima de 30 m</v>
      </c>
      <c r="D29" s="27" t="s">
        <v>936</v>
      </c>
      <c r="E29" s="27" t="s">
        <v>463</v>
      </c>
      <c r="F29" s="27" t="s">
        <v>1044</v>
      </c>
      <c r="G29" s="27" t="s">
        <v>1046</v>
      </c>
      <c r="H29" s="18" t="str">
        <f t="array" ref="H29">_xlfn.XLOOKUP(E:E,'Calificación consecuencia'!B:B,'Calificación consecuencia'!K:K,"No encontrada",2)</f>
        <v>Media</v>
      </c>
      <c r="I29" s="27" t="s">
        <v>425</v>
      </c>
      <c r="J29" s="30" t="s">
        <v>116</v>
      </c>
      <c r="K29" s="21"/>
      <c r="L29" s="21"/>
      <c r="M29" s="30" t="s">
        <v>116</v>
      </c>
      <c r="N29" s="30" t="s">
        <v>116</v>
      </c>
      <c r="O29" s="21"/>
      <c r="P29" s="21"/>
      <c r="Q29" s="21"/>
      <c r="R29" s="21"/>
      <c r="S29" s="21"/>
      <c r="T29" s="21"/>
      <c r="U29" s="27" t="s">
        <v>195</v>
      </c>
      <c r="V29" s="27" t="s">
        <v>196</v>
      </c>
    </row>
    <row r="30" ht="14.25" customHeight="1">
      <c r="A30" s="34" t="s">
        <v>90</v>
      </c>
      <c r="B30" s="9" t="s">
        <v>100</v>
      </c>
      <c r="C30" s="9" t="str">
        <f t="array" ref="C30">INDEX(Funciones!$G$2:$G$372,MATCH($A30,Funciones!$B$2:$B$372,0))</f>
        <v>Detener el tren en una distancia máxima de 30 m</v>
      </c>
      <c r="D30" s="9" t="s">
        <v>1069</v>
      </c>
      <c r="E30" s="9" t="s">
        <v>474</v>
      </c>
      <c r="F30" s="9" t="s">
        <v>1072</v>
      </c>
      <c r="G30" s="9" t="s">
        <v>1074</v>
      </c>
      <c r="H30" s="18" t="str">
        <f t="array" ref="H30">_xlfn.XLOOKUP(E:E,'Calificación consecuencia'!B:B,'Calificación consecuencia'!K:K,"No encontrada",2)</f>
        <v>Media</v>
      </c>
      <c r="I30" s="9" t="s">
        <v>844</v>
      </c>
      <c r="J30" s="20" t="s">
        <v>116</v>
      </c>
      <c r="K30" s="21"/>
      <c r="L30" s="21"/>
      <c r="M30" s="20" t="s">
        <v>116</v>
      </c>
      <c r="N30" s="20" t="s">
        <v>116</v>
      </c>
      <c r="O30" s="21"/>
      <c r="P30" s="21"/>
      <c r="Q30" s="21"/>
      <c r="R30" s="21"/>
      <c r="S30" s="21"/>
      <c r="T30" s="21"/>
      <c r="U30" s="9" t="s">
        <v>195</v>
      </c>
      <c r="V30" s="9" t="s">
        <v>196</v>
      </c>
    </row>
    <row r="31" ht="14.25" customHeight="1">
      <c r="A31" s="34" t="s">
        <v>90</v>
      </c>
      <c r="B31" s="9" t="s">
        <v>100</v>
      </c>
      <c r="C31" s="9" t="str">
        <f t="array" ref="C31">INDEX(Funciones!$G$2:$G$372,MATCH($A31,Funciones!$B$2:$B$372,0))</f>
        <v>Detener el tren en una distancia máxima de 30 m</v>
      </c>
      <c r="D31" s="9" t="s">
        <v>1069</v>
      </c>
      <c r="E31" s="9" t="s">
        <v>479</v>
      </c>
      <c r="F31" s="9" t="s">
        <v>1099</v>
      </c>
      <c r="G31" s="9" t="s">
        <v>1100</v>
      </c>
      <c r="H31" s="18" t="str">
        <f t="array" ref="H31">_xlfn.XLOOKUP(E:E,'Calificación consecuencia'!B:B,'Calificación consecuencia'!K:K,"No encontrada",2)</f>
        <v>Media</v>
      </c>
      <c r="I31" s="9" t="s">
        <v>844</v>
      </c>
      <c r="J31" s="20" t="s">
        <v>116</v>
      </c>
      <c r="K31" s="21"/>
      <c r="L31" s="21"/>
      <c r="M31" s="20" t="s">
        <v>116</v>
      </c>
      <c r="N31" s="20" t="s">
        <v>116</v>
      </c>
      <c r="O31" s="21"/>
      <c r="P31" s="21"/>
      <c r="Q31" s="21"/>
      <c r="R31" s="21"/>
      <c r="S31" s="21"/>
      <c r="T31" s="21"/>
      <c r="U31" s="9" t="s">
        <v>195</v>
      </c>
      <c r="V31" s="9" t="s">
        <v>196</v>
      </c>
    </row>
    <row r="32" ht="14.25" customHeight="1">
      <c r="A32" s="35" t="s">
        <v>90</v>
      </c>
      <c r="B32" s="9" t="s">
        <v>100</v>
      </c>
      <c r="C32" s="9" t="str">
        <f t="array" ref="C32">INDEX(Funciones!$G$2:$G$372,MATCH($A32,Funciones!$B$2:$B$372,0))</f>
        <v>Detener el tren en una distancia máxima de 30 m</v>
      </c>
      <c r="D32" s="9" t="s">
        <v>1069</v>
      </c>
      <c r="E32" s="9" t="s">
        <v>491</v>
      </c>
      <c r="F32" s="9" t="s">
        <v>1120</v>
      </c>
      <c r="G32" s="9" t="s">
        <v>1123</v>
      </c>
      <c r="H32" s="18" t="str">
        <f t="array" ref="H32">_xlfn.XLOOKUP(E:E,'Calificación consecuencia'!B:B,'Calificación consecuencia'!K:K,"No encontrada",2)</f>
        <v>Media</v>
      </c>
      <c r="I32" s="9" t="s">
        <v>844</v>
      </c>
      <c r="J32" s="20" t="s">
        <v>116</v>
      </c>
      <c r="K32" s="21"/>
      <c r="L32" s="21"/>
      <c r="M32" s="20" t="s">
        <v>116</v>
      </c>
      <c r="N32" s="20" t="s">
        <v>116</v>
      </c>
      <c r="O32" s="21"/>
      <c r="P32" s="21"/>
      <c r="Q32" s="21"/>
      <c r="R32" s="21"/>
      <c r="S32" s="21"/>
      <c r="T32" s="21"/>
      <c r="U32" s="36" t="s">
        <v>195</v>
      </c>
      <c r="V32" s="36" t="s">
        <v>196</v>
      </c>
      <c r="W32" s="37" t="s">
        <v>1153</v>
      </c>
    </row>
    <row r="33" ht="14.25" customHeight="1">
      <c r="A33" s="35" t="s">
        <v>90</v>
      </c>
      <c r="B33" s="9" t="s">
        <v>100</v>
      </c>
      <c r="C33" s="9" t="str">
        <f t="array" ref="C33">INDEX(Funciones!$G$2:$G$372,MATCH($A33,Funciones!$B$2:$B$372,0))</f>
        <v>Detener el tren en una distancia máxima de 30 m</v>
      </c>
      <c r="D33" s="9" t="s">
        <v>1069</v>
      </c>
      <c r="E33" s="9" t="s">
        <v>504</v>
      </c>
      <c r="F33" s="9" t="s">
        <v>1173</v>
      </c>
      <c r="G33" s="9" t="s">
        <v>1174</v>
      </c>
      <c r="H33" s="18" t="str">
        <f t="array" ref="H33">_xlfn.XLOOKUP(E:E,'Calificación consecuencia'!B:B,'Calificación consecuencia'!K:K,"No encontrada",2)</f>
        <v>Media</v>
      </c>
      <c r="I33" s="9" t="s">
        <v>844</v>
      </c>
      <c r="J33" s="20" t="s">
        <v>116</v>
      </c>
      <c r="K33" s="21"/>
      <c r="L33" s="21"/>
      <c r="M33" s="20" t="s">
        <v>116</v>
      </c>
      <c r="N33" s="20" t="s">
        <v>116</v>
      </c>
      <c r="O33" s="21"/>
      <c r="P33" s="21"/>
      <c r="Q33" s="21"/>
      <c r="R33" s="21"/>
      <c r="S33" s="21"/>
      <c r="T33" s="21"/>
      <c r="U33" s="9" t="s">
        <v>195</v>
      </c>
      <c r="V33" s="9" t="s">
        <v>196</v>
      </c>
    </row>
    <row r="34" ht="14.25" customHeight="1">
      <c r="A34" s="35" t="s">
        <v>90</v>
      </c>
      <c r="B34" s="9" t="s">
        <v>100</v>
      </c>
      <c r="C34" s="9" t="str">
        <f t="array" ref="C34">INDEX(Funciones!$G$2:$G$372,MATCH($A34,Funciones!$B$2:$B$372,0))</f>
        <v>Detener el tren en una distancia máxima de 30 m</v>
      </c>
      <c r="D34" s="9" t="s">
        <v>1069</v>
      </c>
      <c r="E34" s="9" t="s">
        <v>519</v>
      </c>
      <c r="F34" s="9" t="s">
        <v>1200</v>
      </c>
      <c r="G34" s="9" t="s">
        <v>1201</v>
      </c>
      <c r="H34" s="18" t="str">
        <f t="array" ref="H34">_xlfn.XLOOKUP(E:E,'Calificación consecuencia'!B:B,'Calificación consecuencia'!K:K,"No encontrada",2)</f>
        <v>Media</v>
      </c>
      <c r="I34" s="9" t="s">
        <v>844</v>
      </c>
      <c r="J34" s="20" t="s">
        <v>116</v>
      </c>
      <c r="K34" s="21"/>
      <c r="L34" s="21"/>
      <c r="M34" s="20" t="s">
        <v>116</v>
      </c>
      <c r="N34" s="20" t="s">
        <v>116</v>
      </c>
      <c r="O34" s="21"/>
      <c r="P34" s="21"/>
      <c r="Q34" s="21"/>
      <c r="R34" s="21"/>
      <c r="S34" s="21"/>
      <c r="T34" s="21"/>
      <c r="U34" s="9" t="s">
        <v>195</v>
      </c>
      <c r="V34" s="9" t="s">
        <v>196</v>
      </c>
    </row>
    <row r="35" ht="14.25" customHeight="1">
      <c r="A35" s="35" t="s">
        <v>90</v>
      </c>
      <c r="B35" s="9" t="s">
        <v>100</v>
      </c>
      <c r="C35" s="9" t="str">
        <f t="array" ref="C35">INDEX(Funciones!$G$2:$G$372,MATCH($A35,Funciones!$B$2:$B$372,0))</f>
        <v>Detener el tren en una distancia máxima de 30 m</v>
      </c>
      <c r="D35" s="9" t="s">
        <v>1237</v>
      </c>
      <c r="E35" s="9" t="s">
        <v>412</v>
      </c>
      <c r="F35" s="9" t="s">
        <v>1238</v>
      </c>
      <c r="G35" s="9" t="s">
        <v>940</v>
      </c>
      <c r="H35" s="18" t="str">
        <f t="array" ref="H35">_xlfn.XLOOKUP(E:E,'Calificación consecuencia'!B:B,'Calificación consecuencia'!K:K,"No encontrada",2)</f>
        <v>Media</v>
      </c>
      <c r="I35" s="9" t="s">
        <v>425</v>
      </c>
      <c r="J35" s="20" t="s">
        <v>116</v>
      </c>
      <c r="K35" s="21"/>
      <c r="L35" s="21"/>
      <c r="M35" s="20" t="s">
        <v>116</v>
      </c>
      <c r="N35" s="20" t="s">
        <v>116</v>
      </c>
      <c r="O35" s="21"/>
      <c r="P35" s="21"/>
      <c r="Q35" s="21"/>
      <c r="R35" s="21"/>
      <c r="S35" s="21"/>
      <c r="T35" s="21"/>
      <c r="U35" s="9" t="s">
        <v>195</v>
      </c>
      <c r="V35" s="9" t="s">
        <v>196</v>
      </c>
    </row>
    <row r="36" ht="14.25" customHeight="1">
      <c r="A36" s="35" t="s">
        <v>90</v>
      </c>
      <c r="B36" s="9" t="s">
        <v>100</v>
      </c>
      <c r="C36" s="9" t="str">
        <f t="array" ref="C36">INDEX(Funciones!$G$2:$G$372,MATCH($A36,Funciones!$B$2:$B$372,0))</f>
        <v>Detener el tren en una distancia máxima de 30 m</v>
      </c>
      <c r="D36" s="9" t="s">
        <v>1237</v>
      </c>
      <c r="E36" s="9" t="s">
        <v>545</v>
      </c>
      <c r="F36" s="9" t="s">
        <v>1247</v>
      </c>
      <c r="G36" s="9" t="s">
        <v>1249</v>
      </c>
      <c r="H36" s="18" t="str">
        <f t="array" ref="H36">_xlfn.XLOOKUP(E:E,'Calificación consecuencia'!B:B,'Calificación consecuencia'!K:K,"No encontrada",2)</f>
        <v>Media</v>
      </c>
      <c r="I36" s="9" t="s">
        <v>425</v>
      </c>
      <c r="J36" s="20" t="s">
        <v>116</v>
      </c>
      <c r="K36" s="21"/>
      <c r="L36" s="21"/>
      <c r="M36" s="20" t="s">
        <v>116</v>
      </c>
      <c r="N36" s="20" t="s">
        <v>116</v>
      </c>
      <c r="O36" s="21"/>
      <c r="P36" s="21"/>
      <c r="Q36" s="21"/>
      <c r="R36" s="21"/>
      <c r="S36" s="21"/>
      <c r="T36" s="21"/>
      <c r="U36" s="9" t="s">
        <v>195</v>
      </c>
      <c r="V36" s="9" t="s">
        <v>196</v>
      </c>
    </row>
    <row r="37" ht="14.25" customHeight="1">
      <c r="A37" s="35" t="s">
        <v>118</v>
      </c>
      <c r="B37" s="27" t="s">
        <v>100</v>
      </c>
      <c r="C37" s="27" t="str">
        <f t="array" ref="C37">INDEX(Funciones!$G$2:$G$372,MATCH($A37,Funciones!$B$2:$B$372,0))</f>
        <v>Inmovilizar el tren con carga de 203 t en pendiente de 3 %</v>
      </c>
      <c r="D37" s="27" t="s">
        <v>1277</v>
      </c>
      <c r="E37" s="27" t="s">
        <v>556</v>
      </c>
      <c r="F37" s="27" t="s">
        <v>1278</v>
      </c>
      <c r="G37" s="27" t="s">
        <v>1279</v>
      </c>
      <c r="H37" s="18" t="str">
        <f t="array" ref="H37">_xlfn.XLOOKUP(E:E,'Calificación consecuencia'!B:B,'Calificación consecuencia'!K:K,"No encontrada",2)</f>
        <v>Baja</v>
      </c>
      <c r="I37" s="27" t="s">
        <v>425</v>
      </c>
      <c r="J37" s="29" t="s">
        <v>120</v>
      </c>
      <c r="K37" s="30" t="s">
        <v>116</v>
      </c>
      <c r="L37" s="21"/>
      <c r="M37" s="21"/>
      <c r="N37" s="21"/>
      <c r="O37" s="21"/>
      <c r="P37" s="21"/>
      <c r="Q37" s="21"/>
      <c r="R37" s="21"/>
      <c r="S37" s="21"/>
      <c r="T37" s="21"/>
      <c r="U37" s="27" t="s">
        <v>439</v>
      </c>
      <c r="V37" s="27" t="s">
        <v>440</v>
      </c>
    </row>
    <row r="38" ht="14.25" customHeight="1">
      <c r="A38" s="35" t="s">
        <v>118</v>
      </c>
      <c r="B38" s="27" t="s">
        <v>100</v>
      </c>
      <c r="C38" s="27" t="str">
        <f t="array" ref="C38">INDEX(Funciones!$G$2:$G$372,MATCH($A38,Funciones!$B$2:$B$372,0))</f>
        <v>Inmovilizar el tren con carga de 203 t en pendiente de 3 %</v>
      </c>
      <c r="D38" s="27" t="s">
        <v>1277</v>
      </c>
      <c r="E38" s="27" t="s">
        <v>568</v>
      </c>
      <c r="F38" s="27" t="s">
        <v>1294</v>
      </c>
      <c r="G38" s="27" t="s">
        <v>1295</v>
      </c>
      <c r="H38" s="18" t="str">
        <f t="array" ref="H38">_xlfn.XLOOKUP(E:E,'Calificación consecuencia'!B:B,'Calificación consecuencia'!K:K,"No encontrada",2)</f>
        <v>Media</v>
      </c>
      <c r="I38" s="27" t="s">
        <v>425</v>
      </c>
      <c r="J38" s="29" t="s">
        <v>120</v>
      </c>
      <c r="K38" s="30" t="s">
        <v>116</v>
      </c>
      <c r="L38" s="21"/>
      <c r="M38" s="21"/>
      <c r="N38" s="21"/>
      <c r="O38" s="21"/>
      <c r="P38" s="21"/>
      <c r="Q38" s="21"/>
      <c r="R38" s="21"/>
      <c r="S38" s="21"/>
      <c r="T38" s="21"/>
      <c r="U38" s="27" t="s">
        <v>439</v>
      </c>
      <c r="V38" s="27" t="s">
        <v>440</v>
      </c>
    </row>
    <row r="39" ht="14.25" customHeight="1">
      <c r="A39" s="35" t="s">
        <v>118</v>
      </c>
      <c r="B39" s="27" t="s">
        <v>100</v>
      </c>
      <c r="C39" s="27" t="str">
        <f t="array" ref="C39">INDEX(Funciones!$G$2:$G$372,MATCH($A39,Funciones!$B$2:$B$372,0))</f>
        <v>Inmovilizar el tren con carga de 203 t en pendiente de 3 %</v>
      </c>
      <c r="D39" s="27" t="s">
        <v>1277</v>
      </c>
      <c r="E39" s="27" t="s">
        <v>580</v>
      </c>
      <c r="F39" s="27" t="s">
        <v>1319</v>
      </c>
      <c r="G39" s="27" t="s">
        <v>1320</v>
      </c>
      <c r="H39" s="18" t="str">
        <f t="array" ref="H39">_xlfn.XLOOKUP(E:E,'Calificación consecuencia'!B:B,'Calificación consecuencia'!K:K,"No encontrada",2)</f>
        <v>Media</v>
      </c>
      <c r="I39" s="27" t="s">
        <v>425</v>
      </c>
      <c r="J39" s="29" t="s">
        <v>120</v>
      </c>
      <c r="K39" s="30" t="s">
        <v>116</v>
      </c>
      <c r="L39" s="21"/>
      <c r="M39" s="21"/>
      <c r="N39" s="21"/>
      <c r="O39" s="21"/>
      <c r="P39" s="21"/>
      <c r="Q39" s="21"/>
      <c r="R39" s="21"/>
      <c r="S39" s="21"/>
      <c r="T39" s="21"/>
      <c r="U39" s="27" t="s">
        <v>439</v>
      </c>
      <c r="V39" s="27" t="s">
        <v>440</v>
      </c>
    </row>
    <row r="40" ht="14.25" customHeight="1">
      <c r="A40" s="35" t="s">
        <v>118</v>
      </c>
      <c r="B40" s="27" t="s">
        <v>100</v>
      </c>
      <c r="C40" s="27" t="str">
        <f t="array" ref="C40">INDEX(Funciones!$G$2:$G$372,MATCH($A40,Funciones!$B$2:$B$372,0))</f>
        <v>Inmovilizar el tren con carga de 203 t en pendiente de 3 %</v>
      </c>
      <c r="D40" s="27" t="s">
        <v>1342</v>
      </c>
      <c r="E40" s="27" t="s">
        <v>590</v>
      </c>
      <c r="F40" s="27" t="s">
        <v>1343</v>
      </c>
      <c r="G40" s="27" t="s">
        <v>1344</v>
      </c>
      <c r="H40" s="18" t="str">
        <f t="array" ref="H40">_xlfn.XLOOKUP(E:E,'Calificación consecuencia'!B:B,'Calificación consecuencia'!K:K,"No encontrada",2)</f>
        <v>Baja</v>
      </c>
      <c r="I40" s="27" t="s">
        <v>1351</v>
      </c>
      <c r="J40" s="29" t="s">
        <v>120</v>
      </c>
      <c r="K40" s="30" t="s">
        <v>116</v>
      </c>
      <c r="L40" s="21"/>
      <c r="M40" s="21"/>
      <c r="N40" s="21"/>
      <c r="O40" s="21"/>
      <c r="P40" s="21"/>
      <c r="Q40" s="21"/>
      <c r="R40" s="21"/>
      <c r="S40" s="21"/>
      <c r="T40" s="21"/>
      <c r="U40" s="27" t="s">
        <v>439</v>
      </c>
      <c r="V40" s="27" t="s">
        <v>440</v>
      </c>
    </row>
    <row r="41" ht="14.25" customHeight="1">
      <c r="A41" s="35" t="s">
        <v>118</v>
      </c>
      <c r="B41" s="27" t="s">
        <v>100</v>
      </c>
      <c r="C41" s="27" t="str">
        <f t="array" ref="C41">INDEX(Funciones!$G$2:$G$372,MATCH($A41,Funciones!$B$2:$B$372,0))</f>
        <v>Inmovilizar el tren con carga de 203 t en pendiente de 3 %</v>
      </c>
      <c r="D41" s="27" t="s">
        <v>1342</v>
      </c>
      <c r="E41" s="27" t="s">
        <v>599</v>
      </c>
      <c r="F41" s="27" t="s">
        <v>1361</v>
      </c>
      <c r="G41" s="27" t="s">
        <v>1279</v>
      </c>
      <c r="H41" s="18" t="str">
        <f t="array" ref="H41">_xlfn.XLOOKUP(E:E,'Calificación consecuencia'!B:B,'Calificación consecuencia'!K:K,"No encontrada",2)</f>
        <v>Baja</v>
      </c>
      <c r="I41" s="27" t="s">
        <v>1351</v>
      </c>
      <c r="J41" s="29" t="s">
        <v>120</v>
      </c>
      <c r="K41" s="30" t="s">
        <v>116</v>
      </c>
      <c r="L41" s="21"/>
      <c r="M41" s="21"/>
      <c r="N41" s="21"/>
      <c r="O41" s="21"/>
      <c r="P41" s="21"/>
      <c r="Q41" s="21"/>
      <c r="R41" s="21"/>
      <c r="S41" s="21"/>
      <c r="T41" s="21"/>
      <c r="U41" s="27" t="s">
        <v>439</v>
      </c>
      <c r="V41" s="27" t="s">
        <v>440</v>
      </c>
    </row>
    <row r="42" ht="14.25" customHeight="1">
      <c r="A42" s="38" t="s">
        <v>131</v>
      </c>
      <c r="B42" s="9" t="s">
        <v>130</v>
      </c>
      <c r="C42" s="9" t="str">
        <f t="array" ref="C42">INDEX(Funciones!$G$2:$G$372,MATCH($A42,Funciones!$B$2:$B$372,0))</f>
        <v>Alcanzar una velocidad máxima entre 78 y 80 km/h</v>
      </c>
      <c r="D42" s="9" t="s">
        <v>1384</v>
      </c>
      <c r="E42" s="9" t="s">
        <v>608</v>
      </c>
      <c r="F42" s="9" t="s">
        <v>1385</v>
      </c>
      <c r="G42" s="9" t="s">
        <v>1386</v>
      </c>
      <c r="H42" s="18" t="str">
        <f t="array" ref="H42">_xlfn.XLOOKUP(E:E,'Calificación consecuencia'!B:B,'Calificación consecuencia'!K:K,"No encontrada",2)</f>
        <v>Media</v>
      </c>
      <c r="I42" s="9" t="s">
        <v>113</v>
      </c>
      <c r="J42" s="20" t="s">
        <v>116</v>
      </c>
      <c r="K42" s="21"/>
      <c r="L42" s="21"/>
      <c r="M42" s="22" t="s">
        <v>120</v>
      </c>
      <c r="N42" s="21"/>
      <c r="O42" s="20" t="s">
        <v>116</v>
      </c>
      <c r="P42" s="22" t="s">
        <v>120</v>
      </c>
      <c r="Q42" s="22" t="s">
        <v>120</v>
      </c>
      <c r="R42" s="39" t="s">
        <v>1403</v>
      </c>
      <c r="S42" s="21"/>
      <c r="T42" s="21"/>
      <c r="U42" s="36" t="s">
        <v>1407</v>
      </c>
      <c r="V42" s="36" t="s">
        <v>1408</v>
      </c>
      <c r="W42" s="36" t="s">
        <v>1409</v>
      </c>
      <c r="X42" s="36" t="s">
        <v>1410</v>
      </c>
      <c r="Y42" s="36" t="s">
        <v>1411</v>
      </c>
    </row>
    <row r="43" ht="14.25" customHeight="1">
      <c r="A43" s="38" t="s">
        <v>131</v>
      </c>
      <c r="B43" s="9" t="s">
        <v>130</v>
      </c>
      <c r="C43" s="9" t="str">
        <f t="array" ref="C43">INDEX(Funciones!$G$2:$G$372,MATCH($A43,Funciones!$B$2:$B$372,0))</f>
        <v>Alcanzar una velocidad máxima entre 78 y 80 km/h</v>
      </c>
      <c r="D43" s="9" t="s">
        <v>1384</v>
      </c>
      <c r="E43" s="36" t="s">
        <v>1422</v>
      </c>
      <c r="F43" s="36" t="s">
        <v>1423</v>
      </c>
      <c r="G43" s="36" t="s">
        <v>1425</v>
      </c>
      <c r="H43" s="18" t="str">
        <f t="array" ref="H43">_xlfn.XLOOKUP(E:E,'Calificación consecuencia'!B:B,'Calificación consecuencia'!K:K,"No encontrada",2)</f>
        <v>No encontrada</v>
      </c>
      <c r="I43" s="9" t="s">
        <v>1427</v>
      </c>
      <c r="J43" s="20" t="s">
        <v>116</v>
      </c>
      <c r="K43" s="21"/>
      <c r="L43" s="21"/>
      <c r="M43" s="22" t="s">
        <v>120</v>
      </c>
      <c r="N43" s="21"/>
      <c r="O43" s="20" t="s">
        <v>116</v>
      </c>
      <c r="P43" s="20" t="s">
        <v>116</v>
      </c>
      <c r="Q43" s="21"/>
      <c r="R43" s="21"/>
      <c r="S43" s="21"/>
      <c r="T43" s="21"/>
      <c r="U43" s="9" t="s">
        <v>345</v>
      </c>
      <c r="V43" s="9" t="s">
        <v>196</v>
      </c>
    </row>
    <row r="44" ht="14.25" customHeight="1">
      <c r="A44" s="38" t="s">
        <v>131</v>
      </c>
      <c r="B44" s="9" t="s">
        <v>130</v>
      </c>
      <c r="C44" s="9" t="str">
        <f t="array" ref="C44">INDEX(Funciones!$G$2:$G$372,MATCH($A44,Funciones!$B$2:$B$372,0))</f>
        <v>Alcanzar una velocidad máxima entre 78 y 80 km/h</v>
      </c>
      <c r="D44" s="9" t="s">
        <v>1440</v>
      </c>
      <c r="E44" s="9" t="s">
        <v>623</v>
      </c>
      <c r="F44" s="9" t="s">
        <v>1442</v>
      </c>
      <c r="G44" s="9" t="s">
        <v>1444</v>
      </c>
      <c r="H44" s="18" t="str">
        <f t="array" ref="H44">_xlfn.XLOOKUP(E:E,'Calificación consecuencia'!B:B,'Calificación consecuencia'!K:K,"No encontrada",2)</f>
        <v>Baja</v>
      </c>
      <c r="I44" s="9" t="s">
        <v>1449</v>
      </c>
      <c r="J44" s="20" t="s">
        <v>116</v>
      </c>
      <c r="K44" s="21"/>
      <c r="L44" s="21"/>
      <c r="M44" s="22" t="s">
        <v>120</v>
      </c>
      <c r="N44" s="21"/>
      <c r="O44" s="20" t="s">
        <v>116</v>
      </c>
      <c r="P44" s="20" t="s">
        <v>116</v>
      </c>
      <c r="Q44" s="21"/>
      <c r="R44" s="21"/>
      <c r="S44" s="21"/>
      <c r="T44" s="21"/>
      <c r="U44" s="9" t="s">
        <v>345</v>
      </c>
      <c r="V44" s="9" t="s">
        <v>196</v>
      </c>
    </row>
    <row r="45" ht="14.25" customHeight="1">
      <c r="A45" s="38" t="s">
        <v>131</v>
      </c>
      <c r="B45" s="9" t="s">
        <v>130</v>
      </c>
      <c r="C45" s="9" t="str">
        <f t="array" ref="C45">INDEX(Funciones!$G$2:$G$372,MATCH($A45,Funciones!$B$2:$B$372,0))</f>
        <v>Alcanzar una velocidad máxima entre 78 y 80 km/h</v>
      </c>
      <c r="D45" s="9" t="s">
        <v>1440</v>
      </c>
      <c r="E45" s="9" t="s">
        <v>632</v>
      </c>
      <c r="F45" s="9" t="s">
        <v>1453</v>
      </c>
      <c r="G45" s="9" t="s">
        <v>1454</v>
      </c>
      <c r="H45" s="18" t="str">
        <f t="array" ref="H45">_xlfn.XLOOKUP(E:E,'Calificación consecuencia'!B:B,'Calificación consecuencia'!K:K,"No encontrada",2)</f>
        <v>Baja</v>
      </c>
      <c r="I45" s="9" t="s">
        <v>1449</v>
      </c>
      <c r="J45" s="20" t="s">
        <v>116</v>
      </c>
      <c r="K45" s="21"/>
      <c r="L45" s="21"/>
      <c r="M45" s="22" t="s">
        <v>120</v>
      </c>
      <c r="N45" s="21"/>
      <c r="O45" s="20" t="s">
        <v>116</v>
      </c>
      <c r="P45" s="20" t="s">
        <v>116</v>
      </c>
      <c r="Q45" s="21"/>
      <c r="R45" s="21"/>
      <c r="S45" s="21"/>
      <c r="T45" s="21"/>
      <c r="U45" s="9" t="s">
        <v>345</v>
      </c>
      <c r="V45" s="9" t="s">
        <v>196</v>
      </c>
    </row>
    <row r="46" ht="14.25" customHeight="1">
      <c r="A46" s="38" t="s">
        <v>131</v>
      </c>
      <c r="B46" s="9" t="s">
        <v>130</v>
      </c>
      <c r="C46" s="9" t="str">
        <f t="array" ref="C46">INDEX(Funciones!$G$2:$G$372,MATCH($A46,Funciones!$B$2:$B$372,0))</f>
        <v>Alcanzar una velocidad máxima entre 78 y 80 km/h</v>
      </c>
      <c r="D46" s="9" t="s">
        <v>1463</v>
      </c>
      <c r="E46" s="9" t="s">
        <v>635</v>
      </c>
      <c r="F46" s="9" t="s">
        <v>1466</v>
      </c>
      <c r="G46" s="9" t="s">
        <v>1454</v>
      </c>
      <c r="H46" s="18" t="str">
        <f t="array" ref="H46">_xlfn.XLOOKUP(E:E,'Calificación consecuencia'!B:B,'Calificación consecuencia'!K:K,"No encontrada",2)</f>
        <v>Baja</v>
      </c>
      <c r="I46" s="9" t="s">
        <v>1449</v>
      </c>
      <c r="J46" s="20" t="s">
        <v>116</v>
      </c>
      <c r="K46" s="21"/>
      <c r="L46" s="21"/>
      <c r="M46" s="22" t="s">
        <v>120</v>
      </c>
      <c r="N46" s="21"/>
      <c r="O46" s="20" t="s">
        <v>116</v>
      </c>
      <c r="P46" s="20" t="s">
        <v>116</v>
      </c>
      <c r="Q46" s="21"/>
      <c r="R46" s="21"/>
      <c r="S46" s="21"/>
      <c r="T46" s="21"/>
      <c r="U46" s="9" t="s">
        <v>345</v>
      </c>
      <c r="V46" s="9" t="s">
        <v>196</v>
      </c>
    </row>
    <row r="47" ht="14.25" customHeight="1">
      <c r="A47" s="38" t="s">
        <v>131</v>
      </c>
      <c r="B47" s="9" t="s">
        <v>130</v>
      </c>
      <c r="C47" s="9" t="str">
        <f t="array" ref="C47">INDEX(Funciones!$G$2:$G$372,MATCH($A47,Funciones!$B$2:$B$372,0))</f>
        <v>Alcanzar una velocidad máxima entre 78 y 80 km/h</v>
      </c>
      <c r="D47" s="9" t="s">
        <v>1463</v>
      </c>
      <c r="E47" s="9" t="s">
        <v>640</v>
      </c>
      <c r="F47" s="9" t="s">
        <v>1491</v>
      </c>
      <c r="G47" s="9" t="s">
        <v>1493</v>
      </c>
      <c r="H47" s="18" t="str">
        <f t="array" ref="H47">_xlfn.XLOOKUP(E:E,'Calificación consecuencia'!B:B,'Calificación consecuencia'!K:K,"No encontrada",2)</f>
        <v>Media</v>
      </c>
      <c r="I47" s="9" t="s">
        <v>339</v>
      </c>
      <c r="J47" s="20" t="s">
        <v>116</v>
      </c>
      <c r="K47" s="21"/>
      <c r="L47" s="21"/>
      <c r="M47" s="22" t="s">
        <v>120</v>
      </c>
      <c r="N47" s="21"/>
      <c r="O47" s="20" t="s">
        <v>116</v>
      </c>
      <c r="P47" s="22" t="s">
        <v>120</v>
      </c>
      <c r="Q47" s="20" t="s">
        <v>116</v>
      </c>
      <c r="R47" s="21"/>
      <c r="S47" s="21"/>
      <c r="T47" s="21"/>
      <c r="U47" s="9" t="s">
        <v>785</v>
      </c>
      <c r="V47" s="9" t="s">
        <v>786</v>
      </c>
    </row>
    <row r="48" ht="14.25" customHeight="1">
      <c r="A48" s="38" t="s">
        <v>142</v>
      </c>
      <c r="B48" s="27" t="s">
        <v>130</v>
      </c>
      <c r="C48" s="27" t="str">
        <f t="array" ref="C48">INDEX(Funciones!$G$2:$G$372,MATCH($A48,Funciones!$B$2:$B$372,0))</f>
        <v>Entregar el par de tracción en arranque entre _____ y _____ N·m</v>
      </c>
      <c r="D48" s="27" t="s">
        <v>1506</v>
      </c>
      <c r="E48" s="27" t="s">
        <v>646</v>
      </c>
      <c r="F48" s="27" t="s">
        <v>1508</v>
      </c>
      <c r="G48" s="27" t="s">
        <v>1511</v>
      </c>
      <c r="H48" s="18" t="str">
        <f t="array" ref="H48">_xlfn.XLOOKUP(E:E,'Calificación consecuencia'!B:B,'Calificación consecuencia'!K:K,"No encontrada",2)</f>
        <v>Media</v>
      </c>
      <c r="I48" s="27" t="s">
        <v>113</v>
      </c>
      <c r="J48" s="30" t="s">
        <v>116</v>
      </c>
      <c r="K48" s="21"/>
      <c r="L48" s="21"/>
      <c r="M48" s="29" t="s">
        <v>120</v>
      </c>
      <c r="N48" s="21"/>
      <c r="O48" s="30" t="s">
        <v>116</v>
      </c>
      <c r="P48" s="30" t="s">
        <v>116</v>
      </c>
      <c r="Q48" s="21"/>
      <c r="R48" s="21"/>
      <c r="S48" s="21"/>
      <c r="T48" s="21"/>
      <c r="U48" s="27" t="s">
        <v>345</v>
      </c>
      <c r="V48" s="27" t="s">
        <v>196</v>
      </c>
    </row>
    <row r="49" ht="14.25" customHeight="1">
      <c r="A49" s="38" t="s">
        <v>142</v>
      </c>
      <c r="B49" s="27" t="s">
        <v>130</v>
      </c>
      <c r="C49" s="27" t="str">
        <f t="array" ref="C49">INDEX(Funciones!$G$2:$G$372,MATCH($A49,Funciones!$B$2:$B$372,0))</f>
        <v>Entregar el par de tracción en arranque entre _____ y _____ N·m</v>
      </c>
      <c r="D49" s="27" t="s">
        <v>1506</v>
      </c>
      <c r="E49" s="27" t="s">
        <v>652</v>
      </c>
      <c r="F49" s="27" t="s">
        <v>1530</v>
      </c>
      <c r="G49" s="27" t="s">
        <v>1531</v>
      </c>
      <c r="H49" s="18" t="str">
        <f t="array" ref="H49">_xlfn.XLOOKUP(E:E,'Calificación consecuencia'!B:B,'Calificación consecuencia'!K:K,"No encontrada",2)</f>
        <v>Baja</v>
      </c>
      <c r="I49" s="27" t="s">
        <v>113</v>
      </c>
      <c r="J49" s="30" t="s">
        <v>116</v>
      </c>
      <c r="K49" s="21"/>
      <c r="L49" s="21"/>
      <c r="M49" s="29" t="s">
        <v>120</v>
      </c>
      <c r="N49" s="21"/>
      <c r="O49" s="30" t="s">
        <v>116</v>
      </c>
      <c r="P49" s="29" t="s">
        <v>120</v>
      </c>
      <c r="Q49" s="29" t="s">
        <v>120</v>
      </c>
      <c r="R49" s="29" t="s">
        <v>120</v>
      </c>
      <c r="S49" s="21"/>
      <c r="T49" s="21"/>
      <c r="U49" s="27" t="s">
        <v>230</v>
      </c>
      <c r="V49" s="27" t="s">
        <v>230</v>
      </c>
    </row>
    <row r="50" ht="14.25" customHeight="1">
      <c r="A50" s="38" t="s">
        <v>142</v>
      </c>
      <c r="B50" s="27" t="s">
        <v>130</v>
      </c>
      <c r="C50" s="27" t="str">
        <f t="array" ref="C50">INDEX(Funciones!$G$2:$G$372,MATCH($A50,Funciones!$B$2:$B$372,0))</f>
        <v>Entregar el par de tracción en arranque entre _____ y _____ N·m</v>
      </c>
      <c r="D50" s="27" t="s">
        <v>1557</v>
      </c>
      <c r="E50" s="27" t="s">
        <v>623</v>
      </c>
      <c r="F50" s="27" t="s">
        <v>1560</v>
      </c>
      <c r="G50" s="27" t="s">
        <v>1444</v>
      </c>
      <c r="H50" s="18" t="str">
        <f t="array" ref="H50">_xlfn.XLOOKUP(E:E,'Calificación consecuencia'!B:B,'Calificación consecuencia'!K:K,"No encontrada",2)</f>
        <v>Baja</v>
      </c>
      <c r="I50" s="27" t="s">
        <v>1449</v>
      </c>
      <c r="J50" s="30" t="s">
        <v>116</v>
      </c>
      <c r="K50" s="21"/>
      <c r="L50" s="21"/>
      <c r="M50" s="29" t="s">
        <v>120</v>
      </c>
      <c r="N50" s="21"/>
      <c r="O50" s="30" t="s">
        <v>116</v>
      </c>
      <c r="P50" s="30" t="s">
        <v>116</v>
      </c>
      <c r="Q50" s="21"/>
      <c r="R50" s="21"/>
      <c r="S50" s="21"/>
      <c r="T50" s="21"/>
      <c r="U50" s="27" t="s">
        <v>345</v>
      </c>
      <c r="V50" s="27" t="s">
        <v>196</v>
      </c>
    </row>
    <row r="51" ht="14.25" customHeight="1">
      <c r="A51" s="38" t="s">
        <v>142</v>
      </c>
      <c r="B51" s="27" t="s">
        <v>130</v>
      </c>
      <c r="C51" s="27" t="str">
        <f t="array" ref="C51">INDEX(Funciones!$G$2:$G$372,MATCH($A51,Funciones!$B$2:$B$372,0))</f>
        <v>Entregar el par de tracción en arranque entre _____ y _____ N·m</v>
      </c>
      <c r="D51" s="27" t="s">
        <v>1557</v>
      </c>
      <c r="E51" s="27" t="s">
        <v>668</v>
      </c>
      <c r="F51" s="27" t="s">
        <v>1601</v>
      </c>
      <c r="G51" s="27" t="s">
        <v>1602</v>
      </c>
      <c r="H51" s="18" t="str">
        <f t="array" ref="H51">_xlfn.XLOOKUP(E:E,'Calificación consecuencia'!B:B,'Calificación consecuencia'!K:K,"No encontrada",2)</f>
        <v>Media</v>
      </c>
      <c r="I51" s="27" t="s">
        <v>339</v>
      </c>
      <c r="J51" s="30" t="s">
        <v>116</v>
      </c>
      <c r="K51" s="21"/>
      <c r="L51" s="21"/>
      <c r="M51" s="29" t="s">
        <v>120</v>
      </c>
      <c r="N51" s="21"/>
      <c r="O51" s="30" t="s">
        <v>116</v>
      </c>
      <c r="P51" s="30" t="s">
        <v>116</v>
      </c>
      <c r="Q51" s="21"/>
      <c r="R51" s="21"/>
      <c r="S51" s="21"/>
      <c r="T51" s="21"/>
      <c r="U51" s="27" t="s">
        <v>345</v>
      </c>
      <c r="V51" s="27" t="s">
        <v>196</v>
      </c>
    </row>
    <row r="52" ht="14.25" customHeight="1">
      <c r="A52" s="40" t="s">
        <v>142</v>
      </c>
      <c r="B52" s="27" t="s">
        <v>130</v>
      </c>
      <c r="C52" s="27" t="str">
        <f t="array" ref="C52">INDEX(Funciones!$G$2:$G$372,MATCH($A52,Funciones!$B$2:$B$372,0))</f>
        <v>Entregar el par de tracción en arranque entre _____ y _____ N·m</v>
      </c>
      <c r="D52" s="27" t="s">
        <v>1633</v>
      </c>
      <c r="E52" s="27" t="s">
        <v>678</v>
      </c>
      <c r="F52" s="27" t="s">
        <v>1636</v>
      </c>
      <c r="G52" s="27" t="s">
        <v>1638</v>
      </c>
      <c r="H52" s="18" t="str">
        <f t="array" ref="H52">_xlfn.XLOOKUP(E:E,'Calificación consecuencia'!B:B,'Calificación consecuencia'!K:K,"No encontrada",2)</f>
        <v>Baja</v>
      </c>
      <c r="I52" s="27" t="s">
        <v>339</v>
      </c>
      <c r="J52" s="30" t="s">
        <v>116</v>
      </c>
      <c r="K52" s="21"/>
      <c r="L52" s="21"/>
      <c r="M52" s="29" t="s">
        <v>120</v>
      </c>
      <c r="N52" s="21"/>
      <c r="O52" s="30" t="s">
        <v>116</v>
      </c>
      <c r="P52" s="29" t="s">
        <v>120</v>
      </c>
      <c r="Q52" s="30" t="s">
        <v>116</v>
      </c>
      <c r="R52" s="21"/>
      <c r="S52" s="21"/>
      <c r="T52" s="21"/>
      <c r="U52" s="27" t="s">
        <v>785</v>
      </c>
      <c r="V52" s="27" t="s">
        <v>786</v>
      </c>
    </row>
    <row r="53" ht="14.25" customHeight="1">
      <c r="A53" s="40" t="s">
        <v>142</v>
      </c>
      <c r="B53" s="27" t="s">
        <v>130</v>
      </c>
      <c r="C53" s="27" t="str">
        <f t="array" ref="C53">INDEX(Funciones!$G$2:$G$372,MATCH($A53,Funciones!$B$2:$B$372,0))</f>
        <v>Entregar el par de tracción en arranque entre _____ y _____ N·m</v>
      </c>
      <c r="D53" s="27" t="s">
        <v>1633</v>
      </c>
      <c r="E53" s="27" t="s">
        <v>685</v>
      </c>
      <c r="F53" s="27" t="s">
        <v>1665</v>
      </c>
      <c r="G53" s="27" t="s">
        <v>1667</v>
      </c>
      <c r="H53" s="18" t="str">
        <f t="array" ref="H53">_xlfn.XLOOKUP(E:E,'Calificación consecuencia'!B:B,'Calificación consecuencia'!K:K,"No encontrada",2)</f>
        <v>Baja</v>
      </c>
      <c r="I53" s="27" t="s">
        <v>339</v>
      </c>
      <c r="J53" s="30" t="s">
        <v>116</v>
      </c>
      <c r="K53" s="21"/>
      <c r="L53" s="21"/>
      <c r="M53" s="29" t="s">
        <v>120</v>
      </c>
      <c r="N53" s="21"/>
      <c r="O53" s="30" t="s">
        <v>116</v>
      </c>
      <c r="P53" s="29" t="s">
        <v>120</v>
      </c>
      <c r="Q53" s="29" t="s">
        <v>120</v>
      </c>
      <c r="R53" s="30" t="s">
        <v>116</v>
      </c>
      <c r="S53" s="21"/>
      <c r="T53" s="21"/>
      <c r="U53" s="27" t="s">
        <v>1680</v>
      </c>
      <c r="V53" s="27" t="s">
        <v>1408</v>
      </c>
    </row>
    <row r="54" ht="14.25" customHeight="1">
      <c r="A54" s="40" t="s">
        <v>142</v>
      </c>
      <c r="B54" s="27" t="s">
        <v>130</v>
      </c>
      <c r="C54" s="27" t="str">
        <f t="array" ref="C54">INDEX(Funciones!$G$2:$G$372,MATCH($A54,Funciones!$B$2:$B$372,0))</f>
        <v>Entregar el par de tracción en arranque entre _____ y _____ N·m</v>
      </c>
      <c r="D54" s="27" t="s">
        <v>1695</v>
      </c>
      <c r="E54" s="27" t="s">
        <v>691</v>
      </c>
      <c r="F54" s="27" t="s">
        <v>1698</v>
      </c>
      <c r="G54" s="27" t="s">
        <v>1699</v>
      </c>
      <c r="H54" s="18" t="str">
        <f t="array" ref="H54">_xlfn.XLOOKUP(E:E,'Calificación consecuencia'!B:B,'Calificación consecuencia'!K:K,"No encontrada",2)</f>
        <v>Media</v>
      </c>
      <c r="I54" s="27" t="s">
        <v>339</v>
      </c>
      <c r="J54" s="30" t="s">
        <v>116</v>
      </c>
      <c r="K54" s="21"/>
      <c r="L54" s="21"/>
      <c r="M54" s="29" t="s">
        <v>120</v>
      </c>
      <c r="N54" s="21"/>
      <c r="O54" s="30" t="s">
        <v>116</v>
      </c>
      <c r="P54" s="30" t="s">
        <v>116</v>
      </c>
      <c r="Q54" s="21"/>
      <c r="R54" s="21"/>
      <c r="S54" s="21"/>
      <c r="T54" s="21"/>
      <c r="U54" s="27" t="s">
        <v>345</v>
      </c>
      <c r="V54" s="27" t="s">
        <v>196</v>
      </c>
    </row>
    <row r="55" ht="14.25" customHeight="1">
      <c r="A55" s="40" t="s">
        <v>142</v>
      </c>
      <c r="B55" s="27" t="s">
        <v>130</v>
      </c>
      <c r="C55" s="27" t="str">
        <f t="array" ref="C55">INDEX(Funciones!$G$2:$G$372,MATCH($A55,Funciones!$B$2:$B$372,0))</f>
        <v>Entregar el par de tracción en arranque entre _____ y _____ N·m</v>
      </c>
      <c r="D55" s="27" t="s">
        <v>1695</v>
      </c>
      <c r="E55" s="27" t="s">
        <v>694</v>
      </c>
      <c r="F55" s="27" t="s">
        <v>1726</v>
      </c>
      <c r="G55" s="27" t="s">
        <v>1727</v>
      </c>
      <c r="H55" s="18" t="str">
        <f t="array" ref="H55">_xlfn.XLOOKUP(E:E,'Calificación consecuencia'!B:B,'Calificación consecuencia'!K:K,"No encontrada",2)</f>
        <v>Baja</v>
      </c>
      <c r="I55" s="27" t="s">
        <v>339</v>
      </c>
      <c r="J55" s="30" t="s">
        <v>116</v>
      </c>
      <c r="K55" s="21"/>
      <c r="L55" s="21"/>
      <c r="M55" s="29" t="s">
        <v>120</v>
      </c>
      <c r="N55" s="21"/>
      <c r="O55" s="30" t="s">
        <v>116</v>
      </c>
      <c r="P55" s="30" t="s">
        <v>116</v>
      </c>
      <c r="Q55" s="21"/>
      <c r="R55" s="21"/>
      <c r="S55" s="21"/>
      <c r="T55" s="21"/>
      <c r="U55" s="27" t="s">
        <v>345</v>
      </c>
      <c r="V55" s="27" t="s">
        <v>196</v>
      </c>
    </row>
    <row r="56" ht="14.25" customHeight="1">
      <c r="A56" s="40" t="s">
        <v>151</v>
      </c>
      <c r="B56" s="9" t="s">
        <v>150</v>
      </c>
      <c r="C56" s="9" t="str">
        <f t="array" ref="C56">INDEX(Funciones!$G$2:$G$372,MATCH($A56,Funciones!$B$2:$B$372,0))</f>
        <v>Mantener la presión del depósito principal entre 8,5 y 10 bar</v>
      </c>
      <c r="D56" s="9" t="s">
        <v>1743</v>
      </c>
      <c r="E56" s="9" t="s">
        <v>698</v>
      </c>
      <c r="F56" s="9" t="s">
        <v>1745</v>
      </c>
      <c r="G56" s="9" t="s">
        <v>1746</v>
      </c>
      <c r="H56" s="18" t="str">
        <f t="array" ref="H56">_xlfn.XLOOKUP(E:E,'Calificación consecuencia'!B:B,'Calificación consecuencia'!K:K,"No encontrada",2)</f>
        <v>Media</v>
      </c>
      <c r="I56" s="9" t="s">
        <v>113</v>
      </c>
      <c r="J56" s="20" t="s">
        <v>116</v>
      </c>
      <c r="K56" s="21"/>
      <c r="L56" s="21"/>
      <c r="M56" s="20" t="s">
        <v>116</v>
      </c>
      <c r="N56" s="20" t="s">
        <v>116</v>
      </c>
      <c r="O56" s="21"/>
      <c r="P56" s="21"/>
      <c r="Q56" s="21"/>
      <c r="R56" s="21"/>
      <c r="S56" s="21"/>
      <c r="T56" s="21"/>
      <c r="U56" s="9" t="s">
        <v>195</v>
      </c>
      <c r="V56" s="9" t="s">
        <v>196</v>
      </c>
    </row>
    <row r="57" ht="14.25" customHeight="1">
      <c r="A57" s="40" t="s">
        <v>151</v>
      </c>
      <c r="B57" s="9" t="s">
        <v>150</v>
      </c>
      <c r="C57" s="9" t="str">
        <f t="array" ref="C57">INDEX(Funciones!$G$2:$G$372,MATCH($A57,Funciones!$B$2:$B$372,0))</f>
        <v>Mantener la presión del depósito principal entre 8,5 y 10 bar</v>
      </c>
      <c r="D57" s="9" t="s">
        <v>1743</v>
      </c>
      <c r="E57" s="9" t="s">
        <v>707</v>
      </c>
      <c r="F57" s="9" t="s">
        <v>1763</v>
      </c>
      <c r="G57" s="9" t="s">
        <v>1764</v>
      </c>
      <c r="H57" s="18" t="str">
        <f t="array" ref="H57">_xlfn.XLOOKUP(E:E,'Calificación consecuencia'!B:B,'Calificación consecuencia'!K:K,"No encontrada",2)</f>
        <v>Media</v>
      </c>
      <c r="I57" s="9" t="s">
        <v>113</v>
      </c>
      <c r="J57" s="20" t="s">
        <v>116</v>
      </c>
      <c r="K57" s="21"/>
      <c r="L57" s="21"/>
      <c r="M57" s="20" t="s">
        <v>116</v>
      </c>
      <c r="N57" s="20" t="s">
        <v>116</v>
      </c>
      <c r="O57" s="21"/>
      <c r="P57" s="21"/>
      <c r="Q57" s="21"/>
      <c r="R57" s="21"/>
      <c r="S57" s="21"/>
      <c r="T57" s="21"/>
      <c r="U57" s="9" t="s">
        <v>195</v>
      </c>
      <c r="V57" s="9" t="s">
        <v>196</v>
      </c>
    </row>
    <row r="58" ht="14.25" customHeight="1">
      <c r="A58" s="40" t="s">
        <v>151</v>
      </c>
      <c r="B58" s="9" t="s">
        <v>150</v>
      </c>
      <c r="C58" s="9" t="str">
        <f t="array" ref="C58">INDEX(Funciones!$G$2:$G$372,MATCH($A58,Funciones!$B$2:$B$372,0))</f>
        <v>Mantener la presión del depósito principal entre 8,5 y 10 bar</v>
      </c>
      <c r="D58" s="9" t="s">
        <v>1787</v>
      </c>
      <c r="E58" s="9" t="s">
        <v>727</v>
      </c>
      <c r="F58" s="9" t="s">
        <v>1789</v>
      </c>
      <c r="G58" s="9" t="s">
        <v>1792</v>
      </c>
      <c r="H58" s="18" t="str">
        <f t="array" ref="H58">_xlfn.XLOOKUP(E:E,'Calificación consecuencia'!B:B,'Calificación consecuencia'!K:K,"No encontrada",2)</f>
        <v>Baja</v>
      </c>
      <c r="I58" s="9" t="s">
        <v>1800</v>
      </c>
      <c r="J58" s="20" t="s">
        <v>116</v>
      </c>
      <c r="K58" s="21"/>
      <c r="L58" s="21"/>
      <c r="M58" s="22" t="s">
        <v>120</v>
      </c>
      <c r="N58" s="21"/>
      <c r="O58" s="20" t="s">
        <v>116</v>
      </c>
      <c r="P58" s="20" t="s">
        <v>116</v>
      </c>
      <c r="Q58" s="21"/>
      <c r="R58" s="21"/>
      <c r="S58" s="21"/>
      <c r="T58" s="21"/>
      <c r="U58" s="9" t="s">
        <v>345</v>
      </c>
      <c r="V58" s="9" t="s">
        <v>196</v>
      </c>
    </row>
    <row r="59" ht="14.25" customHeight="1">
      <c r="A59" s="40" t="s">
        <v>151</v>
      </c>
      <c r="B59" s="9" t="s">
        <v>150</v>
      </c>
      <c r="C59" s="9" t="str">
        <f t="array" ref="C59">INDEX(Funciones!$G$2:$G$372,MATCH($A59,Funciones!$B$2:$B$372,0))</f>
        <v>Mantener la presión del depósito principal entre 8,5 y 10 bar</v>
      </c>
      <c r="D59" s="9" t="s">
        <v>1787</v>
      </c>
      <c r="E59" s="9" t="s">
        <v>734</v>
      </c>
      <c r="F59" s="9" t="s">
        <v>1808</v>
      </c>
      <c r="G59" s="9" t="s">
        <v>1809</v>
      </c>
      <c r="H59" s="18" t="str">
        <f t="array" ref="H59">_xlfn.XLOOKUP(E:E,'Calificación consecuencia'!B:B,'Calificación consecuencia'!K:K,"No encontrada",2)</f>
        <v>Media</v>
      </c>
      <c r="I59" s="9" t="s">
        <v>339</v>
      </c>
      <c r="J59" s="20" t="s">
        <v>116</v>
      </c>
      <c r="K59" s="21"/>
      <c r="L59" s="21"/>
      <c r="M59" s="22" t="s">
        <v>120</v>
      </c>
      <c r="N59" s="21"/>
      <c r="O59" s="20" t="s">
        <v>116</v>
      </c>
      <c r="P59" s="22" t="s">
        <v>120</v>
      </c>
      <c r="Q59" s="20" t="s">
        <v>116</v>
      </c>
      <c r="R59" s="21"/>
      <c r="S59" s="21"/>
      <c r="T59" s="21"/>
      <c r="U59" s="9" t="s">
        <v>785</v>
      </c>
      <c r="V59" s="9" t="s">
        <v>786</v>
      </c>
    </row>
    <row r="60" ht="14.25" customHeight="1">
      <c r="A60" s="40" t="s">
        <v>151</v>
      </c>
      <c r="B60" s="9" t="s">
        <v>150</v>
      </c>
      <c r="C60" s="9" t="str">
        <f t="array" ref="C60">INDEX(Funciones!$G$2:$G$372,MATCH($A60,Funciones!$B$2:$B$372,0))</f>
        <v>Mantener la presión del depósito principal entre 8,5 y 10 bar</v>
      </c>
      <c r="D60" s="9" t="s">
        <v>1787</v>
      </c>
      <c r="E60" s="9" t="s">
        <v>746</v>
      </c>
      <c r="F60" s="9" t="s">
        <v>1825</v>
      </c>
      <c r="G60" s="9" t="s">
        <v>1826</v>
      </c>
      <c r="H60" s="18" t="str">
        <f t="array" ref="H60">_xlfn.XLOOKUP(E:E,'Calificación consecuencia'!B:B,'Calificación consecuencia'!K:K,"No encontrada",2)</f>
        <v>Baja</v>
      </c>
      <c r="I60" s="9" t="s">
        <v>339</v>
      </c>
      <c r="J60" s="20" t="s">
        <v>116</v>
      </c>
      <c r="K60" s="21"/>
      <c r="L60" s="21"/>
      <c r="M60" s="22" t="s">
        <v>120</v>
      </c>
      <c r="N60" s="21"/>
      <c r="O60" s="20" t="s">
        <v>116</v>
      </c>
      <c r="P60" s="22" t="s">
        <v>120</v>
      </c>
      <c r="Q60" s="20" t="s">
        <v>116</v>
      </c>
      <c r="R60" s="21"/>
      <c r="S60" s="21"/>
      <c r="T60" s="21"/>
      <c r="U60" s="9" t="s">
        <v>785</v>
      </c>
      <c r="V60" s="9" t="s">
        <v>786</v>
      </c>
    </row>
    <row r="61" ht="14.25" customHeight="1">
      <c r="A61" s="40" t="s">
        <v>151</v>
      </c>
      <c r="B61" s="9" t="s">
        <v>150</v>
      </c>
      <c r="C61" s="9" t="str">
        <f t="array" ref="C61">INDEX(Funciones!$G$2:$G$372,MATCH($A61,Funciones!$B$2:$B$372,0))</f>
        <v>Mantener la presión del depósito principal entre 8,5 y 10 bar</v>
      </c>
      <c r="D61" s="9" t="s">
        <v>1840</v>
      </c>
      <c r="E61" s="9" t="s">
        <v>752</v>
      </c>
      <c r="F61" s="9" t="s">
        <v>1842</v>
      </c>
      <c r="G61" s="9" t="s">
        <v>1843</v>
      </c>
      <c r="H61" s="18" t="str">
        <f t="array" ref="H61">_xlfn.XLOOKUP(E:E,'Calificación consecuencia'!B:B,'Calificación consecuencia'!K:K,"No encontrada",2)</f>
        <v>Baja</v>
      </c>
      <c r="I61" s="9" t="s">
        <v>1449</v>
      </c>
      <c r="J61" s="20" t="s">
        <v>116</v>
      </c>
      <c r="K61" s="21"/>
      <c r="L61" s="21"/>
      <c r="M61" s="22" t="s">
        <v>120</v>
      </c>
      <c r="N61" s="21"/>
      <c r="O61" s="20" t="s">
        <v>116</v>
      </c>
      <c r="P61" s="20" t="s">
        <v>116</v>
      </c>
      <c r="Q61" s="21"/>
      <c r="R61" s="21"/>
      <c r="S61" s="21"/>
      <c r="T61" s="21"/>
      <c r="U61" s="9" t="s">
        <v>345</v>
      </c>
      <c r="V61" s="9" t="s">
        <v>196</v>
      </c>
    </row>
    <row r="62" ht="14.25" customHeight="1">
      <c r="A62" s="41" t="s">
        <v>151</v>
      </c>
      <c r="B62" s="9" t="s">
        <v>150</v>
      </c>
      <c r="C62" s="9" t="str">
        <f t="array" ref="C62">INDEX(Funciones!$G$2:$G$372,MATCH($A62,Funciones!$B$2:$B$372,0))</f>
        <v>Mantener la presión del depósito principal entre 8,5 y 10 bar</v>
      </c>
      <c r="D62" s="9" t="s">
        <v>1840</v>
      </c>
      <c r="E62" s="9" t="s">
        <v>757</v>
      </c>
      <c r="F62" s="9" t="s">
        <v>1860</v>
      </c>
      <c r="G62" s="9" t="s">
        <v>1861</v>
      </c>
      <c r="H62" s="18" t="str">
        <f t="array" ref="H62">_xlfn.XLOOKUP(E:E,'Calificación consecuencia'!B:B,'Calificación consecuencia'!K:K,"No encontrada",2)</f>
        <v>Baja</v>
      </c>
      <c r="I62" s="9" t="s">
        <v>339</v>
      </c>
      <c r="J62" s="20" t="s">
        <v>116</v>
      </c>
      <c r="K62" s="21"/>
      <c r="L62" s="21"/>
      <c r="M62" s="22" t="s">
        <v>120</v>
      </c>
      <c r="N62" s="21"/>
      <c r="O62" s="20" t="s">
        <v>116</v>
      </c>
      <c r="P62" s="22" t="s">
        <v>120</v>
      </c>
      <c r="Q62" s="20" t="s">
        <v>116</v>
      </c>
      <c r="R62" s="21"/>
      <c r="S62" s="21"/>
      <c r="T62" s="21"/>
      <c r="U62" s="9" t="s">
        <v>785</v>
      </c>
      <c r="V62" s="9" t="s">
        <v>786</v>
      </c>
    </row>
    <row r="63" ht="14.25" customHeight="1">
      <c r="A63" s="41" t="s">
        <v>151</v>
      </c>
      <c r="B63" s="9" t="s">
        <v>150</v>
      </c>
      <c r="C63" s="9" t="str">
        <f t="array" ref="C63">INDEX(Funciones!$G$2:$G$372,MATCH($A63,Funciones!$B$2:$B$372,0))</f>
        <v>Mantener la presión del depósito principal entre 8,5 y 10 bar</v>
      </c>
      <c r="D63" s="9" t="s">
        <v>1868</v>
      </c>
      <c r="E63" s="9" t="s">
        <v>764</v>
      </c>
      <c r="F63" s="9" t="s">
        <v>1869</v>
      </c>
      <c r="G63" s="9" t="s">
        <v>1870</v>
      </c>
      <c r="H63" s="18" t="str">
        <f t="array" ref="H63">_xlfn.XLOOKUP(E:E,'Calificación consecuencia'!B:B,'Calificación consecuencia'!K:K,"No encontrada",2)</f>
        <v>Media</v>
      </c>
      <c r="I63" s="9" t="s">
        <v>339</v>
      </c>
      <c r="J63" s="20" t="s">
        <v>116</v>
      </c>
      <c r="K63" s="21"/>
      <c r="L63" s="21"/>
      <c r="M63" s="22" t="s">
        <v>120</v>
      </c>
      <c r="N63" s="21"/>
      <c r="O63" s="20" t="s">
        <v>116</v>
      </c>
      <c r="P63" s="22" t="s">
        <v>120</v>
      </c>
      <c r="Q63" s="20" t="s">
        <v>116</v>
      </c>
      <c r="R63" s="21"/>
      <c r="S63" s="21"/>
      <c r="T63" s="21"/>
      <c r="U63" s="9" t="s">
        <v>785</v>
      </c>
      <c r="V63" s="9" t="s">
        <v>786</v>
      </c>
    </row>
    <row r="64" ht="14.25" customHeight="1">
      <c r="A64" s="41" t="s">
        <v>151</v>
      </c>
      <c r="B64" s="9" t="s">
        <v>150</v>
      </c>
      <c r="C64" s="9" t="str">
        <f t="array" ref="C64">INDEX(Funciones!$G$2:$G$372,MATCH($A64,Funciones!$B$2:$B$372,0))</f>
        <v>Mantener la presión del depósito principal entre 8,5 y 10 bar</v>
      </c>
      <c r="D64" s="9" t="s">
        <v>1868</v>
      </c>
      <c r="E64" s="9" t="s">
        <v>770</v>
      </c>
      <c r="F64" s="9" t="s">
        <v>1887</v>
      </c>
      <c r="G64" s="9" t="s">
        <v>1888</v>
      </c>
      <c r="H64" s="18" t="str">
        <f t="array" ref="H64">_xlfn.XLOOKUP(E:E,'Calificación consecuencia'!B:B,'Calificación consecuencia'!K:K,"No encontrada",2)</f>
        <v>Media</v>
      </c>
      <c r="I64" s="9" t="s">
        <v>339</v>
      </c>
      <c r="J64" s="20" t="s">
        <v>116</v>
      </c>
      <c r="K64" s="21"/>
      <c r="L64" s="21"/>
      <c r="M64" s="22" t="s">
        <v>120</v>
      </c>
      <c r="N64" s="21"/>
      <c r="O64" s="20" t="s">
        <v>116</v>
      </c>
      <c r="P64" s="22" t="s">
        <v>120</v>
      </c>
      <c r="Q64" s="20" t="s">
        <v>116</v>
      </c>
      <c r="R64" s="21"/>
      <c r="S64" s="21"/>
      <c r="T64" s="21"/>
      <c r="U64" s="9" t="s">
        <v>785</v>
      </c>
      <c r="V64" s="9" t="s">
        <v>786</v>
      </c>
    </row>
    <row r="65" ht="14.25" customHeight="1">
      <c r="A65" s="41" t="s">
        <v>163</v>
      </c>
      <c r="B65" s="27" t="s">
        <v>150</v>
      </c>
      <c r="C65" s="27" t="str">
        <f t="array" ref="C65">INDEX(Funciones!$G$2:$G$372,MATCH($A65,Funciones!$B$2:$B$372,0))</f>
        <v>Contener el aire del circuito principal con caída máxima de 0,2 bar en 5 min</v>
      </c>
      <c r="D65" s="27" t="s">
        <v>1910</v>
      </c>
      <c r="E65" s="27" t="s">
        <v>777</v>
      </c>
      <c r="F65" s="27" t="s">
        <v>1913</v>
      </c>
      <c r="G65" s="27" t="s">
        <v>1914</v>
      </c>
      <c r="H65" s="18" t="str">
        <f t="array" ref="H65">_xlfn.XLOOKUP(E:E,'Calificación consecuencia'!B:B,'Calificación consecuencia'!K:K,"No encontrada",2)</f>
        <v>Media</v>
      </c>
      <c r="I65" s="27" t="s">
        <v>113</v>
      </c>
      <c r="J65" s="30" t="s">
        <v>116</v>
      </c>
      <c r="K65" s="21"/>
      <c r="L65" s="21"/>
      <c r="M65" s="30" t="s">
        <v>116</v>
      </c>
      <c r="N65" s="30" t="s">
        <v>116</v>
      </c>
      <c r="O65" s="21"/>
      <c r="P65" s="21"/>
      <c r="Q65" s="21"/>
      <c r="R65" s="21"/>
      <c r="S65" s="21"/>
      <c r="T65" s="21"/>
      <c r="U65" s="27" t="s">
        <v>195</v>
      </c>
      <c r="V65" s="27" t="s">
        <v>196</v>
      </c>
    </row>
    <row r="66" ht="14.25" customHeight="1">
      <c r="A66" s="41" t="s">
        <v>163</v>
      </c>
      <c r="B66" s="27" t="s">
        <v>150</v>
      </c>
      <c r="C66" s="27" t="str">
        <f t="array" ref="C66">INDEX(Funciones!$G$2:$G$372,MATCH($A66,Funciones!$B$2:$B$372,0))</f>
        <v>Contener el aire del circuito principal con caída máxima de 0,2 bar en 5 min</v>
      </c>
      <c r="D66" s="27" t="s">
        <v>1910</v>
      </c>
      <c r="E66" s="27" t="s">
        <v>782</v>
      </c>
      <c r="F66" s="27" t="s">
        <v>1927</v>
      </c>
      <c r="G66" s="27" t="s">
        <v>1929</v>
      </c>
      <c r="H66" s="18" t="str">
        <f t="array" ref="H66">_xlfn.XLOOKUP(E:E,'Calificación consecuencia'!B:B,'Calificación consecuencia'!K:K,"No encontrada",2)</f>
        <v>Media</v>
      </c>
      <c r="I66" s="27" t="s">
        <v>113</v>
      </c>
      <c r="J66" s="30" t="s">
        <v>116</v>
      </c>
      <c r="K66" s="21"/>
      <c r="L66" s="21"/>
      <c r="M66" s="30" t="s">
        <v>116</v>
      </c>
      <c r="N66" s="30" t="s">
        <v>116</v>
      </c>
      <c r="O66" s="21"/>
      <c r="P66" s="21"/>
      <c r="Q66" s="21"/>
      <c r="R66" s="21"/>
      <c r="S66" s="21"/>
      <c r="T66" s="21"/>
      <c r="U66" s="27" t="s">
        <v>195</v>
      </c>
      <c r="V66" s="27" t="s">
        <v>196</v>
      </c>
    </row>
    <row r="67" ht="14.25" customHeight="1">
      <c r="A67" s="41" t="s">
        <v>163</v>
      </c>
      <c r="B67" s="27" t="s">
        <v>150</v>
      </c>
      <c r="C67" s="27" t="str">
        <f t="array" ref="C67">INDEX(Funciones!$G$2:$G$372,MATCH($A67,Funciones!$B$2:$B$372,0))</f>
        <v>Contener el aire del circuito principal con caída máxima de 0,2 bar en 5 min</v>
      </c>
      <c r="D67" s="27" t="s">
        <v>1942</v>
      </c>
      <c r="E67" s="27" t="s">
        <v>789</v>
      </c>
      <c r="F67" s="27" t="s">
        <v>1945</v>
      </c>
      <c r="G67" s="27" t="s">
        <v>1948</v>
      </c>
      <c r="H67" s="18" t="str">
        <f t="array" ref="H67">_xlfn.XLOOKUP(E:E,'Calificación consecuencia'!B:B,'Calificación consecuencia'!K:K,"No encontrada",2)</f>
        <v>Media</v>
      </c>
      <c r="I67" s="27" t="s">
        <v>339</v>
      </c>
      <c r="J67" s="30" t="s">
        <v>116</v>
      </c>
      <c r="K67" s="21"/>
      <c r="L67" s="21"/>
      <c r="M67" s="29" t="s">
        <v>120</v>
      </c>
      <c r="N67" s="21"/>
      <c r="O67" s="30" t="s">
        <v>116</v>
      </c>
      <c r="P67" s="29" t="s">
        <v>120</v>
      </c>
      <c r="Q67" s="30" t="s">
        <v>116</v>
      </c>
      <c r="R67" s="21"/>
      <c r="S67" s="21"/>
      <c r="T67" s="21"/>
      <c r="U67" s="27" t="s">
        <v>785</v>
      </c>
      <c r="V67" s="27" t="s">
        <v>786</v>
      </c>
    </row>
    <row r="68" ht="14.25" customHeight="1">
      <c r="A68" s="41" t="s">
        <v>163</v>
      </c>
      <c r="B68" s="27" t="s">
        <v>150</v>
      </c>
      <c r="C68" s="27" t="str">
        <f t="array" ref="C68">INDEX(Funciones!$G$2:$G$372,MATCH($A68,Funciones!$B$2:$B$372,0))</f>
        <v>Contener el aire del circuito principal con caída máxima de 0,2 bar en 5 min</v>
      </c>
      <c r="D68" s="27" t="s">
        <v>1942</v>
      </c>
      <c r="E68" s="27" t="s">
        <v>797</v>
      </c>
      <c r="F68" s="27" t="s">
        <v>1962</v>
      </c>
      <c r="G68" s="27" t="s">
        <v>1963</v>
      </c>
      <c r="H68" s="18" t="str">
        <f t="array" ref="H68">_xlfn.XLOOKUP(E:E,'Calificación consecuencia'!B:B,'Calificación consecuencia'!K:K,"No encontrada",2)</f>
        <v>Baja</v>
      </c>
      <c r="I68" s="27" t="s">
        <v>339</v>
      </c>
      <c r="J68" s="30" t="s">
        <v>116</v>
      </c>
      <c r="K68" s="21"/>
      <c r="L68" s="21"/>
      <c r="M68" s="29" t="s">
        <v>120</v>
      </c>
      <c r="N68" s="21"/>
      <c r="O68" s="30" t="s">
        <v>116</v>
      </c>
      <c r="P68" s="29" t="s">
        <v>120</v>
      </c>
      <c r="Q68" s="30" t="s">
        <v>116</v>
      </c>
      <c r="R68" s="21"/>
      <c r="S68" s="21"/>
      <c r="T68" s="21"/>
      <c r="U68" s="27" t="s">
        <v>785</v>
      </c>
      <c r="V68" s="27" t="s">
        <v>786</v>
      </c>
    </row>
    <row r="69" ht="14.25" customHeight="1">
      <c r="A69" s="41" t="s">
        <v>163</v>
      </c>
      <c r="B69" s="27" t="s">
        <v>150</v>
      </c>
      <c r="C69" s="27" t="str">
        <f t="array" ref="C69">INDEX(Funciones!$G$2:$G$372,MATCH($A69,Funciones!$B$2:$B$372,0))</f>
        <v>Contener el aire del circuito principal con caída máxima de 0,2 bar en 5 min</v>
      </c>
      <c r="D69" s="27" t="s">
        <v>1942</v>
      </c>
      <c r="E69" s="27" t="s">
        <v>808</v>
      </c>
      <c r="F69" s="27" t="s">
        <v>1973</v>
      </c>
      <c r="G69" s="27" t="s">
        <v>1975</v>
      </c>
      <c r="H69" s="18" t="str">
        <f t="array" ref="H69">_xlfn.XLOOKUP(E:E,'Calificación consecuencia'!B:B,'Calificación consecuencia'!K:K,"No encontrada",2)</f>
        <v>Baja</v>
      </c>
      <c r="I69" s="27" t="s">
        <v>339</v>
      </c>
      <c r="J69" s="30" t="s">
        <v>116</v>
      </c>
      <c r="K69" s="21"/>
      <c r="L69" s="21"/>
      <c r="M69" s="29" t="s">
        <v>120</v>
      </c>
      <c r="N69" s="21"/>
      <c r="O69" s="30" t="s">
        <v>116</v>
      </c>
      <c r="P69" s="29" t="s">
        <v>120</v>
      </c>
      <c r="Q69" s="30" t="s">
        <v>116</v>
      </c>
      <c r="R69" s="21"/>
      <c r="S69" s="21"/>
      <c r="T69" s="21"/>
      <c r="U69" s="27" t="s">
        <v>785</v>
      </c>
      <c r="V69" s="27" t="s">
        <v>786</v>
      </c>
    </row>
    <row r="70" ht="14.25" customHeight="1">
      <c r="A70" s="41" t="s">
        <v>163</v>
      </c>
      <c r="B70" s="27" t="s">
        <v>150</v>
      </c>
      <c r="C70" s="27" t="str">
        <f t="array" ref="C70">INDEX(Funciones!$G$2:$G$372,MATCH($A70,Funciones!$B$2:$B$372,0))</f>
        <v>Contener el aire del circuito principal con caída máxima de 0,2 bar en 5 min</v>
      </c>
      <c r="D70" s="27" t="s">
        <v>1942</v>
      </c>
      <c r="E70" s="27" t="s">
        <v>813</v>
      </c>
      <c r="F70" s="27" t="s">
        <v>1995</v>
      </c>
      <c r="G70" s="27" t="s">
        <v>1996</v>
      </c>
      <c r="H70" s="18" t="str">
        <f t="array" ref="H70">_xlfn.XLOOKUP(E:E,'Calificación consecuencia'!B:B,'Calificación consecuencia'!K:K,"No encontrada",2)</f>
        <v>Baja</v>
      </c>
      <c r="I70" s="27" t="s">
        <v>339</v>
      </c>
      <c r="J70" s="30" t="s">
        <v>116</v>
      </c>
      <c r="K70" s="21"/>
      <c r="L70" s="21"/>
      <c r="M70" s="29" t="s">
        <v>120</v>
      </c>
      <c r="N70" s="21"/>
      <c r="O70" s="30" t="s">
        <v>116</v>
      </c>
      <c r="P70" s="29" t="s">
        <v>120</v>
      </c>
      <c r="Q70" s="30" t="s">
        <v>116</v>
      </c>
      <c r="R70" s="21"/>
      <c r="S70" s="21"/>
      <c r="T70" s="21"/>
      <c r="U70" s="27" t="s">
        <v>785</v>
      </c>
      <c r="V70" s="27" t="s">
        <v>786</v>
      </c>
    </row>
    <row r="71" ht="14.25" customHeight="1">
      <c r="A71" s="41" t="s">
        <v>163</v>
      </c>
      <c r="B71" s="27" t="s">
        <v>150</v>
      </c>
      <c r="C71" s="27" t="str">
        <f t="array" ref="C71">INDEX(Funciones!$G$2:$G$372,MATCH($A71,Funciones!$B$2:$B$372,0))</f>
        <v>Contener el aire del circuito principal con caída máxima de 0,2 bar en 5 min</v>
      </c>
      <c r="D71" s="27" t="s">
        <v>1942</v>
      </c>
      <c r="E71" s="27" t="s">
        <v>816</v>
      </c>
      <c r="F71" s="27" t="s">
        <v>2006</v>
      </c>
      <c r="G71" s="27" t="s">
        <v>2007</v>
      </c>
      <c r="H71" s="18" t="str">
        <f t="array" ref="H71">_xlfn.XLOOKUP(E:E,'Calificación consecuencia'!B:B,'Calificación consecuencia'!K:K,"No encontrada",2)</f>
        <v>Baja</v>
      </c>
      <c r="I71" s="27" t="s">
        <v>339</v>
      </c>
      <c r="J71" s="30" t="s">
        <v>116</v>
      </c>
      <c r="K71" s="21"/>
      <c r="L71" s="21"/>
      <c r="M71" s="29" t="s">
        <v>120</v>
      </c>
      <c r="N71" s="21"/>
      <c r="O71" s="30" t="s">
        <v>116</v>
      </c>
      <c r="P71" s="29" t="s">
        <v>120</v>
      </c>
      <c r="Q71" s="30" t="s">
        <v>116</v>
      </c>
      <c r="R71" s="21"/>
      <c r="S71" s="21"/>
      <c r="T71" s="21"/>
      <c r="U71" s="27" t="s">
        <v>785</v>
      </c>
      <c r="V71" s="27" t="s">
        <v>786</v>
      </c>
    </row>
    <row r="72" ht="14.25" customHeight="1">
      <c r="A72" s="35" t="s">
        <v>176</v>
      </c>
      <c r="B72" s="9" t="s">
        <v>175</v>
      </c>
      <c r="C72" s="9" t="str">
        <f t="array" ref="C72">INDEX(Funciones!$G$2:$G$372,MATCH($A72,Funciones!$B$2:$B$372,0))</f>
        <v>Secar el aire comprimido con punto de rocío máximo de +3 °C</v>
      </c>
      <c r="D72" s="9" t="s">
        <v>2016</v>
      </c>
      <c r="E72" s="9" t="s">
        <v>820</v>
      </c>
      <c r="F72" s="9" t="s">
        <v>2017</v>
      </c>
      <c r="G72" s="9" t="s">
        <v>2019</v>
      </c>
      <c r="H72" s="18" t="str">
        <f t="array" ref="H72">_xlfn.XLOOKUP(E:E,'Calificación consecuencia'!B:B,'Calificación consecuencia'!K:K,"No encontrada",2)</f>
        <v>Media</v>
      </c>
      <c r="I72" s="9" t="s">
        <v>425</v>
      </c>
      <c r="J72" s="22" t="s">
        <v>120</v>
      </c>
      <c r="K72" s="20" t="s">
        <v>116</v>
      </c>
      <c r="L72" s="21"/>
      <c r="M72" s="21"/>
      <c r="N72" s="21"/>
      <c r="O72" s="21"/>
      <c r="P72" s="21"/>
      <c r="Q72" s="21"/>
      <c r="R72" s="21"/>
      <c r="S72" s="21"/>
      <c r="T72" s="21"/>
      <c r="U72" s="9" t="s">
        <v>439</v>
      </c>
      <c r="V72" s="9" t="s">
        <v>440</v>
      </c>
    </row>
    <row r="73" ht="14.25" customHeight="1">
      <c r="A73" s="35" t="s">
        <v>176</v>
      </c>
      <c r="B73" s="9" t="s">
        <v>175</v>
      </c>
      <c r="C73" s="9" t="str">
        <f t="array" ref="C73">INDEX(Funciones!$G$2:$G$372,MATCH($A73,Funciones!$B$2:$B$372,0))</f>
        <v>Secar el aire comprimido con punto de rocío máximo de +3 °C</v>
      </c>
      <c r="D73" s="9" t="s">
        <v>2016</v>
      </c>
      <c r="E73" s="9" t="s">
        <v>825</v>
      </c>
      <c r="F73" s="9" t="s">
        <v>2044</v>
      </c>
      <c r="G73" s="9" t="s">
        <v>2045</v>
      </c>
      <c r="H73" s="18" t="str">
        <f t="array" ref="H73">_xlfn.XLOOKUP(E:E,'Calificación consecuencia'!B:B,'Calificación consecuencia'!K:K,"No encontrada",2)</f>
        <v>Media</v>
      </c>
      <c r="I73" s="9" t="s">
        <v>425</v>
      </c>
      <c r="J73" s="22" t="s">
        <v>120</v>
      </c>
      <c r="K73" s="20" t="s">
        <v>116</v>
      </c>
      <c r="L73" s="21"/>
      <c r="M73" s="21"/>
      <c r="N73" s="21"/>
      <c r="O73" s="21"/>
      <c r="P73" s="21"/>
      <c r="Q73" s="21"/>
      <c r="R73" s="21"/>
      <c r="S73" s="21"/>
      <c r="T73" s="21"/>
      <c r="U73" s="9" t="s">
        <v>439</v>
      </c>
      <c r="V73" s="9" t="s">
        <v>440</v>
      </c>
    </row>
    <row r="74" ht="14.25" customHeight="1">
      <c r="A74" s="35" t="s">
        <v>176</v>
      </c>
      <c r="B74" s="9" t="s">
        <v>175</v>
      </c>
      <c r="C74" s="9" t="str">
        <f t="array" ref="C74">INDEX(Funciones!$G$2:$G$372,MATCH($A74,Funciones!$B$2:$B$372,0))</f>
        <v>Secar el aire comprimido con punto de rocío máximo de +3 °C</v>
      </c>
      <c r="D74" s="9" t="s">
        <v>2016</v>
      </c>
      <c r="E74" s="9" t="s">
        <v>827</v>
      </c>
      <c r="F74" s="9" t="s">
        <v>2056</v>
      </c>
      <c r="G74" s="9" t="s">
        <v>2057</v>
      </c>
      <c r="H74" s="18" t="str">
        <f t="array" ref="H74">_xlfn.XLOOKUP(E:E,'Calificación consecuencia'!B:B,'Calificación consecuencia'!K:K,"No encontrada",2)</f>
        <v>Media</v>
      </c>
      <c r="I74" s="9" t="s">
        <v>425</v>
      </c>
      <c r="J74" s="22" t="s">
        <v>120</v>
      </c>
      <c r="K74" s="20" t="s">
        <v>116</v>
      </c>
      <c r="L74" s="21"/>
      <c r="M74" s="21"/>
      <c r="N74" s="21"/>
      <c r="O74" s="21"/>
      <c r="P74" s="21"/>
      <c r="Q74" s="21"/>
      <c r="R74" s="21"/>
      <c r="S74" s="21"/>
      <c r="T74" s="21"/>
      <c r="U74" s="9" t="s">
        <v>439</v>
      </c>
      <c r="V74" s="9" t="s">
        <v>440</v>
      </c>
    </row>
    <row r="75" ht="14.25" customHeight="1">
      <c r="A75" s="35" t="s">
        <v>176</v>
      </c>
      <c r="B75" s="9" t="s">
        <v>175</v>
      </c>
      <c r="C75" s="9" t="str">
        <f t="array" ref="C75">INDEX(Funciones!$G$2:$G$372,MATCH($A75,Funciones!$B$2:$B$372,0))</f>
        <v>Secar el aire comprimido con punto de rocío máximo de +3 °C</v>
      </c>
      <c r="D75" s="9" t="s">
        <v>2090</v>
      </c>
      <c r="E75" s="9" t="s">
        <v>836</v>
      </c>
      <c r="F75" s="9" t="s">
        <v>2091</v>
      </c>
      <c r="G75" s="9" t="s">
        <v>2093</v>
      </c>
      <c r="H75" s="18" t="str">
        <f t="array" ref="H75">_xlfn.XLOOKUP(E:E,'Calificación consecuencia'!B:B,'Calificación consecuencia'!K:K,"No encontrada",2)</f>
        <v>Baja</v>
      </c>
      <c r="I75" s="9" t="s">
        <v>2106</v>
      </c>
      <c r="J75" s="22" t="s">
        <v>120</v>
      </c>
      <c r="K75" s="20" t="s">
        <v>116</v>
      </c>
      <c r="L75" s="21"/>
      <c r="M75" s="21"/>
      <c r="N75" s="21"/>
      <c r="O75" s="21"/>
      <c r="P75" s="21"/>
      <c r="Q75" s="21"/>
      <c r="R75" s="21"/>
      <c r="S75" s="21"/>
      <c r="T75" s="21"/>
      <c r="U75" s="9" t="s">
        <v>439</v>
      </c>
      <c r="V75" s="9" t="s">
        <v>440</v>
      </c>
    </row>
    <row r="76" ht="14.25" customHeight="1">
      <c r="A76" s="35" t="s">
        <v>176</v>
      </c>
      <c r="B76" s="9" t="s">
        <v>175</v>
      </c>
      <c r="C76" s="9" t="str">
        <f t="array" ref="C76">INDEX(Funciones!$G$2:$G$372,MATCH($A76,Funciones!$B$2:$B$372,0))</f>
        <v>Secar el aire comprimido con punto de rocío máximo de +3 °C</v>
      </c>
      <c r="D76" s="9" t="s">
        <v>2090</v>
      </c>
      <c r="E76" s="9" t="s">
        <v>842</v>
      </c>
      <c r="F76" s="9" t="s">
        <v>2126</v>
      </c>
      <c r="G76" s="9" t="s">
        <v>2127</v>
      </c>
      <c r="H76" s="18" t="str">
        <f t="array" ref="H76">_xlfn.XLOOKUP(E:E,'Calificación consecuencia'!B:B,'Calificación consecuencia'!K:K,"No encontrada",2)</f>
        <v>Baja</v>
      </c>
      <c r="I76" s="9" t="s">
        <v>2106</v>
      </c>
      <c r="J76" s="22" t="s">
        <v>120</v>
      </c>
      <c r="K76" s="20" t="s">
        <v>116</v>
      </c>
      <c r="L76" s="21"/>
      <c r="M76" s="21"/>
      <c r="N76" s="21"/>
      <c r="O76" s="21"/>
      <c r="P76" s="21"/>
      <c r="Q76" s="21"/>
      <c r="R76" s="21"/>
      <c r="S76" s="21"/>
      <c r="T76" s="21"/>
      <c r="U76" s="9" t="s">
        <v>439</v>
      </c>
      <c r="V76" s="9" t="s">
        <v>440</v>
      </c>
    </row>
    <row r="77" ht="14.25" customHeight="1">
      <c r="A77" s="35" t="s">
        <v>176</v>
      </c>
      <c r="B77" s="9" t="s">
        <v>175</v>
      </c>
      <c r="C77" s="9" t="str">
        <f t="array" ref="C77">INDEX(Funciones!$G$2:$G$372,MATCH($A77,Funciones!$B$2:$B$372,0))</f>
        <v>Secar el aire comprimido con punto de rocío máximo de +3 °C</v>
      </c>
      <c r="D77" s="9" t="s">
        <v>2090</v>
      </c>
      <c r="E77" s="9" t="s">
        <v>848</v>
      </c>
      <c r="F77" s="9" t="s">
        <v>2145</v>
      </c>
      <c r="G77" s="9" t="s">
        <v>2146</v>
      </c>
      <c r="H77" s="18" t="str">
        <f t="array" ref="H77">_xlfn.XLOOKUP(E:E,'Calificación consecuencia'!B:B,'Calificación consecuencia'!K:K,"No encontrada",2)</f>
        <v>Baja</v>
      </c>
      <c r="I77" s="9" t="s">
        <v>2106</v>
      </c>
      <c r="J77" s="22" t="s">
        <v>120</v>
      </c>
      <c r="K77" s="20" t="s">
        <v>116</v>
      </c>
      <c r="L77" s="21"/>
      <c r="M77" s="21"/>
      <c r="N77" s="21"/>
      <c r="O77" s="21"/>
      <c r="P77" s="21"/>
      <c r="Q77" s="21"/>
      <c r="R77" s="21"/>
      <c r="S77" s="21"/>
      <c r="T77" s="21"/>
      <c r="U77" s="9" t="s">
        <v>439</v>
      </c>
      <c r="V77" s="9" t="s">
        <v>440</v>
      </c>
    </row>
    <row r="78" ht="14.25" customHeight="1">
      <c r="A78" s="35" t="s">
        <v>191</v>
      </c>
      <c r="B78" s="27" t="s">
        <v>190</v>
      </c>
      <c r="C78" s="27" t="str">
        <f t="array" ref="C78">INDEX(Funciones!$G$2:$G$372,MATCH($A78,Funciones!$B$2:$B$372,0))</f>
        <v>Suministrar caudal de aceite [ESTÁNDAR POR CONFIRMAR]</v>
      </c>
      <c r="D78" s="27" t="s">
        <v>2164</v>
      </c>
      <c r="E78" s="27" t="s">
        <v>854</v>
      </c>
      <c r="F78" s="27" t="s">
        <v>2165</v>
      </c>
      <c r="G78" s="27" t="s">
        <v>2166</v>
      </c>
      <c r="H78" s="18" t="str">
        <f t="array" ref="H78">_xlfn.XLOOKUP(E:E,'Calificación consecuencia'!B:B,'Calificación consecuencia'!K:K,"No encontrada",2)</f>
        <v>Media</v>
      </c>
      <c r="I78" s="27" t="s">
        <v>1800</v>
      </c>
      <c r="J78" s="30" t="s">
        <v>116</v>
      </c>
      <c r="K78" s="21"/>
      <c r="L78" s="21"/>
      <c r="M78" s="29" t="s">
        <v>120</v>
      </c>
      <c r="N78" s="21"/>
      <c r="O78" s="30" t="s">
        <v>116</v>
      </c>
      <c r="P78" s="30" t="s">
        <v>116</v>
      </c>
      <c r="Q78" s="21"/>
      <c r="R78" s="21"/>
      <c r="S78" s="21"/>
      <c r="T78" s="21"/>
      <c r="U78" s="27" t="s">
        <v>345</v>
      </c>
      <c r="V78" s="27" t="s">
        <v>196</v>
      </c>
    </row>
    <row r="79" ht="14.25" customHeight="1">
      <c r="A79" s="35" t="s">
        <v>191</v>
      </c>
      <c r="B79" s="27" t="s">
        <v>190</v>
      </c>
      <c r="C79" s="27" t="str">
        <f t="array" ref="C79">INDEX(Funciones!$G$2:$G$372,MATCH($A79,Funciones!$B$2:$B$372,0))</f>
        <v>Suministrar caudal de aceite [ESTÁNDAR POR CONFIRMAR]</v>
      </c>
      <c r="D79" s="27" t="s">
        <v>2164</v>
      </c>
      <c r="E79" s="27" t="s">
        <v>855</v>
      </c>
      <c r="F79" s="27" t="s">
        <v>2194</v>
      </c>
      <c r="G79" s="27" t="s">
        <v>2195</v>
      </c>
      <c r="H79" s="18" t="str">
        <f t="array" ref="H79">_xlfn.XLOOKUP(E:E,'Calificación consecuencia'!B:B,'Calificación consecuencia'!K:K,"No encontrada",2)</f>
        <v>Baja</v>
      </c>
      <c r="I79" s="27" t="s">
        <v>1800</v>
      </c>
      <c r="J79" s="30" t="s">
        <v>116</v>
      </c>
      <c r="K79" s="21"/>
      <c r="L79" s="21"/>
      <c r="M79" s="29" t="s">
        <v>120</v>
      </c>
      <c r="N79" s="21"/>
      <c r="O79" s="30" t="s">
        <v>116</v>
      </c>
      <c r="P79" s="30" t="s">
        <v>116</v>
      </c>
      <c r="Q79" s="21"/>
      <c r="R79" s="21"/>
      <c r="S79" s="21"/>
      <c r="T79" s="21"/>
      <c r="U79" s="27" t="s">
        <v>345</v>
      </c>
      <c r="V79" s="27" t="s">
        <v>196</v>
      </c>
    </row>
    <row r="80" ht="14.25" customHeight="1">
      <c r="A80" s="35" t="s">
        <v>191</v>
      </c>
      <c r="B80" s="27" t="s">
        <v>190</v>
      </c>
      <c r="C80" s="27" t="str">
        <f t="array" ref="C80">INDEX(Funciones!$G$2:$G$372,MATCH($A80,Funciones!$B$2:$B$372,0))</f>
        <v>Suministrar caudal de aceite [ESTÁNDAR POR CONFIRMAR]</v>
      </c>
      <c r="D80" s="27" t="s">
        <v>2164</v>
      </c>
      <c r="E80" s="27" t="s">
        <v>865</v>
      </c>
      <c r="F80" s="27" t="s">
        <v>2222</v>
      </c>
      <c r="G80" s="27" t="s">
        <v>2225</v>
      </c>
      <c r="H80" s="18" t="str">
        <f t="array" ref="H80">_xlfn.XLOOKUP(E:E,'Calificación consecuencia'!B:B,'Calificación consecuencia'!K:K,"No encontrada",2)</f>
        <v>Baja</v>
      </c>
      <c r="I80" s="27" t="s">
        <v>2106</v>
      </c>
      <c r="J80" s="30" t="s">
        <v>116</v>
      </c>
      <c r="K80" s="21"/>
      <c r="L80" s="21"/>
      <c r="M80" s="29" t="s">
        <v>120</v>
      </c>
      <c r="N80" s="21"/>
      <c r="O80" s="29" t="s">
        <v>120</v>
      </c>
      <c r="P80" s="21"/>
      <c r="Q80" s="21"/>
      <c r="R80" s="21"/>
      <c r="S80" s="29" t="s">
        <v>120</v>
      </c>
      <c r="T80" s="21"/>
      <c r="U80" s="27" t="s">
        <v>1680</v>
      </c>
      <c r="V80" s="27" t="s">
        <v>1408</v>
      </c>
    </row>
    <row r="81" ht="14.25" customHeight="1">
      <c r="A81" s="35" t="s">
        <v>191</v>
      </c>
      <c r="B81" s="27" t="s">
        <v>190</v>
      </c>
      <c r="C81" s="27" t="str">
        <f t="array" ref="C81">INDEX(Funciones!$G$2:$G$372,MATCH($A81,Funciones!$B$2:$B$372,0))</f>
        <v>Suministrar caudal de aceite [ESTÁNDAR POR CONFIRMAR]</v>
      </c>
      <c r="D81" s="27" t="s">
        <v>2251</v>
      </c>
      <c r="E81" s="27" t="s">
        <v>874</v>
      </c>
      <c r="F81" s="27" t="s">
        <v>2254</v>
      </c>
      <c r="G81" s="27" t="s">
        <v>2255</v>
      </c>
      <c r="H81" s="18" t="str">
        <f t="array" ref="H81">_xlfn.XLOOKUP(E:E,'Calificación consecuencia'!B:B,'Calificación consecuencia'!K:K,"No encontrada",2)</f>
        <v>Baja</v>
      </c>
      <c r="I81" s="27" t="s">
        <v>1800</v>
      </c>
      <c r="J81" s="30" t="s">
        <v>116</v>
      </c>
      <c r="K81" s="21"/>
      <c r="L81" s="21"/>
      <c r="M81" s="29" t="s">
        <v>120</v>
      </c>
      <c r="N81" s="21"/>
      <c r="O81" s="30" t="s">
        <v>116</v>
      </c>
      <c r="P81" s="30" t="s">
        <v>116</v>
      </c>
      <c r="Q81" s="21"/>
      <c r="R81" s="21"/>
      <c r="S81" s="21"/>
      <c r="T81" s="21"/>
      <c r="U81" s="27" t="s">
        <v>345</v>
      </c>
      <c r="V81" s="27" t="s">
        <v>196</v>
      </c>
    </row>
    <row r="82" ht="14.25" customHeight="1">
      <c r="A82" s="31" t="s">
        <v>191</v>
      </c>
      <c r="B82" s="27" t="s">
        <v>190</v>
      </c>
      <c r="C82" s="27" t="str">
        <f t="array" ref="C82">INDEX(Funciones!$G$2:$G$372,MATCH($A82,Funciones!$B$2:$B$372,0))</f>
        <v>Suministrar caudal de aceite [ESTÁNDAR POR CONFIRMAR]</v>
      </c>
      <c r="D82" s="27" t="s">
        <v>2251</v>
      </c>
      <c r="E82" s="27" t="s">
        <v>882</v>
      </c>
      <c r="F82" s="27" t="s">
        <v>2270</v>
      </c>
      <c r="G82" s="27" t="s">
        <v>2271</v>
      </c>
      <c r="H82" s="18" t="str">
        <f t="array" ref="H82">_xlfn.XLOOKUP(E:E,'Calificación consecuencia'!B:B,'Calificación consecuencia'!K:K,"No encontrada",2)</f>
        <v>Baja</v>
      </c>
      <c r="I82" s="27" t="s">
        <v>2106</v>
      </c>
      <c r="J82" s="30" t="s">
        <v>116</v>
      </c>
      <c r="K82" s="21"/>
      <c r="L82" s="21"/>
      <c r="M82" s="29" t="s">
        <v>120</v>
      </c>
      <c r="N82" s="21"/>
      <c r="O82" s="29" t="s">
        <v>120</v>
      </c>
      <c r="P82" s="21"/>
      <c r="Q82" s="21"/>
      <c r="R82" s="21"/>
      <c r="S82" s="29" t="s">
        <v>120</v>
      </c>
      <c r="T82" s="21"/>
      <c r="U82" s="27" t="s">
        <v>1680</v>
      </c>
      <c r="V82" s="27" t="s">
        <v>1408</v>
      </c>
      <c r="W82" s="37" t="s">
        <v>2278</v>
      </c>
    </row>
    <row r="83" ht="14.25" customHeight="1">
      <c r="A83" s="31" t="s">
        <v>191</v>
      </c>
      <c r="B83" s="27" t="s">
        <v>190</v>
      </c>
      <c r="C83" s="27" t="str">
        <f t="array" ref="C83">INDEX(Funciones!$G$2:$G$372,MATCH($A83,Funciones!$B$2:$B$372,0))</f>
        <v>Suministrar caudal de aceite [ESTÁNDAR POR CONFIRMAR]</v>
      </c>
      <c r="D83" s="27" t="s">
        <v>2251</v>
      </c>
      <c r="E83" s="27" t="s">
        <v>887</v>
      </c>
      <c r="F83" s="27" t="s">
        <v>2296</v>
      </c>
      <c r="G83" s="27" t="s">
        <v>2225</v>
      </c>
      <c r="H83" s="18" t="str">
        <f t="array" ref="H83">_xlfn.XLOOKUP(E:E,'Calificación consecuencia'!B:B,'Calificación consecuencia'!K:K,"No encontrada",2)</f>
        <v>Baja</v>
      </c>
      <c r="I83" s="27" t="s">
        <v>2106</v>
      </c>
      <c r="J83" s="30" t="s">
        <v>116</v>
      </c>
      <c r="K83" s="21"/>
      <c r="L83" s="21"/>
      <c r="M83" s="29" t="s">
        <v>120</v>
      </c>
      <c r="N83" s="21"/>
      <c r="O83" s="29" t="s">
        <v>120</v>
      </c>
      <c r="P83" s="21"/>
      <c r="Q83" s="21"/>
      <c r="R83" s="21"/>
      <c r="S83" s="29" t="s">
        <v>120</v>
      </c>
      <c r="T83" s="21"/>
      <c r="U83" s="27" t="s">
        <v>1680</v>
      </c>
      <c r="V83" s="27" t="s">
        <v>1408</v>
      </c>
    </row>
    <row r="84" ht="14.25" customHeight="1">
      <c r="A84" s="31" t="s">
        <v>191</v>
      </c>
      <c r="B84" s="27" t="s">
        <v>190</v>
      </c>
      <c r="C84" s="27" t="str">
        <f t="array" ref="C84">INDEX(Funciones!$G$2:$G$372,MATCH($A84,Funciones!$B$2:$B$372,0))</f>
        <v>Suministrar caudal de aceite [ESTÁNDAR POR CONFIRMAR]</v>
      </c>
      <c r="D84" s="27" t="s">
        <v>2251</v>
      </c>
      <c r="E84" s="27" t="s">
        <v>898</v>
      </c>
      <c r="F84" s="27" t="s">
        <v>2322</v>
      </c>
      <c r="G84" s="27" t="s">
        <v>2323</v>
      </c>
      <c r="H84" s="18" t="str">
        <f t="array" ref="H84">_xlfn.XLOOKUP(E:E,'Calificación consecuencia'!B:B,'Calificación consecuencia'!K:K,"No encontrada",2)</f>
        <v>Media</v>
      </c>
      <c r="I84" s="27" t="s">
        <v>1800</v>
      </c>
      <c r="J84" s="30" t="s">
        <v>116</v>
      </c>
      <c r="K84" s="21"/>
      <c r="L84" s="21"/>
      <c r="M84" s="29" t="s">
        <v>120</v>
      </c>
      <c r="N84" s="21"/>
      <c r="O84" s="30" t="s">
        <v>116</v>
      </c>
      <c r="P84" s="30" t="s">
        <v>116</v>
      </c>
      <c r="Q84" s="21"/>
      <c r="R84" s="21"/>
      <c r="S84" s="21"/>
      <c r="T84" s="21"/>
      <c r="U84" s="27" t="s">
        <v>345</v>
      </c>
      <c r="V84" s="27" t="s">
        <v>196</v>
      </c>
    </row>
    <row r="85" ht="14.25" customHeight="1">
      <c r="A85" s="31" t="s">
        <v>191</v>
      </c>
      <c r="B85" s="27" t="s">
        <v>190</v>
      </c>
      <c r="C85" s="27" t="str">
        <f t="array" ref="C85">INDEX(Funciones!$G$2:$G$372,MATCH($A85,Funciones!$B$2:$B$372,0))</f>
        <v>Suministrar caudal de aceite [ESTÁNDAR POR CONFIRMAR]</v>
      </c>
      <c r="D85" s="27" t="s">
        <v>2251</v>
      </c>
      <c r="E85" s="27" t="s">
        <v>902</v>
      </c>
      <c r="F85" s="27" t="s">
        <v>2351</v>
      </c>
      <c r="G85" s="27" t="s">
        <v>2353</v>
      </c>
      <c r="H85" s="18" t="str">
        <f t="array" ref="H85">_xlfn.XLOOKUP(E:E,'Calificación consecuencia'!B:B,'Calificación consecuencia'!K:K,"No encontrada",2)</f>
        <v>Baja</v>
      </c>
      <c r="I85" s="27" t="s">
        <v>2106</v>
      </c>
      <c r="J85" s="30" t="s">
        <v>116</v>
      </c>
      <c r="K85" s="21"/>
      <c r="L85" s="21"/>
      <c r="M85" s="29" t="s">
        <v>120</v>
      </c>
      <c r="N85" s="21"/>
      <c r="O85" s="29" t="s">
        <v>120</v>
      </c>
      <c r="P85" s="21"/>
      <c r="Q85" s="21"/>
      <c r="R85" s="21"/>
      <c r="S85" s="29" t="s">
        <v>120</v>
      </c>
      <c r="T85" s="21"/>
      <c r="U85" s="27" t="s">
        <v>1680</v>
      </c>
      <c r="V85" s="27" t="s">
        <v>1408</v>
      </c>
    </row>
    <row r="86" ht="14.25" customHeight="1">
      <c r="A86" s="31" t="s">
        <v>162</v>
      </c>
      <c r="B86" s="9" t="s">
        <v>190</v>
      </c>
      <c r="C86" s="9" t="str">
        <f t="array" ref="C86">INDEX(Funciones!$G$2:$G$372,MATCH($A86,Funciones!$B$2:$B$372,0))</f>
        <v>Generar presión hidráulica [ESTÁNDAR POR CONFIRMAR]</v>
      </c>
      <c r="D86" s="9" t="s">
        <v>2384</v>
      </c>
      <c r="E86" s="9" t="s">
        <v>910</v>
      </c>
      <c r="F86" s="9" t="s">
        <v>2386</v>
      </c>
      <c r="G86" s="9" t="s">
        <v>2389</v>
      </c>
      <c r="H86" s="18" t="str">
        <f t="array" ref="H86">_xlfn.XLOOKUP(E:E,'Calificación consecuencia'!B:B,'Calificación consecuencia'!K:K,"No encontrada",2)</f>
        <v>Baja</v>
      </c>
      <c r="I86" s="9" t="s">
        <v>2106</v>
      </c>
      <c r="J86" s="20" t="s">
        <v>116</v>
      </c>
      <c r="K86" s="21"/>
      <c r="L86" s="21"/>
      <c r="M86" s="22" t="s">
        <v>120</v>
      </c>
      <c r="N86" s="21"/>
      <c r="O86" s="22" t="s">
        <v>120</v>
      </c>
      <c r="P86" s="21"/>
      <c r="Q86" s="21"/>
      <c r="R86" s="21"/>
      <c r="S86" s="22" t="s">
        <v>120</v>
      </c>
      <c r="T86" s="21"/>
      <c r="U86" s="9" t="s">
        <v>1680</v>
      </c>
      <c r="V86" s="9" t="s">
        <v>1408</v>
      </c>
    </row>
    <row r="87" ht="14.25" customHeight="1">
      <c r="A87" s="31" t="s">
        <v>162</v>
      </c>
      <c r="B87" s="9" t="s">
        <v>190</v>
      </c>
      <c r="C87" s="9" t="str">
        <f t="array" ref="C87">INDEX(Funciones!$G$2:$G$372,MATCH($A87,Funciones!$B$2:$B$372,0))</f>
        <v>Generar presión hidráulica [ESTÁNDAR POR CONFIRMAR]</v>
      </c>
      <c r="D87" s="9" t="s">
        <v>2384</v>
      </c>
      <c r="E87" s="9" t="s">
        <v>854</v>
      </c>
      <c r="F87" s="9" t="s">
        <v>2408</v>
      </c>
      <c r="G87" s="9" t="s">
        <v>2166</v>
      </c>
      <c r="H87" s="18" t="str">
        <f t="array" ref="H87">_xlfn.XLOOKUP(E:E,'Calificación consecuencia'!B:B,'Calificación consecuencia'!K:K,"No encontrada",2)</f>
        <v>Media</v>
      </c>
      <c r="I87" s="9" t="s">
        <v>1800</v>
      </c>
      <c r="J87" s="20" t="s">
        <v>116</v>
      </c>
      <c r="K87" s="21"/>
      <c r="L87" s="21"/>
      <c r="M87" s="22" t="s">
        <v>120</v>
      </c>
      <c r="N87" s="21"/>
      <c r="O87" s="20" t="s">
        <v>116</v>
      </c>
      <c r="P87" s="20" t="s">
        <v>116</v>
      </c>
      <c r="Q87" s="21"/>
      <c r="R87" s="21"/>
      <c r="S87" s="21"/>
      <c r="T87" s="21"/>
      <c r="U87" s="9" t="s">
        <v>345</v>
      </c>
      <c r="V87" s="9" t="s">
        <v>196</v>
      </c>
    </row>
    <row r="88" ht="14.25" customHeight="1">
      <c r="A88" s="31" t="s">
        <v>162</v>
      </c>
      <c r="B88" s="9" t="s">
        <v>190</v>
      </c>
      <c r="C88" s="9" t="str">
        <f t="array" ref="C88">INDEX(Funciones!$G$2:$G$372,MATCH($A88,Funciones!$B$2:$B$372,0))</f>
        <v>Generar presión hidráulica [ESTÁNDAR POR CONFIRMAR]</v>
      </c>
      <c r="D88" s="9" t="s">
        <v>2384</v>
      </c>
      <c r="E88" s="9" t="s">
        <v>930</v>
      </c>
      <c r="F88" s="9" t="s">
        <v>2418</v>
      </c>
      <c r="G88" s="9" t="s">
        <v>2419</v>
      </c>
      <c r="H88" s="18" t="str">
        <f t="array" ref="H88">_xlfn.XLOOKUP(E:E,'Calificación consecuencia'!B:B,'Calificación consecuencia'!K:K,"No encontrada",2)</f>
        <v>Baja</v>
      </c>
      <c r="I88" s="9" t="s">
        <v>2106</v>
      </c>
      <c r="J88" s="20" t="s">
        <v>116</v>
      </c>
      <c r="K88" s="21"/>
      <c r="L88" s="21"/>
      <c r="M88" s="22" t="s">
        <v>120</v>
      </c>
      <c r="N88" s="21"/>
      <c r="O88" s="22" t="s">
        <v>120</v>
      </c>
      <c r="P88" s="21"/>
      <c r="Q88" s="21"/>
      <c r="R88" s="21"/>
      <c r="S88" s="22" t="s">
        <v>120</v>
      </c>
      <c r="T88" s="21"/>
      <c r="U88" s="9" t="s">
        <v>1680</v>
      </c>
      <c r="V88" s="9" t="s">
        <v>1408</v>
      </c>
    </row>
    <row r="89" ht="14.25" customHeight="1">
      <c r="A89" s="31" t="s">
        <v>162</v>
      </c>
      <c r="B89" s="9" t="s">
        <v>190</v>
      </c>
      <c r="C89" s="9" t="str">
        <f t="array" ref="C89">INDEX(Funciones!$G$2:$G$372,MATCH($A89,Funciones!$B$2:$B$372,0))</f>
        <v>Generar presión hidráulica [ESTÁNDAR POR CONFIRMAR]</v>
      </c>
      <c r="D89" s="9" t="s">
        <v>2424</v>
      </c>
      <c r="E89" s="9" t="s">
        <v>874</v>
      </c>
      <c r="F89" s="9" t="s">
        <v>2426</v>
      </c>
      <c r="G89" s="9" t="s">
        <v>2255</v>
      </c>
      <c r="H89" s="18" t="str">
        <f t="array" ref="H89">_xlfn.XLOOKUP(E:E,'Calificación consecuencia'!B:B,'Calificación consecuencia'!K:K,"No encontrada",2)</f>
        <v>Baja</v>
      </c>
      <c r="I89" s="9" t="s">
        <v>1800</v>
      </c>
      <c r="J89" s="20" t="s">
        <v>116</v>
      </c>
      <c r="K89" s="21"/>
      <c r="L89" s="21"/>
      <c r="M89" s="22" t="s">
        <v>120</v>
      </c>
      <c r="N89" s="21"/>
      <c r="O89" s="20" t="s">
        <v>116</v>
      </c>
      <c r="P89" s="20" t="s">
        <v>116</v>
      </c>
      <c r="Q89" s="21"/>
      <c r="R89" s="21"/>
      <c r="S89" s="21"/>
      <c r="T89" s="21"/>
      <c r="U89" s="9" t="s">
        <v>345</v>
      </c>
      <c r="V89" s="9" t="s">
        <v>196</v>
      </c>
    </row>
    <row r="90" ht="14.25" customHeight="1">
      <c r="A90" s="31" t="s">
        <v>162</v>
      </c>
      <c r="B90" s="9" t="s">
        <v>190</v>
      </c>
      <c r="C90" s="9" t="str">
        <f t="array" ref="C90">INDEX(Funciones!$G$2:$G$372,MATCH($A90,Funciones!$B$2:$B$372,0))</f>
        <v>Generar presión hidráulica [ESTÁNDAR POR CONFIRMAR]</v>
      </c>
      <c r="D90" s="9" t="s">
        <v>2424</v>
      </c>
      <c r="E90" s="9" t="s">
        <v>948</v>
      </c>
      <c r="F90" s="9" t="s">
        <v>2447</v>
      </c>
      <c r="G90" s="9" t="s">
        <v>2448</v>
      </c>
      <c r="H90" s="18" t="str">
        <f t="array" ref="H90">_xlfn.XLOOKUP(E:E,'Calificación consecuencia'!B:B,'Calificación consecuencia'!K:K,"No encontrada",2)</f>
        <v>Baja</v>
      </c>
      <c r="I90" s="9" t="s">
        <v>2106</v>
      </c>
      <c r="J90" s="20" t="s">
        <v>116</v>
      </c>
      <c r="K90" s="21"/>
      <c r="L90" s="21"/>
      <c r="M90" s="22" t="s">
        <v>120</v>
      </c>
      <c r="N90" s="21"/>
      <c r="O90" s="22" t="s">
        <v>120</v>
      </c>
      <c r="P90" s="21"/>
      <c r="Q90" s="21"/>
      <c r="R90" s="21"/>
      <c r="S90" s="22" t="s">
        <v>120</v>
      </c>
      <c r="T90" s="21"/>
      <c r="U90" s="9" t="s">
        <v>1680</v>
      </c>
      <c r="V90" s="9" t="s">
        <v>1408</v>
      </c>
    </row>
    <row r="91" ht="14.25" customHeight="1">
      <c r="A91" s="31" t="s">
        <v>162</v>
      </c>
      <c r="B91" s="9" t="s">
        <v>190</v>
      </c>
      <c r="C91" s="9" t="str">
        <f t="array" ref="C91">INDEX(Funciones!$G$2:$G$372,MATCH($A91,Funciones!$B$2:$B$372,0))</f>
        <v>Generar presión hidráulica [ESTÁNDAR POR CONFIRMAR]</v>
      </c>
      <c r="D91" s="9" t="s">
        <v>2424</v>
      </c>
      <c r="E91" s="9" t="s">
        <v>955</v>
      </c>
      <c r="F91" s="9" t="s">
        <v>2471</v>
      </c>
      <c r="G91" s="9" t="s">
        <v>2473</v>
      </c>
      <c r="H91" s="18" t="str">
        <f t="array" ref="H91">_xlfn.XLOOKUP(E:E,'Calificación consecuencia'!B:B,'Calificación consecuencia'!K:K,"No encontrada",2)</f>
        <v>Baja</v>
      </c>
      <c r="I91" s="9" t="s">
        <v>2106</v>
      </c>
      <c r="J91" s="20" t="s">
        <v>116</v>
      </c>
      <c r="K91" s="21"/>
      <c r="L91" s="21"/>
      <c r="M91" s="22" t="s">
        <v>120</v>
      </c>
      <c r="N91" s="21"/>
      <c r="O91" s="22" t="s">
        <v>120</v>
      </c>
      <c r="P91" s="21"/>
      <c r="Q91" s="21"/>
      <c r="R91" s="21"/>
      <c r="S91" s="22" t="s">
        <v>120</v>
      </c>
      <c r="T91" s="21"/>
      <c r="U91" s="9" t="s">
        <v>1680</v>
      </c>
      <c r="V91" s="9" t="s">
        <v>1408</v>
      </c>
    </row>
    <row r="92" ht="14.25" customHeight="1">
      <c r="A92" s="9" t="s">
        <v>162</v>
      </c>
      <c r="B92" s="9" t="s">
        <v>190</v>
      </c>
      <c r="C92" s="9" t="str">
        <f t="array" ref="C92">INDEX(Funciones!$G$2:$G$372,MATCH($A92,Funciones!$B$2:$B$372,0))</f>
        <v>Generar presión hidráulica [ESTÁNDAR POR CONFIRMAR]</v>
      </c>
      <c r="D92" s="9" t="s">
        <v>2492</v>
      </c>
      <c r="E92" s="9" t="s">
        <v>966</v>
      </c>
      <c r="F92" s="9" t="s">
        <v>2495</v>
      </c>
      <c r="G92" s="9" t="s">
        <v>2498</v>
      </c>
      <c r="H92" s="18" t="str">
        <f t="array" ref="H92">_xlfn.XLOOKUP(E:E,'Calificación consecuencia'!B:B,'Calificación consecuencia'!K:K,"No encontrada",2)</f>
        <v>Baja</v>
      </c>
      <c r="I92" s="9" t="s">
        <v>2106</v>
      </c>
      <c r="J92" s="20" t="s">
        <v>116</v>
      </c>
      <c r="K92" s="21"/>
      <c r="L92" s="21"/>
      <c r="M92" s="22" t="s">
        <v>120</v>
      </c>
      <c r="N92" s="21"/>
      <c r="O92" s="22" t="s">
        <v>120</v>
      </c>
      <c r="P92" s="21"/>
      <c r="Q92" s="21"/>
      <c r="R92" s="21"/>
      <c r="S92" s="22" t="s">
        <v>120</v>
      </c>
      <c r="T92" s="21"/>
      <c r="U92" s="9" t="s">
        <v>1680</v>
      </c>
      <c r="V92" s="9" t="s">
        <v>1408</v>
      </c>
    </row>
    <row r="93" ht="14.25" customHeight="1">
      <c r="A93" s="27" t="s">
        <v>210</v>
      </c>
      <c r="B93" s="27" t="s">
        <v>209</v>
      </c>
      <c r="C93" s="27" t="str">
        <f t="array" ref="C93">INDEX(Funciones!$G$2:$G$372,MATCH($A93,Funciones!$B$2:$B$372,0))</f>
        <v>Suministrar caudal de emergencia [ESTÁNDAR POR CONFIRMAR]</v>
      </c>
      <c r="D93" s="27" t="s">
        <v>2517</v>
      </c>
      <c r="E93" s="27" t="s">
        <v>971</v>
      </c>
      <c r="F93" s="27" t="s">
        <v>2520</v>
      </c>
      <c r="G93" s="27" t="s">
        <v>2521</v>
      </c>
      <c r="H93" s="18" t="str">
        <f t="array" ref="H93">_xlfn.XLOOKUP(E:E,'Calificación consecuencia'!B:B,'Calificación consecuencia'!K:K,"No encontrada",2)</f>
        <v>Baja</v>
      </c>
      <c r="I93" s="27" t="s">
        <v>1351</v>
      </c>
      <c r="J93" s="29" t="s">
        <v>120</v>
      </c>
      <c r="K93" s="30" t="s">
        <v>116</v>
      </c>
      <c r="L93" s="21"/>
      <c r="M93" s="21"/>
      <c r="N93" s="21"/>
      <c r="O93" s="21"/>
      <c r="P93" s="21"/>
      <c r="Q93" s="21"/>
      <c r="R93" s="21"/>
      <c r="S93" s="21"/>
      <c r="T93" s="21"/>
      <c r="U93" s="27" t="s">
        <v>439</v>
      </c>
      <c r="V93" s="27" t="s">
        <v>440</v>
      </c>
    </row>
    <row r="94" ht="14.25" customHeight="1">
      <c r="A94" s="27" t="s">
        <v>210</v>
      </c>
      <c r="B94" s="27" t="s">
        <v>209</v>
      </c>
      <c r="C94" s="27" t="str">
        <f t="array" ref="C94">INDEX(Funciones!$G$2:$G$372,MATCH($A94,Funciones!$B$2:$B$372,0))</f>
        <v>Suministrar caudal de emergencia [ESTÁNDAR POR CONFIRMAR]</v>
      </c>
      <c r="D94" s="27" t="s">
        <v>2517</v>
      </c>
      <c r="E94" s="27" t="s">
        <v>974</v>
      </c>
      <c r="F94" s="27" t="s">
        <v>2543</v>
      </c>
      <c r="G94" s="27" t="s">
        <v>2544</v>
      </c>
      <c r="H94" s="18" t="str">
        <f t="array" ref="H94">_xlfn.XLOOKUP(E:E,'Calificación consecuencia'!B:B,'Calificación consecuencia'!K:K,"No encontrada",2)</f>
        <v>Baja</v>
      </c>
      <c r="I94" s="27" t="s">
        <v>1351</v>
      </c>
      <c r="J94" s="29" t="s">
        <v>120</v>
      </c>
      <c r="K94" s="30" t="s">
        <v>116</v>
      </c>
      <c r="L94" s="21"/>
      <c r="M94" s="21"/>
      <c r="N94" s="21"/>
      <c r="O94" s="21"/>
      <c r="P94" s="21"/>
      <c r="Q94" s="21"/>
      <c r="R94" s="21"/>
      <c r="S94" s="21"/>
      <c r="T94" s="21"/>
      <c r="U94" s="27" t="s">
        <v>439</v>
      </c>
      <c r="V94" s="27" t="s">
        <v>440</v>
      </c>
    </row>
    <row r="95" ht="14.25" customHeight="1">
      <c r="A95" s="27" t="s">
        <v>210</v>
      </c>
      <c r="B95" s="27" t="s">
        <v>209</v>
      </c>
      <c r="C95" s="27" t="str">
        <f t="array" ref="C95">INDEX(Funciones!$G$2:$G$372,MATCH($A95,Funciones!$B$2:$B$372,0))</f>
        <v>Suministrar caudal de emergencia [ESTÁNDAR POR CONFIRMAR]</v>
      </c>
      <c r="D95" s="27" t="s">
        <v>2517</v>
      </c>
      <c r="E95" s="27" t="s">
        <v>976</v>
      </c>
      <c r="F95" s="27" t="s">
        <v>2576</v>
      </c>
      <c r="G95" s="27" t="s">
        <v>2579</v>
      </c>
      <c r="H95" s="18" t="str">
        <f t="array" ref="H95">_xlfn.XLOOKUP(E:E,'Calificación consecuencia'!B:B,'Calificación consecuencia'!K:K,"No encontrada",2)</f>
        <v>Baja</v>
      </c>
      <c r="I95" s="27" t="s">
        <v>425</v>
      </c>
      <c r="J95" s="29" t="s">
        <v>120</v>
      </c>
      <c r="K95" s="30" t="s">
        <v>116</v>
      </c>
      <c r="L95" s="21"/>
      <c r="M95" s="21"/>
      <c r="N95" s="21"/>
      <c r="O95" s="21"/>
      <c r="P95" s="21"/>
      <c r="Q95" s="21"/>
      <c r="R95" s="21"/>
      <c r="S95" s="21"/>
      <c r="T95" s="21"/>
      <c r="U95" s="27" t="s">
        <v>439</v>
      </c>
      <c r="V95" s="27" t="s">
        <v>440</v>
      </c>
    </row>
    <row r="96" ht="14.25" customHeight="1">
      <c r="A96" s="27" t="s">
        <v>210</v>
      </c>
      <c r="B96" s="27" t="s">
        <v>209</v>
      </c>
      <c r="C96" s="27" t="str">
        <f t="array" ref="C96">INDEX(Funciones!$G$2:$G$372,MATCH($A96,Funciones!$B$2:$B$372,0))</f>
        <v>Suministrar caudal de emergencia [ESTÁNDAR POR CONFIRMAR]</v>
      </c>
      <c r="D96" s="27" t="s">
        <v>2607</v>
      </c>
      <c r="E96" s="27" t="s">
        <v>982</v>
      </c>
      <c r="F96" s="27" t="s">
        <v>2608</v>
      </c>
      <c r="G96" s="27" t="s">
        <v>2609</v>
      </c>
      <c r="H96" s="18" t="str">
        <f t="array" ref="H96">_xlfn.XLOOKUP(E:E,'Calificación consecuencia'!B:B,'Calificación consecuencia'!K:K,"No encontrada",2)</f>
        <v>Baja</v>
      </c>
      <c r="I96" s="27" t="s">
        <v>1800</v>
      </c>
      <c r="J96" s="29" t="s">
        <v>120</v>
      </c>
      <c r="K96" s="30" t="s">
        <v>116</v>
      </c>
      <c r="L96" s="21"/>
      <c r="M96" s="21"/>
      <c r="N96" s="21"/>
      <c r="O96" s="21"/>
      <c r="P96" s="21"/>
      <c r="Q96" s="21"/>
      <c r="R96" s="21"/>
      <c r="S96" s="21"/>
      <c r="T96" s="21"/>
      <c r="U96" s="27" t="s">
        <v>439</v>
      </c>
      <c r="V96" s="27" t="s">
        <v>440</v>
      </c>
    </row>
    <row r="97" ht="14.25" customHeight="1">
      <c r="A97" s="27" t="s">
        <v>210</v>
      </c>
      <c r="B97" s="27" t="s">
        <v>209</v>
      </c>
      <c r="C97" s="27" t="str">
        <f t="array" ref="C97">INDEX(Funciones!$G$2:$G$372,MATCH($A97,Funciones!$B$2:$B$372,0))</f>
        <v>Suministrar caudal de emergencia [ESTÁNDAR POR CONFIRMAR]</v>
      </c>
      <c r="D97" s="27" t="s">
        <v>2607</v>
      </c>
      <c r="E97" s="27" t="s">
        <v>990</v>
      </c>
      <c r="F97" s="27" t="s">
        <v>2642</v>
      </c>
      <c r="G97" s="27" t="s">
        <v>2643</v>
      </c>
      <c r="H97" s="18" t="str">
        <f t="array" ref="H97">_xlfn.XLOOKUP(E:E,'Calificación consecuencia'!B:B,'Calificación consecuencia'!K:K,"No encontrada",2)</f>
        <v>Media</v>
      </c>
      <c r="I97" s="27" t="s">
        <v>1800</v>
      </c>
      <c r="J97" s="29" t="s">
        <v>120</v>
      </c>
      <c r="K97" s="30" t="s">
        <v>116</v>
      </c>
      <c r="L97" s="21"/>
      <c r="M97" s="21"/>
      <c r="N97" s="21"/>
      <c r="O97" s="21"/>
      <c r="P97" s="21"/>
      <c r="Q97" s="21"/>
      <c r="R97" s="21"/>
      <c r="S97" s="21"/>
      <c r="T97" s="21"/>
      <c r="U97" s="27" t="s">
        <v>439</v>
      </c>
      <c r="V97" s="27" t="s">
        <v>440</v>
      </c>
    </row>
    <row r="98" ht="14.25" customHeight="1">
      <c r="A98" s="9" t="s">
        <v>222</v>
      </c>
      <c r="B98" s="9" t="s">
        <v>221</v>
      </c>
      <c r="C98" s="9" t="str">
        <f t="array" ref="C98">INDEX(Funciones!$G$2:$G$372,MATCH($A98,Funciones!$B$2:$B$372,0))</f>
        <v>Suministrar caudal de aire [ESTÁNDAR POR CONFIRMAR]</v>
      </c>
      <c r="D98" s="9" t="s">
        <v>2656</v>
      </c>
      <c r="E98" s="9" t="s">
        <v>999</v>
      </c>
      <c r="F98" s="9" t="s">
        <v>2657</v>
      </c>
      <c r="G98" s="9" t="s">
        <v>2658</v>
      </c>
      <c r="H98" s="18" t="str">
        <f t="array" ref="H98">_xlfn.XLOOKUP(E:E,'Calificación consecuencia'!B:B,'Calificación consecuencia'!K:K,"No encontrada",2)</f>
        <v>Media</v>
      </c>
      <c r="I98" s="9" t="s">
        <v>1800</v>
      </c>
      <c r="J98" s="20" t="s">
        <v>116</v>
      </c>
      <c r="K98" s="21"/>
      <c r="L98" s="21"/>
      <c r="M98" s="20" t="s">
        <v>116</v>
      </c>
      <c r="N98" s="20" t="s">
        <v>116</v>
      </c>
      <c r="O98" s="21"/>
      <c r="P98" s="21"/>
      <c r="Q98" s="21"/>
      <c r="R98" s="21"/>
      <c r="S98" s="21"/>
      <c r="T98" s="21"/>
      <c r="U98" s="9" t="s">
        <v>195</v>
      </c>
      <c r="V98" s="9" t="s">
        <v>196</v>
      </c>
    </row>
    <row r="99" ht="14.25" customHeight="1">
      <c r="A99" s="9" t="s">
        <v>222</v>
      </c>
      <c r="B99" s="9" t="s">
        <v>221</v>
      </c>
      <c r="C99" s="9" t="str">
        <f t="array" ref="C99">INDEX(Funciones!$G$2:$G$372,MATCH($A99,Funciones!$B$2:$B$372,0))</f>
        <v>Suministrar caudal de aire [ESTÁNDAR POR CONFIRMAR]</v>
      </c>
      <c r="D99" s="9" t="s">
        <v>2656</v>
      </c>
      <c r="E99" s="9" t="s">
        <v>1005</v>
      </c>
      <c r="F99" s="9" t="s">
        <v>2677</v>
      </c>
      <c r="G99" s="9" t="s">
        <v>2679</v>
      </c>
      <c r="H99" s="18" t="str">
        <f t="array" ref="H99">_xlfn.XLOOKUP(E:E,'Calificación consecuencia'!B:B,'Calificación consecuencia'!K:K,"No encontrada",2)</f>
        <v>Baja</v>
      </c>
      <c r="I99" s="9" t="s">
        <v>2694</v>
      </c>
      <c r="J99" s="20" t="s">
        <v>116</v>
      </c>
      <c r="K99" s="21"/>
      <c r="L99" s="21"/>
      <c r="M99" s="20" t="s">
        <v>116</v>
      </c>
      <c r="N99" s="20" t="s">
        <v>116</v>
      </c>
      <c r="O99" s="21"/>
      <c r="P99" s="21"/>
      <c r="Q99" s="21"/>
      <c r="R99" s="21"/>
      <c r="S99" s="21"/>
      <c r="T99" s="21"/>
      <c r="U99" s="9" t="s">
        <v>195</v>
      </c>
      <c r="V99" s="9" t="s">
        <v>196</v>
      </c>
    </row>
    <row r="100" ht="14.25" customHeight="1">
      <c r="A100" s="9" t="s">
        <v>222</v>
      </c>
      <c r="B100" s="9" t="s">
        <v>221</v>
      </c>
      <c r="C100" s="9" t="str">
        <f t="array" ref="C100">INDEX(Funciones!$G$2:$G$372,MATCH($A100,Funciones!$B$2:$B$372,0))</f>
        <v>Suministrar caudal de aire [ESTÁNDAR POR CONFIRMAR]</v>
      </c>
      <c r="D100" s="9" t="s">
        <v>2656</v>
      </c>
      <c r="E100" s="9" t="s">
        <v>1017</v>
      </c>
      <c r="F100" s="9" t="s">
        <v>2709</v>
      </c>
      <c r="G100" s="9" t="s">
        <v>2710</v>
      </c>
      <c r="H100" s="18" t="str">
        <f t="array" ref="H100">_xlfn.XLOOKUP(E:E,'Calificación consecuencia'!B:B,'Calificación consecuencia'!K:K,"No encontrada",2)</f>
        <v>Media</v>
      </c>
      <c r="I100" s="9" t="s">
        <v>1800</v>
      </c>
      <c r="J100" s="20" t="s">
        <v>116</v>
      </c>
      <c r="K100" s="21"/>
      <c r="L100" s="21"/>
      <c r="M100" s="20" t="s">
        <v>116</v>
      </c>
      <c r="N100" s="20" t="s">
        <v>116</v>
      </c>
      <c r="O100" s="21"/>
      <c r="P100" s="21"/>
      <c r="Q100" s="21"/>
      <c r="R100" s="21"/>
      <c r="S100" s="21"/>
      <c r="T100" s="21"/>
      <c r="U100" s="9" t="s">
        <v>195</v>
      </c>
      <c r="V100" s="9" t="s">
        <v>196</v>
      </c>
    </row>
    <row r="101" ht="14.25" customHeight="1">
      <c r="A101" s="9" t="s">
        <v>222</v>
      </c>
      <c r="B101" s="9" t="s">
        <v>221</v>
      </c>
      <c r="C101" s="9" t="str">
        <f t="array" ref="C101">INDEX(Funciones!$G$2:$G$372,MATCH($A101,Funciones!$B$2:$B$372,0))</f>
        <v>Suministrar caudal de aire [ESTÁNDAR POR CONFIRMAR]</v>
      </c>
      <c r="D101" s="9" t="s">
        <v>2740</v>
      </c>
      <c r="E101" s="9" t="s">
        <v>727</v>
      </c>
      <c r="F101" s="9" t="s">
        <v>2744</v>
      </c>
      <c r="G101" s="9" t="s">
        <v>1792</v>
      </c>
      <c r="H101" s="18" t="str">
        <f t="array" ref="H101">_xlfn.XLOOKUP(E:E,'Calificación consecuencia'!B:B,'Calificación consecuencia'!K:K,"No encontrada",2)</f>
        <v>Baja</v>
      </c>
      <c r="I101" s="9" t="s">
        <v>1800</v>
      </c>
      <c r="J101" s="20" t="s">
        <v>116</v>
      </c>
      <c r="K101" s="21"/>
      <c r="L101" s="21"/>
      <c r="M101" s="22" t="s">
        <v>120</v>
      </c>
      <c r="N101" s="21"/>
      <c r="O101" s="20" t="s">
        <v>116</v>
      </c>
      <c r="P101" s="20" t="s">
        <v>116</v>
      </c>
      <c r="Q101" s="21"/>
      <c r="R101" s="21"/>
      <c r="S101" s="21"/>
      <c r="T101" s="21"/>
      <c r="U101" s="9" t="s">
        <v>345</v>
      </c>
      <c r="V101" s="9" t="s">
        <v>196</v>
      </c>
    </row>
    <row r="102" ht="14.25" customHeight="1">
      <c r="A102" s="9" t="s">
        <v>222</v>
      </c>
      <c r="B102" s="9" t="s">
        <v>221</v>
      </c>
      <c r="C102" s="9" t="str">
        <f t="array" ref="C102">INDEX(Funciones!$G$2:$G$372,MATCH($A102,Funciones!$B$2:$B$372,0))</f>
        <v>Suministrar caudal de aire [ESTÁNDAR POR CONFIRMAR]</v>
      </c>
      <c r="D102" s="9" t="s">
        <v>2740</v>
      </c>
      <c r="E102" s="9" t="s">
        <v>1031</v>
      </c>
      <c r="F102" s="9" t="s">
        <v>2776</v>
      </c>
      <c r="G102" s="9" t="s">
        <v>2777</v>
      </c>
      <c r="H102" s="18" t="str">
        <f t="array" ref="H102">_xlfn.XLOOKUP(E:E,'Calificación consecuencia'!B:B,'Calificación consecuencia'!K:K,"No encontrada",2)</f>
        <v>Baja</v>
      </c>
      <c r="I102" s="9" t="s">
        <v>2106</v>
      </c>
      <c r="J102" s="20" t="s">
        <v>116</v>
      </c>
      <c r="K102" s="21"/>
      <c r="L102" s="21"/>
      <c r="M102" s="22" t="s">
        <v>120</v>
      </c>
      <c r="N102" s="21"/>
      <c r="O102" s="22" t="s">
        <v>120</v>
      </c>
      <c r="P102" s="21"/>
      <c r="Q102" s="21"/>
      <c r="R102" s="21"/>
      <c r="S102" s="22" t="s">
        <v>120</v>
      </c>
      <c r="T102" s="21"/>
      <c r="U102" s="9" t="s">
        <v>1680</v>
      </c>
      <c r="V102" s="9" t="s">
        <v>1408</v>
      </c>
    </row>
    <row r="103" ht="14.25" customHeight="1">
      <c r="A103" s="9" t="s">
        <v>222</v>
      </c>
      <c r="B103" s="9" t="s">
        <v>221</v>
      </c>
      <c r="C103" s="9" t="str">
        <f t="array" ref="C103">INDEX(Funciones!$G$2:$G$372,MATCH($A103,Funciones!$B$2:$B$372,0))</f>
        <v>Suministrar caudal de aire [ESTÁNDAR POR CONFIRMAR]</v>
      </c>
      <c r="D103" s="9" t="s">
        <v>2740</v>
      </c>
      <c r="E103" s="9" t="s">
        <v>1036</v>
      </c>
      <c r="F103" s="9" t="s">
        <v>2808</v>
      </c>
      <c r="G103" s="9" t="s">
        <v>2810</v>
      </c>
      <c r="H103" s="18" t="str">
        <f t="array" ref="H103">_xlfn.XLOOKUP(E:E,'Calificación consecuencia'!B:B,'Calificación consecuencia'!K:K,"No encontrada",2)</f>
        <v>Baja</v>
      </c>
      <c r="I103" s="9" t="s">
        <v>2106</v>
      </c>
      <c r="J103" s="20" t="s">
        <v>116</v>
      </c>
      <c r="K103" s="21"/>
      <c r="L103" s="21"/>
      <c r="M103" s="22" t="s">
        <v>120</v>
      </c>
      <c r="N103" s="21"/>
      <c r="O103" s="20" t="s">
        <v>116</v>
      </c>
      <c r="P103" s="20" t="s">
        <v>116</v>
      </c>
      <c r="Q103" s="21"/>
      <c r="R103" s="21"/>
      <c r="S103" s="21"/>
      <c r="T103" s="21"/>
      <c r="U103" s="9" t="s">
        <v>345</v>
      </c>
      <c r="V103" s="9" t="s">
        <v>196</v>
      </c>
    </row>
    <row r="104" ht="14.25" customHeight="1">
      <c r="A104" s="9" t="s">
        <v>222</v>
      </c>
      <c r="B104" s="9" t="s">
        <v>221</v>
      </c>
      <c r="C104" s="9" t="str">
        <f t="array" ref="C104">INDEX(Funciones!$G$2:$G$372,MATCH($A104,Funciones!$B$2:$B$372,0))</f>
        <v>Suministrar caudal de aire [ESTÁNDAR POR CONFIRMAR]</v>
      </c>
      <c r="D104" s="9" t="s">
        <v>2740</v>
      </c>
      <c r="E104" s="9" t="s">
        <v>1041</v>
      </c>
      <c r="F104" s="9" t="s">
        <v>2838</v>
      </c>
      <c r="G104" s="9" t="s">
        <v>2841</v>
      </c>
      <c r="H104" s="18" t="str">
        <f t="array" ref="H104">_xlfn.XLOOKUP(E:E,'Calificación consecuencia'!B:B,'Calificación consecuencia'!K:K,"No encontrada",2)</f>
        <v>Baja</v>
      </c>
      <c r="I104" s="9" t="s">
        <v>2106</v>
      </c>
      <c r="J104" s="20" t="s">
        <v>116</v>
      </c>
      <c r="K104" s="21"/>
      <c r="L104" s="21"/>
      <c r="M104" s="22" t="s">
        <v>120</v>
      </c>
      <c r="N104" s="21"/>
      <c r="O104" s="22" t="s">
        <v>120</v>
      </c>
      <c r="P104" s="21"/>
      <c r="Q104" s="21"/>
      <c r="R104" s="21"/>
      <c r="S104" s="22" t="s">
        <v>120</v>
      </c>
      <c r="T104" s="21"/>
      <c r="U104" s="9" t="s">
        <v>1680</v>
      </c>
      <c r="V104" s="9" t="s">
        <v>1408</v>
      </c>
    </row>
    <row r="105" ht="14.25" customHeight="1">
      <c r="A105" s="9" t="s">
        <v>222</v>
      </c>
      <c r="B105" s="9" t="s">
        <v>221</v>
      </c>
      <c r="C105" s="9" t="str">
        <f t="array" ref="C105">INDEX(Funciones!$G$2:$G$372,MATCH($A105,Funciones!$B$2:$B$372,0))</f>
        <v>Suministrar caudal de aire [ESTÁNDAR POR CONFIRMAR]</v>
      </c>
      <c r="D105" s="9" t="s">
        <v>2740</v>
      </c>
      <c r="E105" s="9" t="s">
        <v>1047</v>
      </c>
      <c r="F105" s="9" t="s">
        <v>2875</v>
      </c>
      <c r="G105" s="9" t="s">
        <v>1888</v>
      </c>
      <c r="H105" s="18" t="str">
        <f t="array" ref="H105">_xlfn.XLOOKUP(E:E,'Calificación consecuencia'!B:B,'Calificación consecuencia'!K:K,"No encontrada",2)</f>
        <v>Baja</v>
      </c>
      <c r="I105" s="9" t="s">
        <v>2106</v>
      </c>
      <c r="J105" s="20" t="s">
        <v>116</v>
      </c>
      <c r="K105" s="21"/>
      <c r="L105" s="21"/>
      <c r="M105" s="22" t="s">
        <v>120</v>
      </c>
      <c r="N105" s="21"/>
      <c r="O105" s="22" t="s">
        <v>120</v>
      </c>
      <c r="P105" s="21"/>
      <c r="Q105" s="21"/>
      <c r="R105" s="21"/>
      <c r="S105" s="22" t="s">
        <v>120</v>
      </c>
      <c r="T105" s="21"/>
      <c r="U105" s="9" t="s">
        <v>1680</v>
      </c>
      <c r="V105" s="9" t="s">
        <v>1408</v>
      </c>
    </row>
    <row r="106" ht="14.25" customHeight="1">
      <c r="A106" s="27" t="s">
        <v>231</v>
      </c>
      <c r="B106" s="27" t="s">
        <v>221</v>
      </c>
      <c r="C106" s="27" t="str">
        <f t="array" ref="C106">INDEX(Funciones!$G$2:$G$372,MATCH($A106,Funciones!$B$2:$B$372,0))</f>
        <v>Comprimir el refrigerante [ESTÁNDAR POR CONFIRMAR]</v>
      </c>
      <c r="D106" s="27" t="s">
        <v>2903</v>
      </c>
      <c r="E106" s="27" t="s">
        <v>1052</v>
      </c>
      <c r="F106" s="27" t="s">
        <v>2904</v>
      </c>
      <c r="G106" s="27" t="s">
        <v>2906</v>
      </c>
      <c r="H106" s="18" t="str">
        <f t="array" ref="H106">_xlfn.XLOOKUP(E:E,'Calificación consecuencia'!B:B,'Calificación consecuencia'!K:K,"No encontrada",2)</f>
        <v>Baja</v>
      </c>
      <c r="I106" s="27" t="s">
        <v>1800</v>
      </c>
      <c r="J106" s="30" t="s">
        <v>116</v>
      </c>
      <c r="K106" s="21"/>
      <c r="L106" s="21"/>
      <c r="M106" s="29" t="s">
        <v>120</v>
      </c>
      <c r="N106" s="21"/>
      <c r="O106" s="30" t="s">
        <v>116</v>
      </c>
      <c r="P106" s="30" t="s">
        <v>116</v>
      </c>
      <c r="Q106" s="21"/>
      <c r="R106" s="21"/>
      <c r="S106" s="21"/>
      <c r="T106" s="21"/>
      <c r="U106" s="27" t="s">
        <v>345</v>
      </c>
      <c r="V106" s="27" t="s">
        <v>196</v>
      </c>
    </row>
    <row r="107" ht="14.25" customHeight="1">
      <c r="A107" s="27" t="s">
        <v>231</v>
      </c>
      <c r="B107" s="27" t="s">
        <v>221</v>
      </c>
      <c r="C107" s="27" t="str">
        <f t="array" ref="C107">INDEX(Funciones!$G$2:$G$372,MATCH($A107,Funciones!$B$2:$B$372,0))</f>
        <v>Comprimir el refrigerante [ESTÁNDAR POR CONFIRMAR]</v>
      </c>
      <c r="D107" s="27" t="s">
        <v>2903</v>
      </c>
      <c r="E107" s="27" t="s">
        <v>1056</v>
      </c>
      <c r="F107" s="27" t="s">
        <v>2934</v>
      </c>
      <c r="G107" s="27" t="s">
        <v>2935</v>
      </c>
      <c r="H107" s="18" t="str">
        <f t="array" ref="H107">_xlfn.XLOOKUP(E:E,'Calificación consecuencia'!B:B,'Calificación consecuencia'!K:K,"No encontrada",2)</f>
        <v>Baja</v>
      </c>
      <c r="I107" s="27" t="s">
        <v>1800</v>
      </c>
      <c r="J107" s="30" t="s">
        <v>116</v>
      </c>
      <c r="K107" s="21"/>
      <c r="L107" s="21"/>
      <c r="M107" s="29" t="s">
        <v>120</v>
      </c>
      <c r="N107" s="21"/>
      <c r="O107" s="30" t="s">
        <v>116</v>
      </c>
      <c r="P107" s="30" t="s">
        <v>116</v>
      </c>
      <c r="Q107" s="21"/>
      <c r="R107" s="21"/>
      <c r="S107" s="21"/>
      <c r="T107" s="21"/>
      <c r="U107" s="27" t="s">
        <v>345</v>
      </c>
      <c r="V107" s="27" t="s">
        <v>196</v>
      </c>
    </row>
    <row r="108" ht="14.25" customHeight="1">
      <c r="A108" s="27" t="s">
        <v>231</v>
      </c>
      <c r="B108" s="27" t="s">
        <v>221</v>
      </c>
      <c r="C108" s="27" t="str">
        <f t="array" ref="C108">INDEX(Funciones!$G$2:$G$372,MATCH($A108,Funciones!$B$2:$B$372,0))</f>
        <v>Comprimir el refrigerante [ESTÁNDAR POR CONFIRMAR]</v>
      </c>
      <c r="D108" s="27" t="s">
        <v>2957</v>
      </c>
      <c r="E108" s="27" t="s">
        <v>1067</v>
      </c>
      <c r="F108" s="27" t="s">
        <v>2960</v>
      </c>
      <c r="G108" s="27" t="s">
        <v>2962</v>
      </c>
      <c r="H108" s="18" t="str">
        <f t="array" ref="H108">_xlfn.XLOOKUP(E:E,'Calificación consecuencia'!B:B,'Calificación consecuencia'!K:K,"No encontrada",2)</f>
        <v>Baja</v>
      </c>
      <c r="I108" s="27" t="s">
        <v>2106</v>
      </c>
      <c r="J108" s="30" t="s">
        <v>116</v>
      </c>
      <c r="K108" s="21"/>
      <c r="L108" s="21"/>
      <c r="M108" s="29" t="s">
        <v>120</v>
      </c>
      <c r="N108" s="21"/>
      <c r="O108" s="29" t="s">
        <v>120</v>
      </c>
      <c r="P108" s="21"/>
      <c r="Q108" s="21"/>
      <c r="R108" s="21"/>
      <c r="S108" s="29" t="s">
        <v>120</v>
      </c>
      <c r="T108" s="21"/>
      <c r="U108" s="27" t="s">
        <v>1680</v>
      </c>
      <c r="V108" s="27" t="s">
        <v>1408</v>
      </c>
    </row>
    <row r="109" ht="14.25" customHeight="1">
      <c r="A109" s="27" t="s">
        <v>231</v>
      </c>
      <c r="B109" s="27" t="s">
        <v>221</v>
      </c>
      <c r="C109" s="27" t="str">
        <f t="array" ref="C109">INDEX(Funciones!$G$2:$G$372,MATCH($A109,Funciones!$B$2:$B$372,0))</f>
        <v>Comprimir el refrigerante [ESTÁNDAR POR CONFIRMAR]</v>
      </c>
      <c r="D109" s="27" t="s">
        <v>2957</v>
      </c>
      <c r="E109" s="27" t="s">
        <v>1079</v>
      </c>
      <c r="F109" s="27" t="s">
        <v>2990</v>
      </c>
      <c r="G109" s="27" t="s">
        <v>2992</v>
      </c>
      <c r="H109" s="18" t="str">
        <f t="array" ref="H109">_xlfn.XLOOKUP(E:E,'Calificación consecuencia'!B:B,'Calificación consecuencia'!K:K,"No encontrada",2)</f>
        <v>Baja</v>
      </c>
      <c r="I109" s="27" t="s">
        <v>1800</v>
      </c>
      <c r="J109" s="30" t="s">
        <v>116</v>
      </c>
      <c r="K109" s="21"/>
      <c r="L109" s="21"/>
      <c r="M109" s="29" t="s">
        <v>120</v>
      </c>
      <c r="N109" s="21"/>
      <c r="O109" s="30" t="s">
        <v>116</v>
      </c>
      <c r="P109" s="30" t="s">
        <v>116</v>
      </c>
      <c r="Q109" s="21"/>
      <c r="R109" s="21"/>
      <c r="S109" s="21"/>
      <c r="T109" s="21"/>
      <c r="U109" s="27" t="s">
        <v>345</v>
      </c>
      <c r="V109" s="27" t="s">
        <v>196</v>
      </c>
    </row>
    <row r="110" ht="14.25" customHeight="1">
      <c r="A110" s="9" t="s">
        <v>238</v>
      </c>
      <c r="B110" s="9" t="s">
        <v>237</v>
      </c>
      <c r="C110" s="9" t="str">
        <f t="array" ref="C110">INDEX(Funciones!$G$2:$G$372,MATCH($A110,Funciones!$B$2:$B$372,0))</f>
        <v>Mantener la temperatura del aceite hidráulico por debajo de 80 °C</v>
      </c>
      <c r="D110" s="9" t="s">
        <v>3018</v>
      </c>
      <c r="E110" s="9" t="s">
        <v>1085</v>
      </c>
      <c r="F110" s="9" t="s">
        <v>3019</v>
      </c>
      <c r="G110" s="9" t="s">
        <v>3021</v>
      </c>
      <c r="H110" s="18" t="str">
        <f t="array" ref="H110">_xlfn.XLOOKUP(E:E,'Calificación consecuencia'!B:B,'Calificación consecuencia'!K:K,"No encontrada",2)</f>
        <v>Baja</v>
      </c>
      <c r="I110" s="9" t="s">
        <v>1800</v>
      </c>
      <c r="J110" s="20" t="s">
        <v>116</v>
      </c>
      <c r="K110" s="21"/>
      <c r="L110" s="21"/>
      <c r="M110" s="22" t="s">
        <v>120</v>
      </c>
      <c r="N110" s="21"/>
      <c r="O110" s="20" t="s">
        <v>116</v>
      </c>
      <c r="P110" s="20" t="s">
        <v>116</v>
      </c>
      <c r="Q110" s="21"/>
      <c r="R110" s="21"/>
      <c r="S110" s="21"/>
      <c r="T110" s="21"/>
      <c r="U110" s="9" t="s">
        <v>345</v>
      </c>
      <c r="V110" s="9" t="s">
        <v>196</v>
      </c>
    </row>
    <row r="111" ht="14.25" customHeight="1">
      <c r="A111" s="9" t="s">
        <v>238</v>
      </c>
      <c r="B111" s="9" t="s">
        <v>237</v>
      </c>
      <c r="C111" s="9" t="str">
        <f t="array" ref="C111">INDEX(Funciones!$G$2:$G$372,MATCH($A111,Funciones!$B$2:$B$372,0))</f>
        <v>Mantener la temperatura del aceite hidráulico por debajo de 80 °C</v>
      </c>
      <c r="D111" s="9" t="s">
        <v>3018</v>
      </c>
      <c r="E111" s="9" t="s">
        <v>1092</v>
      </c>
      <c r="F111" s="9" t="s">
        <v>3054</v>
      </c>
      <c r="G111" s="9" t="s">
        <v>3055</v>
      </c>
      <c r="H111" s="18" t="str">
        <f t="array" ref="H111">_xlfn.XLOOKUP(E:E,'Calificación consecuencia'!B:B,'Calificación consecuencia'!K:K,"No encontrada",2)</f>
        <v>Media</v>
      </c>
      <c r="I111" s="9" t="s">
        <v>1800</v>
      </c>
      <c r="J111" s="20" t="s">
        <v>116</v>
      </c>
      <c r="K111" s="21"/>
      <c r="L111" s="21"/>
      <c r="M111" s="22" t="s">
        <v>120</v>
      </c>
      <c r="N111" s="21"/>
      <c r="O111" s="20" t="s">
        <v>116</v>
      </c>
      <c r="P111" s="22" t="s">
        <v>120</v>
      </c>
      <c r="Q111" s="22" t="s">
        <v>120</v>
      </c>
      <c r="R111" s="22" t="s">
        <v>120</v>
      </c>
      <c r="S111" s="21"/>
      <c r="T111" s="21"/>
      <c r="U111" s="9" t="s">
        <v>230</v>
      </c>
      <c r="V111" s="9" t="s">
        <v>230</v>
      </c>
    </row>
    <row r="112" ht="14.25" customHeight="1">
      <c r="A112" s="9" t="s">
        <v>238</v>
      </c>
      <c r="B112" s="9" t="s">
        <v>237</v>
      </c>
      <c r="C112" s="9" t="str">
        <f t="array" ref="C112">INDEX(Funciones!$G$2:$G$372,MATCH($A112,Funciones!$B$2:$B$372,0))</f>
        <v>Mantener la temperatura del aceite hidráulico por debajo de 80 °C</v>
      </c>
      <c r="D112" s="9" t="s">
        <v>3112</v>
      </c>
      <c r="E112" s="9" t="s">
        <v>1098</v>
      </c>
      <c r="F112" s="9" t="s">
        <v>3115</v>
      </c>
      <c r="G112" s="9" t="s">
        <v>3118</v>
      </c>
      <c r="H112" s="18" t="str">
        <f t="array" ref="H112">_xlfn.XLOOKUP(E:E,'Calificación consecuencia'!B:B,'Calificación consecuencia'!K:K,"No encontrada",2)</f>
        <v>Baja</v>
      </c>
      <c r="I112" s="9" t="s">
        <v>2106</v>
      </c>
      <c r="J112" s="20" t="s">
        <v>116</v>
      </c>
      <c r="K112" s="21"/>
      <c r="L112" s="21"/>
      <c r="M112" s="22" t="s">
        <v>120</v>
      </c>
      <c r="N112" s="21"/>
      <c r="O112" s="22" t="s">
        <v>120</v>
      </c>
      <c r="P112" s="21"/>
      <c r="Q112" s="21"/>
      <c r="R112" s="21"/>
      <c r="S112" s="22" t="s">
        <v>120</v>
      </c>
      <c r="T112" s="21"/>
      <c r="U112" s="9" t="s">
        <v>1680</v>
      </c>
      <c r="V112" s="9" t="s">
        <v>1408</v>
      </c>
    </row>
    <row r="113" ht="14.25" customHeight="1">
      <c r="A113" s="9" t="s">
        <v>238</v>
      </c>
      <c r="B113" s="9" t="s">
        <v>237</v>
      </c>
      <c r="C113" s="9" t="str">
        <f t="array" ref="C113">INDEX(Funciones!$G$2:$G$372,MATCH($A113,Funciones!$B$2:$B$372,0))</f>
        <v>Mantener la temperatura del aceite hidráulico por debajo de 80 °C</v>
      </c>
      <c r="D113" s="9" t="s">
        <v>3112</v>
      </c>
      <c r="E113" s="9" t="s">
        <v>1102</v>
      </c>
      <c r="F113" s="9" t="s">
        <v>3146</v>
      </c>
      <c r="G113" s="9" t="s">
        <v>3147</v>
      </c>
      <c r="H113" s="18" t="str">
        <f t="array" ref="H113">_xlfn.XLOOKUP(E:E,'Calificación consecuencia'!B:B,'Calificación consecuencia'!K:K,"No encontrada",2)</f>
        <v>Baja</v>
      </c>
      <c r="I113" s="9" t="s">
        <v>2106</v>
      </c>
      <c r="J113" s="20" t="s">
        <v>116</v>
      </c>
      <c r="K113" s="21"/>
      <c r="L113" s="21"/>
      <c r="M113" s="22" t="s">
        <v>120</v>
      </c>
      <c r="N113" s="21"/>
      <c r="O113" s="22" t="s">
        <v>120</v>
      </c>
      <c r="P113" s="21"/>
      <c r="Q113" s="21"/>
      <c r="R113" s="21"/>
      <c r="S113" s="22" t="s">
        <v>120</v>
      </c>
      <c r="T113" s="21"/>
      <c r="U113" s="9" t="s">
        <v>1680</v>
      </c>
      <c r="V113" s="9" t="s">
        <v>1408</v>
      </c>
    </row>
    <row r="114" ht="14.25" customHeight="1">
      <c r="A114" s="27" t="s">
        <v>251</v>
      </c>
      <c r="B114" s="27" t="s">
        <v>250</v>
      </c>
      <c r="C114" s="27" t="str">
        <f t="array" ref="C114">INDEX(Funciones!$G$2:$G$372,MATCH($A114,Funciones!$B$2:$B$372,0))</f>
        <v>Soportar la carga vertical de 18 t por bogie</v>
      </c>
      <c r="D114" s="27" t="s">
        <v>3160</v>
      </c>
      <c r="E114" s="27" t="s">
        <v>1108</v>
      </c>
      <c r="F114" s="27" t="s">
        <v>3163</v>
      </c>
      <c r="G114" s="27" t="s">
        <v>3164</v>
      </c>
      <c r="H114" s="18" t="str">
        <f t="array" ref="H114">_xlfn.XLOOKUP(E:E,'Calificación consecuencia'!B:B,'Calificación consecuencia'!K:K,"No encontrada",2)</f>
        <v>Baja</v>
      </c>
      <c r="I114" s="27" t="s">
        <v>425</v>
      </c>
      <c r="J114" s="29" t="s">
        <v>120</v>
      </c>
      <c r="K114" s="30" t="s">
        <v>116</v>
      </c>
      <c r="L114" s="21"/>
      <c r="M114" s="21"/>
      <c r="N114" s="21"/>
      <c r="O114" s="21"/>
      <c r="P114" s="21"/>
      <c r="Q114" s="21"/>
      <c r="R114" s="21"/>
      <c r="S114" s="21"/>
      <c r="T114" s="21"/>
      <c r="U114" s="27" t="s">
        <v>439</v>
      </c>
      <c r="V114" s="27" t="s">
        <v>440</v>
      </c>
    </row>
    <row r="115" ht="14.25" customHeight="1">
      <c r="A115" s="27" t="s">
        <v>251</v>
      </c>
      <c r="B115" s="27" t="s">
        <v>250</v>
      </c>
      <c r="C115" s="27" t="str">
        <f t="array" ref="C115">INDEX(Funciones!$G$2:$G$372,MATCH($A115,Funciones!$B$2:$B$372,0))</f>
        <v>Soportar la carga vertical de 18 t por bogie</v>
      </c>
      <c r="D115" s="27" t="s">
        <v>3160</v>
      </c>
      <c r="E115" s="27" t="s">
        <v>1113</v>
      </c>
      <c r="F115" s="27" t="s">
        <v>3168</v>
      </c>
      <c r="G115" s="27" t="s">
        <v>3169</v>
      </c>
      <c r="H115" s="18" t="str">
        <f t="array" ref="H115">_xlfn.XLOOKUP(E:E,'Calificación consecuencia'!B:B,'Calificación consecuencia'!K:K,"No encontrada",2)</f>
        <v>Baja</v>
      </c>
      <c r="I115" s="27" t="s">
        <v>2694</v>
      </c>
      <c r="J115" s="29" t="s">
        <v>120</v>
      </c>
      <c r="K115" s="30" t="s">
        <v>116</v>
      </c>
      <c r="L115" s="21"/>
      <c r="M115" s="21"/>
      <c r="N115" s="21"/>
      <c r="O115" s="21"/>
      <c r="P115" s="21"/>
      <c r="Q115" s="21"/>
      <c r="R115" s="21"/>
      <c r="S115" s="21"/>
      <c r="T115" s="21"/>
      <c r="U115" s="27" t="s">
        <v>439</v>
      </c>
      <c r="V115" s="27" t="s">
        <v>440</v>
      </c>
    </row>
    <row r="116" ht="14.25" customHeight="1">
      <c r="A116" s="27" t="s">
        <v>251</v>
      </c>
      <c r="B116" s="27" t="s">
        <v>250</v>
      </c>
      <c r="C116" s="27" t="str">
        <f t="array" ref="C116">INDEX(Funciones!$G$2:$G$372,MATCH($A116,Funciones!$B$2:$B$372,0))</f>
        <v>Soportar la carga vertical de 18 t por bogie</v>
      </c>
      <c r="D116" s="27" t="s">
        <v>3181</v>
      </c>
      <c r="E116" s="27" t="s">
        <v>1119</v>
      </c>
      <c r="F116" s="27" t="s">
        <v>3184</v>
      </c>
      <c r="G116" s="27" t="s">
        <v>3186</v>
      </c>
      <c r="H116" s="18" t="str">
        <f t="array" ref="H116">_xlfn.XLOOKUP(E:E,'Calificación consecuencia'!B:B,'Calificación consecuencia'!K:K,"No encontrada",2)</f>
        <v>Media</v>
      </c>
      <c r="I116" s="27" t="s">
        <v>1351</v>
      </c>
      <c r="J116" s="29" t="s">
        <v>120</v>
      </c>
      <c r="K116" s="30" t="s">
        <v>116</v>
      </c>
      <c r="L116" s="21"/>
      <c r="M116" s="21"/>
      <c r="N116" s="21"/>
      <c r="O116" s="21"/>
      <c r="P116" s="21"/>
      <c r="Q116" s="21"/>
      <c r="R116" s="21"/>
      <c r="S116" s="21"/>
      <c r="T116" s="21"/>
      <c r="U116" s="27" t="s">
        <v>439</v>
      </c>
      <c r="V116" s="27" t="s">
        <v>440</v>
      </c>
    </row>
    <row r="117" ht="14.25" customHeight="1">
      <c r="A117" s="27" t="s">
        <v>251</v>
      </c>
      <c r="B117" s="27" t="s">
        <v>250</v>
      </c>
      <c r="C117" s="27" t="str">
        <f t="array" ref="C117">INDEX(Funciones!$G$2:$G$372,MATCH($A117,Funciones!$B$2:$B$372,0))</f>
        <v>Soportar la carga vertical de 18 t por bogie</v>
      </c>
      <c r="D117" s="27" t="s">
        <v>3181</v>
      </c>
      <c r="E117" s="27" t="s">
        <v>1124</v>
      </c>
      <c r="F117" s="27" t="s">
        <v>3199</v>
      </c>
      <c r="G117" s="27" t="s">
        <v>3200</v>
      </c>
      <c r="H117" s="18" t="str">
        <f t="array" ref="H117">_xlfn.XLOOKUP(E:E,'Calificación consecuencia'!B:B,'Calificación consecuencia'!K:K,"No encontrada",2)</f>
        <v>Baja</v>
      </c>
      <c r="I117" s="27" t="s">
        <v>1351</v>
      </c>
      <c r="J117" s="29" t="s">
        <v>120</v>
      </c>
      <c r="K117" s="30" t="s">
        <v>116</v>
      </c>
      <c r="L117" s="21"/>
      <c r="M117" s="21"/>
      <c r="N117" s="21"/>
      <c r="O117" s="21"/>
      <c r="P117" s="21"/>
      <c r="Q117" s="21"/>
      <c r="R117" s="21"/>
      <c r="S117" s="21"/>
      <c r="T117" s="21"/>
      <c r="U117" s="27" t="s">
        <v>439</v>
      </c>
      <c r="V117" s="27" t="s">
        <v>440</v>
      </c>
    </row>
    <row r="118" ht="14.25" customHeight="1">
      <c r="A118" s="9" t="s">
        <v>264</v>
      </c>
      <c r="B118" s="9" t="s">
        <v>250</v>
      </c>
      <c r="C118" s="9" t="str">
        <f t="array" ref="C118">INDEX(Funciones!$G$2:$G$372,MATCH($A118,Funciones!$B$2:$B$372,0))</f>
        <v>Impedir el remonte de pestaña con cota qR ≥ 6,5 mm</v>
      </c>
      <c r="D118" s="9" t="s">
        <v>3220</v>
      </c>
      <c r="E118" s="9" t="s">
        <v>1127</v>
      </c>
      <c r="F118" s="9" t="s">
        <v>3221</v>
      </c>
      <c r="G118" s="9" t="s">
        <v>3222</v>
      </c>
      <c r="H118" s="18" t="str">
        <f t="array" ref="H118">_xlfn.XLOOKUP(E:E,'Calificación consecuencia'!B:B,'Calificación consecuencia'!K:K,"No encontrada",2)</f>
        <v>Baja</v>
      </c>
      <c r="I118" s="9" t="s">
        <v>425</v>
      </c>
      <c r="J118" s="22" t="s">
        <v>120</v>
      </c>
      <c r="K118" s="20" t="s">
        <v>116</v>
      </c>
      <c r="L118" s="21"/>
      <c r="M118" s="21"/>
      <c r="N118" s="21"/>
      <c r="O118" s="21"/>
      <c r="P118" s="21"/>
      <c r="Q118" s="21"/>
      <c r="R118" s="21"/>
      <c r="S118" s="21"/>
      <c r="T118" s="21"/>
      <c r="U118" s="9" t="s">
        <v>439</v>
      </c>
      <c r="V118" s="9" t="s">
        <v>440</v>
      </c>
    </row>
    <row r="119" ht="14.25" customHeight="1">
      <c r="A119" s="9" t="s">
        <v>264</v>
      </c>
      <c r="B119" s="9" t="s">
        <v>250</v>
      </c>
      <c r="C119" s="9" t="str">
        <f t="array" ref="C119">INDEX(Funciones!$G$2:$G$372,MATCH($A119,Funciones!$B$2:$B$372,0))</f>
        <v>Impedir el remonte de pestaña con cota qR ≥ 6,5 mm</v>
      </c>
      <c r="D119" s="9" t="s">
        <v>3230</v>
      </c>
      <c r="E119" s="9" t="s">
        <v>1134</v>
      </c>
      <c r="F119" s="9" t="s">
        <v>3231</v>
      </c>
      <c r="G119" s="9" t="s">
        <v>3232</v>
      </c>
      <c r="H119" s="18" t="str">
        <f t="array" ref="H119">_xlfn.XLOOKUP(E:E,'Calificación consecuencia'!B:B,'Calificación consecuencia'!K:K,"No encontrada",2)</f>
        <v>Media</v>
      </c>
      <c r="I119" s="9" t="s">
        <v>1800</v>
      </c>
      <c r="J119" s="22" t="s">
        <v>120</v>
      </c>
      <c r="K119" s="20" t="s">
        <v>116</v>
      </c>
      <c r="L119" s="21"/>
      <c r="M119" s="21"/>
      <c r="N119" s="21"/>
      <c r="O119" s="21"/>
      <c r="P119" s="21"/>
      <c r="Q119" s="21"/>
      <c r="R119" s="21"/>
      <c r="S119" s="21"/>
      <c r="T119" s="21"/>
      <c r="U119" s="9" t="s">
        <v>439</v>
      </c>
      <c r="V119" s="9" t="s">
        <v>440</v>
      </c>
    </row>
    <row r="120" ht="14.25" customHeight="1">
      <c r="A120" s="9" t="s">
        <v>264</v>
      </c>
      <c r="B120" s="9" t="s">
        <v>250</v>
      </c>
      <c r="C120" s="9" t="str">
        <f t="array" ref="C120">INDEX(Funciones!$G$2:$G$372,MATCH($A120,Funciones!$B$2:$B$372,0))</f>
        <v>Impedir el remonte de pestaña con cota qR ≥ 6,5 mm</v>
      </c>
      <c r="D120" s="9" t="s">
        <v>3230</v>
      </c>
      <c r="E120" s="9" t="s">
        <v>1141</v>
      </c>
      <c r="F120" s="9" t="s">
        <v>3250</v>
      </c>
      <c r="G120" s="9" t="s">
        <v>3251</v>
      </c>
      <c r="H120" s="18" t="str">
        <f t="array" ref="H120">_xlfn.XLOOKUP(E:E,'Calificación consecuencia'!B:B,'Calificación consecuencia'!K:K,"No encontrada",2)</f>
        <v>Media</v>
      </c>
      <c r="I120" s="9" t="s">
        <v>425</v>
      </c>
      <c r="J120" s="22" t="s">
        <v>120</v>
      </c>
      <c r="K120" s="20" t="s">
        <v>116</v>
      </c>
      <c r="L120" s="21"/>
      <c r="M120" s="21"/>
      <c r="N120" s="21"/>
      <c r="O120" s="21"/>
      <c r="P120" s="21"/>
      <c r="Q120" s="21"/>
      <c r="R120" s="21"/>
      <c r="S120" s="21"/>
      <c r="T120" s="21"/>
      <c r="U120" s="9" t="s">
        <v>439</v>
      </c>
      <c r="V120" s="9" t="s">
        <v>440</v>
      </c>
    </row>
    <row r="121" ht="14.25" customHeight="1">
      <c r="A121" s="9" t="s">
        <v>264</v>
      </c>
      <c r="B121" s="9" t="s">
        <v>250</v>
      </c>
      <c r="C121" s="9" t="str">
        <f t="array" ref="C121">INDEX(Funciones!$G$2:$G$372,MATCH($A121,Funciones!$B$2:$B$372,0))</f>
        <v>Impedir el remonte de pestaña con cota qR ≥ 6,5 mm</v>
      </c>
      <c r="D121" s="9" t="s">
        <v>3230</v>
      </c>
      <c r="E121" s="9" t="s">
        <v>1147</v>
      </c>
      <c r="F121" s="9" t="s">
        <v>3271</v>
      </c>
      <c r="G121" s="9" t="s">
        <v>3272</v>
      </c>
      <c r="H121" s="18" t="str">
        <f t="array" ref="H121">_xlfn.XLOOKUP(E:E,'Calificación consecuencia'!B:B,'Calificación consecuencia'!K:K,"No encontrada",2)</f>
        <v>Media</v>
      </c>
      <c r="I121" s="9" t="s">
        <v>1800</v>
      </c>
      <c r="J121" s="22" t="s">
        <v>120</v>
      </c>
      <c r="K121" s="20" t="s">
        <v>116</v>
      </c>
      <c r="L121" s="21"/>
      <c r="M121" s="21"/>
      <c r="N121" s="21"/>
      <c r="O121" s="21"/>
      <c r="P121" s="21"/>
      <c r="Q121" s="21"/>
      <c r="R121" s="21"/>
      <c r="S121" s="21"/>
      <c r="T121" s="21"/>
      <c r="U121" s="9" t="s">
        <v>439</v>
      </c>
      <c r="V121" s="9" t="s">
        <v>440</v>
      </c>
    </row>
    <row r="122" ht="14.25" customHeight="1">
      <c r="A122" s="27" t="s">
        <v>274</v>
      </c>
      <c r="B122" s="27" t="s">
        <v>273</v>
      </c>
      <c r="C122" s="27" t="str">
        <f t="array" ref="C122">INDEX(Funciones!$G$2:$G$372,MATCH($A122,Funciones!$B$2:$B$372,0))</f>
        <v>Impedir la entrada de agua con 0 filtraciones</v>
      </c>
      <c r="D122" s="27" t="s">
        <v>3277</v>
      </c>
      <c r="E122" s="27" t="s">
        <v>1157</v>
      </c>
      <c r="F122" s="27" t="s">
        <v>3278</v>
      </c>
      <c r="G122" s="27" t="s">
        <v>3279</v>
      </c>
      <c r="H122" s="18" t="str">
        <f t="array" ref="H122">_xlfn.XLOOKUP(E:E,'Calificación consecuencia'!B:B,'Calificación consecuencia'!K:K,"No encontrada",2)</f>
        <v>Baja</v>
      </c>
      <c r="I122" s="27" t="s">
        <v>2106</v>
      </c>
      <c r="J122" s="30" t="s">
        <v>116</v>
      </c>
      <c r="K122" s="21"/>
      <c r="L122" s="21"/>
      <c r="M122" s="29" t="s">
        <v>120</v>
      </c>
      <c r="N122" s="21"/>
      <c r="O122" s="30" t="s">
        <v>116</v>
      </c>
      <c r="P122" s="30" t="s">
        <v>116</v>
      </c>
      <c r="Q122" s="21"/>
      <c r="R122" s="21"/>
      <c r="S122" s="21"/>
      <c r="T122" s="21"/>
      <c r="U122" s="27" t="s">
        <v>345</v>
      </c>
      <c r="V122" s="27" t="s">
        <v>196</v>
      </c>
    </row>
    <row r="123" ht="14.25" customHeight="1">
      <c r="A123" s="27" t="s">
        <v>274</v>
      </c>
      <c r="B123" s="27" t="s">
        <v>273</v>
      </c>
      <c r="C123" s="27" t="str">
        <f t="array" ref="C123">INDEX(Funciones!$G$2:$G$372,MATCH($A123,Funciones!$B$2:$B$372,0))</f>
        <v>Impedir la entrada de agua con 0 filtraciones</v>
      </c>
      <c r="D123" s="27" t="s">
        <v>3280</v>
      </c>
      <c r="E123" s="27" t="s">
        <v>1167</v>
      </c>
      <c r="F123" s="27" t="s">
        <v>3281</v>
      </c>
      <c r="G123" s="27" t="s">
        <v>3282</v>
      </c>
      <c r="H123" s="18" t="str">
        <f t="array" ref="H123">_xlfn.XLOOKUP(E:E,'Calificación consecuencia'!B:B,'Calificación consecuencia'!K:K,"No encontrada",2)</f>
        <v>Baja</v>
      </c>
      <c r="I123" s="27" t="s">
        <v>2106</v>
      </c>
      <c r="J123" s="30" t="s">
        <v>116</v>
      </c>
      <c r="K123" s="21"/>
      <c r="L123" s="21"/>
      <c r="M123" s="29" t="s">
        <v>120</v>
      </c>
      <c r="N123" s="21"/>
      <c r="O123" s="29" t="s">
        <v>120</v>
      </c>
      <c r="P123" s="21"/>
      <c r="Q123" s="21"/>
      <c r="R123" s="21"/>
      <c r="S123" s="29" t="s">
        <v>120</v>
      </c>
      <c r="T123" s="21"/>
      <c r="U123" s="27" t="s">
        <v>1680</v>
      </c>
      <c r="V123" s="27" t="s">
        <v>1408</v>
      </c>
    </row>
    <row r="124" ht="14.25" customHeight="1">
      <c r="A124" s="27" t="s">
        <v>274</v>
      </c>
      <c r="B124" s="27" t="s">
        <v>273</v>
      </c>
      <c r="C124" s="27" t="str">
        <f t="array" ref="C124">INDEX(Funciones!$G$2:$G$372,MATCH($A124,Funciones!$B$2:$B$372,0))</f>
        <v>Impedir la entrada de agua con 0 filtraciones</v>
      </c>
      <c r="D124" s="27" t="s">
        <v>3280</v>
      </c>
      <c r="E124" s="27" t="s">
        <v>1176</v>
      </c>
      <c r="F124" s="27" t="s">
        <v>3283</v>
      </c>
      <c r="G124" s="27" t="s">
        <v>3284</v>
      </c>
      <c r="H124" s="18" t="str">
        <f t="array" ref="H124">_xlfn.XLOOKUP(E:E,'Calificación consecuencia'!B:B,'Calificación consecuencia'!K:K,"No encontrada",2)</f>
        <v>Baja</v>
      </c>
      <c r="I124" s="27" t="s">
        <v>2106</v>
      </c>
      <c r="J124" s="30" t="s">
        <v>116</v>
      </c>
      <c r="K124" s="21"/>
      <c r="L124" s="21"/>
      <c r="M124" s="29" t="s">
        <v>120</v>
      </c>
      <c r="N124" s="21"/>
      <c r="O124" s="29" t="s">
        <v>120</v>
      </c>
      <c r="P124" s="21"/>
      <c r="Q124" s="21"/>
      <c r="R124" s="21"/>
      <c r="S124" s="29" t="s">
        <v>120</v>
      </c>
      <c r="T124" s="21"/>
      <c r="U124" s="27" t="s">
        <v>1680</v>
      </c>
      <c r="V124" s="27" t="s">
        <v>1408</v>
      </c>
    </row>
    <row r="125" ht="14.25" customHeight="1">
      <c r="A125" s="27" t="s">
        <v>274</v>
      </c>
      <c r="B125" s="27" t="s">
        <v>273</v>
      </c>
      <c r="C125" s="27" t="str">
        <f t="array" ref="C125">INDEX(Funciones!$G$2:$G$372,MATCH($A125,Funciones!$B$2:$B$372,0))</f>
        <v>Impedir la entrada de agua con 0 filtraciones</v>
      </c>
      <c r="D125" s="27" t="s">
        <v>3280</v>
      </c>
      <c r="E125" s="27" t="s">
        <v>1184</v>
      </c>
      <c r="F125" s="27" t="s">
        <v>3285</v>
      </c>
      <c r="G125" s="27" t="s">
        <v>3286</v>
      </c>
      <c r="H125" s="18" t="str">
        <f t="array" ref="H125">_xlfn.XLOOKUP(E:E,'Calificación consecuencia'!B:B,'Calificación consecuencia'!K:K,"No encontrada",2)</f>
        <v>Baja</v>
      </c>
      <c r="I125" s="27" t="s">
        <v>2106</v>
      </c>
      <c r="J125" s="30" t="s">
        <v>116</v>
      </c>
      <c r="K125" s="21"/>
      <c r="L125" s="21"/>
      <c r="M125" s="29" t="s">
        <v>120</v>
      </c>
      <c r="N125" s="21"/>
      <c r="O125" s="29" t="s">
        <v>120</v>
      </c>
      <c r="P125" s="21"/>
      <c r="Q125" s="21"/>
      <c r="R125" s="21"/>
      <c r="S125" s="29" t="s">
        <v>120</v>
      </c>
      <c r="T125" s="21"/>
      <c r="U125" s="27" t="s">
        <v>1680</v>
      </c>
      <c r="V125" s="27" t="s">
        <v>1408</v>
      </c>
    </row>
    <row r="126" ht="14.25" customHeight="1">
      <c r="A126" s="9" t="s">
        <v>288</v>
      </c>
      <c r="B126" s="9" t="s">
        <v>287</v>
      </c>
      <c r="C126" s="9" t="str">
        <f t="array" ref="C126">INDEX(Funciones!$G$2:$G$372,MATCH($A126,Funciones!$B$2:$B$372,0))</f>
        <v>Suministrar la corriente de arranque con tensión mínima de 19,2 V</v>
      </c>
      <c r="D126" s="9" t="s">
        <v>3287</v>
      </c>
      <c r="E126" s="9" t="s">
        <v>1191</v>
      </c>
      <c r="F126" s="9" t="s">
        <v>3288</v>
      </c>
      <c r="G126" s="9" t="s">
        <v>3289</v>
      </c>
      <c r="H126" s="18" t="str">
        <f t="array" ref="H126">_xlfn.XLOOKUP(E:E,'Calificación consecuencia'!B:B,'Calificación consecuencia'!K:K,"No encontrada",2)</f>
        <v>Media</v>
      </c>
      <c r="I126" s="9" t="s">
        <v>339</v>
      </c>
      <c r="J126" s="20" t="s">
        <v>116</v>
      </c>
      <c r="K126" s="21"/>
      <c r="L126" s="21"/>
      <c r="M126" s="22" t="s">
        <v>120</v>
      </c>
      <c r="N126" s="21"/>
      <c r="O126" s="20" t="s">
        <v>116</v>
      </c>
      <c r="P126" s="22" t="s">
        <v>120</v>
      </c>
      <c r="Q126" s="20" t="s">
        <v>116</v>
      </c>
      <c r="R126" s="21"/>
      <c r="S126" s="21"/>
      <c r="T126" s="21"/>
      <c r="U126" s="9" t="s">
        <v>785</v>
      </c>
      <c r="V126" s="9" t="s">
        <v>786</v>
      </c>
    </row>
    <row r="127" ht="14.25" customHeight="1">
      <c r="A127" s="9" t="s">
        <v>288</v>
      </c>
      <c r="B127" s="9" t="s">
        <v>287</v>
      </c>
      <c r="C127" s="9" t="str">
        <f t="array" ref="C127">INDEX(Funciones!$G$2:$G$372,MATCH($A127,Funciones!$B$2:$B$372,0))</f>
        <v>Suministrar la corriente de arranque con tensión mínima de 19,2 V</v>
      </c>
      <c r="D127" s="9" t="s">
        <v>3287</v>
      </c>
      <c r="E127" s="9" t="s">
        <v>1195</v>
      </c>
      <c r="F127" s="9" t="s">
        <v>3290</v>
      </c>
      <c r="G127" s="9" t="s">
        <v>3291</v>
      </c>
      <c r="H127" s="18" t="str">
        <f t="array" ref="H127">_xlfn.XLOOKUP(E:E,'Calificación consecuencia'!B:B,'Calificación consecuencia'!K:K,"No encontrada",2)</f>
        <v>Baja</v>
      </c>
      <c r="I127" s="9" t="s">
        <v>339</v>
      </c>
      <c r="J127" s="20" t="s">
        <v>116</v>
      </c>
      <c r="K127" s="21"/>
      <c r="L127" s="21"/>
      <c r="M127" s="22" t="s">
        <v>120</v>
      </c>
      <c r="N127" s="21"/>
      <c r="O127" s="20" t="s">
        <v>116</v>
      </c>
      <c r="P127" s="22" t="s">
        <v>120</v>
      </c>
      <c r="Q127" s="20" t="s">
        <v>116</v>
      </c>
      <c r="R127" s="21"/>
      <c r="S127" s="21"/>
      <c r="T127" s="21"/>
      <c r="U127" s="9" t="s">
        <v>785</v>
      </c>
      <c r="V127" s="9" t="s">
        <v>786</v>
      </c>
    </row>
    <row r="128" ht="14.25" customHeight="1">
      <c r="A128" s="9" t="s">
        <v>288</v>
      </c>
      <c r="B128" s="9" t="s">
        <v>287</v>
      </c>
      <c r="C128" s="9" t="str">
        <f t="array" ref="C128">INDEX(Funciones!$G$2:$G$372,MATCH($A128,Funciones!$B$2:$B$372,0))</f>
        <v>Suministrar la corriente de arranque con tensión mínima de 19,2 V</v>
      </c>
      <c r="D128" s="9" t="s">
        <v>3287</v>
      </c>
      <c r="E128" s="9" t="s">
        <v>1204</v>
      </c>
      <c r="F128" s="9" t="s">
        <v>3292</v>
      </c>
      <c r="G128" s="9" t="s">
        <v>3293</v>
      </c>
      <c r="H128" s="18" t="str">
        <f t="array" ref="H128">_xlfn.XLOOKUP(E:E,'Calificación consecuencia'!B:B,'Calificación consecuencia'!K:K,"No encontrada",2)</f>
        <v>Baja</v>
      </c>
      <c r="I128" s="9" t="s">
        <v>339</v>
      </c>
      <c r="J128" s="20" t="s">
        <v>116</v>
      </c>
      <c r="K128" s="21"/>
      <c r="L128" s="21"/>
      <c r="M128" s="22" t="s">
        <v>120</v>
      </c>
      <c r="N128" s="21"/>
      <c r="O128" s="20" t="s">
        <v>116</v>
      </c>
      <c r="P128" s="22" t="s">
        <v>120</v>
      </c>
      <c r="Q128" s="22" t="s">
        <v>120</v>
      </c>
      <c r="R128" s="20" t="s">
        <v>116</v>
      </c>
      <c r="S128" s="21"/>
      <c r="T128" s="21"/>
      <c r="U128" s="9" t="s">
        <v>1680</v>
      </c>
      <c r="V128" s="9" t="s">
        <v>1408</v>
      </c>
    </row>
    <row r="129" ht="14.25" customHeight="1">
      <c r="A129" s="9" t="s">
        <v>288</v>
      </c>
      <c r="B129" s="9" t="s">
        <v>287</v>
      </c>
      <c r="C129" s="9" t="str">
        <f t="array" ref="C129">INDEX(Funciones!$G$2:$G$372,MATCH($A129,Funciones!$B$2:$B$372,0))</f>
        <v>Suministrar la corriente de arranque con tensión mínima de 19,2 V</v>
      </c>
      <c r="D129" s="9" t="s">
        <v>3287</v>
      </c>
      <c r="E129" s="9" t="s">
        <v>1210</v>
      </c>
      <c r="F129" s="9" t="s">
        <v>3297</v>
      </c>
      <c r="G129" s="9" t="s">
        <v>3298</v>
      </c>
      <c r="H129" s="18" t="str">
        <f t="array" ref="H129">_xlfn.XLOOKUP(E:E,'Calificación consecuencia'!B:B,'Calificación consecuencia'!K:K,"No encontrada",2)</f>
        <v>Media</v>
      </c>
      <c r="I129" s="9" t="s">
        <v>339</v>
      </c>
      <c r="J129" s="20" t="s">
        <v>116</v>
      </c>
      <c r="K129" s="21"/>
      <c r="L129" s="21"/>
      <c r="M129" s="22" t="s">
        <v>120</v>
      </c>
      <c r="N129" s="21"/>
      <c r="O129" s="20" t="s">
        <v>116</v>
      </c>
      <c r="P129" s="22" t="s">
        <v>120</v>
      </c>
      <c r="Q129" s="20" t="s">
        <v>116</v>
      </c>
      <c r="R129" s="21"/>
      <c r="S129" s="21"/>
      <c r="T129" s="21"/>
      <c r="U129" s="9" t="s">
        <v>785</v>
      </c>
      <c r="V129" s="9" t="s">
        <v>786</v>
      </c>
    </row>
    <row r="130" ht="14.25" customHeight="1">
      <c r="A130" s="9" t="s">
        <v>288</v>
      </c>
      <c r="B130" s="9" t="s">
        <v>287</v>
      </c>
      <c r="C130" s="9" t="str">
        <f t="array" ref="C130">INDEX(Funciones!$G$2:$G$372,MATCH($A130,Funciones!$B$2:$B$372,0))</f>
        <v>Suministrar la corriente de arranque con tensión mínima de 19,2 V</v>
      </c>
      <c r="D130" s="9" t="s">
        <v>3287</v>
      </c>
      <c r="E130" s="9" t="s">
        <v>1219</v>
      </c>
      <c r="F130" s="9" t="s">
        <v>3301</v>
      </c>
      <c r="G130" s="9" t="s">
        <v>3302</v>
      </c>
      <c r="H130" s="18" t="str">
        <f t="array" ref="H130">_xlfn.XLOOKUP(E:E,'Calificación consecuencia'!B:B,'Calificación consecuencia'!K:K,"No encontrada",2)</f>
        <v>Media</v>
      </c>
      <c r="I130" s="9" t="s">
        <v>339</v>
      </c>
      <c r="J130" s="20" t="s">
        <v>116</v>
      </c>
      <c r="K130" s="21"/>
      <c r="L130" s="21"/>
      <c r="M130" s="22" t="s">
        <v>120</v>
      </c>
      <c r="N130" s="21"/>
      <c r="O130" s="20" t="s">
        <v>116</v>
      </c>
      <c r="P130" s="22" t="s">
        <v>120</v>
      </c>
      <c r="Q130" s="20" t="s">
        <v>116</v>
      </c>
      <c r="R130" s="21"/>
      <c r="S130" s="21"/>
      <c r="T130" s="21"/>
      <c r="U130" s="9" t="s">
        <v>785</v>
      </c>
      <c r="V130" s="9" t="s">
        <v>786</v>
      </c>
    </row>
    <row r="131" ht="14.25" customHeight="1">
      <c r="A131" s="9" t="s">
        <v>288</v>
      </c>
      <c r="B131" s="9" t="s">
        <v>287</v>
      </c>
      <c r="C131" s="9" t="str">
        <f t="array" ref="C131">INDEX(Funciones!$G$2:$G$372,MATCH($A131,Funciones!$B$2:$B$372,0))</f>
        <v>Suministrar la corriente de arranque con tensión mínima de 19,2 V</v>
      </c>
      <c r="D131" s="9" t="s">
        <v>3304</v>
      </c>
      <c r="E131" s="9" t="s">
        <v>1228</v>
      </c>
      <c r="F131" s="9" t="s">
        <v>3305</v>
      </c>
      <c r="G131" s="9" t="s">
        <v>3306</v>
      </c>
      <c r="H131" s="18" t="str">
        <f t="array" ref="H131">_xlfn.XLOOKUP(E:E,'Calificación consecuencia'!B:B,'Calificación consecuencia'!K:K,"No encontrada",2)</f>
        <v>Baja</v>
      </c>
      <c r="I131" s="9" t="s">
        <v>2106</v>
      </c>
      <c r="J131" s="20" t="s">
        <v>116</v>
      </c>
      <c r="K131" s="21"/>
      <c r="L131" s="21"/>
      <c r="M131" s="22" t="s">
        <v>120</v>
      </c>
      <c r="N131" s="21"/>
      <c r="O131" s="22" t="s">
        <v>120</v>
      </c>
      <c r="P131" s="21"/>
      <c r="Q131" s="21"/>
      <c r="R131" s="21"/>
      <c r="S131" s="22" t="s">
        <v>120</v>
      </c>
      <c r="T131" s="21"/>
      <c r="U131" s="9" t="s">
        <v>1680</v>
      </c>
      <c r="V131" s="9" t="s">
        <v>1408</v>
      </c>
    </row>
    <row r="132" ht="14.25" customHeight="1">
      <c r="A132" s="9" t="s">
        <v>288</v>
      </c>
      <c r="B132" s="9" t="s">
        <v>287</v>
      </c>
      <c r="C132" s="9" t="str">
        <f t="array" ref="C132">INDEX(Funciones!$G$2:$G$372,MATCH($A132,Funciones!$B$2:$B$372,0))</f>
        <v>Suministrar la corriente de arranque con tensión mínima de 19,2 V</v>
      </c>
      <c r="D132" s="9" t="s">
        <v>3304</v>
      </c>
      <c r="E132" s="9" t="s">
        <v>1233</v>
      </c>
      <c r="F132" s="9" t="s">
        <v>3307</v>
      </c>
      <c r="G132" s="9" t="s">
        <v>3308</v>
      </c>
      <c r="H132" s="18" t="str">
        <f t="array" ref="H132">_xlfn.XLOOKUP(E:E,'Calificación consecuencia'!B:B,'Calificación consecuencia'!K:K,"No encontrada",2)</f>
        <v>Baja</v>
      </c>
      <c r="I132" s="9" t="s">
        <v>2106</v>
      </c>
      <c r="J132" s="20" t="s">
        <v>116</v>
      </c>
      <c r="K132" s="21"/>
      <c r="L132" s="21"/>
      <c r="M132" s="22" t="s">
        <v>120</v>
      </c>
      <c r="N132" s="21"/>
      <c r="O132" s="22" t="s">
        <v>120</v>
      </c>
      <c r="P132" s="21"/>
      <c r="Q132" s="21"/>
      <c r="R132" s="21"/>
      <c r="S132" s="22" t="s">
        <v>120</v>
      </c>
      <c r="T132" s="21"/>
      <c r="U132" s="9" t="s">
        <v>1680</v>
      </c>
      <c r="V132" s="9" t="s">
        <v>1408</v>
      </c>
    </row>
    <row r="133" ht="14.25" customHeight="1">
      <c r="A133" s="27" t="s">
        <v>299</v>
      </c>
      <c r="B133" s="27" t="s">
        <v>287</v>
      </c>
      <c r="C133" s="27" t="str">
        <f t="array" ref="C133">INDEX(Funciones!$G$2:$G$372,MATCH($A133,Funciones!$B$2:$B$372,0))</f>
        <v>Almacenar energía eléctrica con tensión mínima de 19,2 V</v>
      </c>
      <c r="D133" s="27" t="s">
        <v>3309</v>
      </c>
      <c r="E133" s="27" t="s">
        <v>1191</v>
      </c>
      <c r="F133" s="27" t="s">
        <v>3288</v>
      </c>
      <c r="G133" s="27" t="s">
        <v>3289</v>
      </c>
      <c r="H133" s="18" t="str">
        <f t="array" ref="H133">_xlfn.XLOOKUP(E:E,'Calificación consecuencia'!B:B,'Calificación consecuencia'!K:K,"No encontrada",2)</f>
        <v>Media</v>
      </c>
      <c r="I133" s="27" t="s">
        <v>339</v>
      </c>
      <c r="J133" s="30" t="s">
        <v>116</v>
      </c>
      <c r="K133" s="21"/>
      <c r="L133" s="21"/>
      <c r="M133" s="29" t="s">
        <v>120</v>
      </c>
      <c r="N133" s="21"/>
      <c r="O133" s="30" t="s">
        <v>116</v>
      </c>
      <c r="P133" s="29" t="s">
        <v>120</v>
      </c>
      <c r="Q133" s="30" t="s">
        <v>116</v>
      </c>
      <c r="R133" s="21"/>
      <c r="S133" s="21"/>
      <c r="T133" s="21"/>
      <c r="U133" s="27" t="s">
        <v>785</v>
      </c>
      <c r="V133" s="27" t="s">
        <v>786</v>
      </c>
    </row>
    <row r="134" ht="14.25" customHeight="1">
      <c r="A134" s="27" t="s">
        <v>299</v>
      </c>
      <c r="B134" s="27" t="s">
        <v>287</v>
      </c>
      <c r="C134" s="27" t="str">
        <f t="array" ref="C134">INDEX(Funciones!$G$2:$G$372,MATCH($A134,Funciones!$B$2:$B$372,0))</f>
        <v>Almacenar energía eléctrica con tensión mínima de 19,2 V</v>
      </c>
      <c r="D134" s="27" t="s">
        <v>3309</v>
      </c>
      <c r="E134" s="27" t="s">
        <v>1204</v>
      </c>
      <c r="F134" s="27" t="s">
        <v>3292</v>
      </c>
      <c r="G134" s="27" t="s">
        <v>3293</v>
      </c>
      <c r="H134" s="18" t="str">
        <f t="array" ref="H134">_xlfn.XLOOKUP(E:E,'Calificación consecuencia'!B:B,'Calificación consecuencia'!K:K,"No encontrada",2)</f>
        <v>Baja</v>
      </c>
      <c r="I134" s="27" t="s">
        <v>339</v>
      </c>
      <c r="J134" s="30" t="s">
        <v>116</v>
      </c>
      <c r="K134" s="21"/>
      <c r="L134" s="21"/>
      <c r="M134" s="29" t="s">
        <v>120</v>
      </c>
      <c r="N134" s="21"/>
      <c r="O134" s="30" t="s">
        <v>116</v>
      </c>
      <c r="P134" s="29" t="s">
        <v>120</v>
      </c>
      <c r="Q134" s="29" t="s">
        <v>120</v>
      </c>
      <c r="R134" s="30" t="s">
        <v>116</v>
      </c>
      <c r="S134" s="21"/>
      <c r="T134" s="21"/>
      <c r="U134" s="27" t="s">
        <v>1680</v>
      </c>
      <c r="V134" s="27" t="s">
        <v>1408</v>
      </c>
    </row>
    <row r="135" ht="14.25" customHeight="1">
      <c r="A135" s="27" t="s">
        <v>299</v>
      </c>
      <c r="B135" s="27" t="s">
        <v>287</v>
      </c>
      <c r="C135" s="27" t="str">
        <f t="array" ref="C135">INDEX(Funciones!$G$2:$G$372,MATCH($A135,Funciones!$B$2:$B$372,0))</f>
        <v>Almacenar energía eléctrica con tensión mínima de 19,2 V</v>
      </c>
      <c r="D135" s="27" t="s">
        <v>3310</v>
      </c>
      <c r="E135" s="27" t="s">
        <v>1228</v>
      </c>
      <c r="F135" s="27" t="s">
        <v>3305</v>
      </c>
      <c r="G135" s="27" t="s">
        <v>3306</v>
      </c>
      <c r="H135" s="18" t="str">
        <f t="array" ref="H135">_xlfn.XLOOKUP(E:E,'Calificación consecuencia'!B:B,'Calificación consecuencia'!K:K,"No encontrada",2)</f>
        <v>Baja</v>
      </c>
      <c r="I135" s="27" t="s">
        <v>2106</v>
      </c>
      <c r="J135" s="30" t="s">
        <v>116</v>
      </c>
      <c r="K135" s="21"/>
      <c r="L135" s="21"/>
      <c r="M135" s="29" t="s">
        <v>120</v>
      </c>
      <c r="N135" s="21"/>
      <c r="O135" s="29" t="s">
        <v>120</v>
      </c>
      <c r="P135" s="21"/>
      <c r="Q135" s="21"/>
      <c r="R135" s="21"/>
      <c r="S135" s="29" t="s">
        <v>120</v>
      </c>
      <c r="T135" s="21"/>
      <c r="U135" s="27" t="s">
        <v>1680</v>
      </c>
      <c r="V135" s="27" t="s">
        <v>1408</v>
      </c>
    </row>
    <row r="136" ht="14.25" customHeight="1">
      <c r="A136" s="9" t="s">
        <v>307</v>
      </c>
      <c r="B136" s="9" t="s">
        <v>306</v>
      </c>
      <c r="C136" s="9" t="str">
        <f t="array" ref="C136">INDEX(Funciones!$G$2:$G$372,MATCH($A136,Funciones!$B$2:$B$372,0))</f>
        <v>Presurizar los cilindros de freno entre 3,7 y 3,9 bar</v>
      </c>
      <c r="D136" s="9" t="s">
        <v>3311</v>
      </c>
      <c r="E136" s="9" t="s">
        <v>1246</v>
      </c>
      <c r="F136" s="9" t="s">
        <v>3312</v>
      </c>
      <c r="G136" s="9" t="s">
        <v>3313</v>
      </c>
      <c r="H136" s="18" t="str">
        <f t="array" ref="H136">_xlfn.XLOOKUP(E:E,'Calificación consecuencia'!B:B,'Calificación consecuencia'!K:K,"No encontrada",2)</f>
        <v>Media</v>
      </c>
      <c r="I136" s="9" t="s">
        <v>425</v>
      </c>
      <c r="J136" s="20" t="s">
        <v>116</v>
      </c>
      <c r="K136" s="21"/>
      <c r="L136" s="21"/>
      <c r="M136" s="20" t="s">
        <v>116</v>
      </c>
      <c r="N136" s="20" t="s">
        <v>116</v>
      </c>
      <c r="O136" s="21"/>
      <c r="P136" s="21"/>
      <c r="Q136" s="21"/>
      <c r="R136" s="21"/>
      <c r="S136" s="21"/>
      <c r="T136" s="21"/>
      <c r="U136" s="9" t="s">
        <v>195</v>
      </c>
      <c r="V136" s="9" t="s">
        <v>196</v>
      </c>
    </row>
    <row r="137" ht="14.25" customHeight="1">
      <c r="A137" s="9" t="s">
        <v>307</v>
      </c>
      <c r="B137" s="9" t="s">
        <v>306</v>
      </c>
      <c r="C137" s="9" t="str">
        <f t="array" ref="C137">INDEX(Funciones!$G$2:$G$372,MATCH($A137,Funciones!$B$2:$B$372,0))</f>
        <v>Presurizar los cilindros de freno entre 3,7 y 3,9 bar</v>
      </c>
      <c r="D137" s="9" t="s">
        <v>3311</v>
      </c>
      <c r="E137" s="9" t="s">
        <v>1248</v>
      </c>
      <c r="F137" s="9" t="s">
        <v>3314</v>
      </c>
      <c r="G137" s="9" t="s">
        <v>3315</v>
      </c>
      <c r="H137" s="18" t="str">
        <f t="array" ref="H137">_xlfn.XLOOKUP(E:E,'Calificación consecuencia'!B:B,'Calificación consecuencia'!K:K,"No encontrada",2)</f>
        <v>Media</v>
      </c>
      <c r="I137" s="9" t="s">
        <v>425</v>
      </c>
      <c r="J137" s="20" t="s">
        <v>116</v>
      </c>
      <c r="K137" s="21"/>
      <c r="L137" s="21"/>
      <c r="M137" s="20" t="s">
        <v>116</v>
      </c>
      <c r="N137" s="20" t="s">
        <v>116</v>
      </c>
      <c r="O137" s="21"/>
      <c r="P137" s="21"/>
      <c r="Q137" s="21"/>
      <c r="R137" s="21"/>
      <c r="S137" s="21"/>
      <c r="T137" s="21"/>
      <c r="U137" s="9" t="s">
        <v>195</v>
      </c>
      <c r="V137" s="9" t="s">
        <v>196</v>
      </c>
    </row>
    <row r="138" ht="14.25" customHeight="1">
      <c r="A138" s="9" t="s">
        <v>307</v>
      </c>
      <c r="B138" s="9" t="s">
        <v>306</v>
      </c>
      <c r="C138" s="9" t="str">
        <f t="array" ref="C138">INDEX(Funciones!$G$2:$G$372,MATCH($A138,Funciones!$B$2:$B$372,0))</f>
        <v>Presurizar los cilindros de freno entre 3,7 y 3,9 bar</v>
      </c>
      <c r="D138" s="9" t="s">
        <v>3316</v>
      </c>
      <c r="E138" s="9" t="s">
        <v>1255</v>
      </c>
      <c r="F138" s="9" t="s">
        <v>3318</v>
      </c>
      <c r="G138" s="9" t="s">
        <v>3319</v>
      </c>
      <c r="H138" s="18" t="str">
        <f t="array" ref="H138">_xlfn.XLOOKUP(E:E,'Calificación consecuencia'!B:B,'Calificación consecuencia'!K:K,"No encontrada",2)</f>
        <v>Baja</v>
      </c>
      <c r="I138" s="9" t="s">
        <v>425</v>
      </c>
      <c r="J138" s="20" t="s">
        <v>116</v>
      </c>
      <c r="K138" s="21"/>
      <c r="L138" s="21"/>
      <c r="M138" s="20" t="s">
        <v>116</v>
      </c>
      <c r="N138" s="20" t="s">
        <v>116</v>
      </c>
      <c r="O138" s="21"/>
      <c r="P138" s="21"/>
      <c r="Q138" s="21"/>
      <c r="R138" s="21"/>
      <c r="S138" s="21"/>
      <c r="T138" s="21"/>
      <c r="U138" s="9" t="s">
        <v>195</v>
      </c>
      <c r="V138" s="9" t="s">
        <v>196</v>
      </c>
    </row>
    <row r="139" ht="14.25" customHeight="1">
      <c r="A139" s="9" t="s">
        <v>307</v>
      </c>
      <c r="B139" s="9" t="s">
        <v>306</v>
      </c>
      <c r="C139" s="9" t="str">
        <f t="array" ref="C139">INDEX(Funciones!$G$2:$G$372,MATCH($A139,Funciones!$B$2:$B$372,0))</f>
        <v>Presurizar los cilindros de freno entre 3,7 y 3,9 bar</v>
      </c>
      <c r="D139" s="9" t="s">
        <v>3316</v>
      </c>
      <c r="E139" s="9" t="s">
        <v>1259</v>
      </c>
      <c r="F139" s="9" t="s">
        <v>3322</v>
      </c>
      <c r="G139" s="9" t="s">
        <v>3323</v>
      </c>
      <c r="H139" s="18" t="str">
        <f t="array" ref="H139">_xlfn.XLOOKUP(E:E,'Calificación consecuencia'!B:B,'Calificación consecuencia'!K:K,"No encontrada",2)</f>
        <v>Baja</v>
      </c>
      <c r="I139" s="9" t="s">
        <v>425</v>
      </c>
      <c r="J139" s="20" t="s">
        <v>116</v>
      </c>
      <c r="K139" s="21"/>
      <c r="L139" s="21"/>
      <c r="M139" s="20" t="s">
        <v>116</v>
      </c>
      <c r="N139" s="20" t="s">
        <v>116</v>
      </c>
      <c r="O139" s="21"/>
      <c r="P139" s="21"/>
      <c r="Q139" s="21"/>
      <c r="R139" s="21"/>
      <c r="S139" s="21"/>
      <c r="T139" s="21"/>
      <c r="U139" s="9" t="s">
        <v>195</v>
      </c>
      <c r="V139" s="9" t="s">
        <v>196</v>
      </c>
    </row>
    <row r="140" ht="14.25" customHeight="1">
      <c r="A140" s="9" t="s">
        <v>307</v>
      </c>
      <c r="B140" s="9" t="s">
        <v>306</v>
      </c>
      <c r="C140" s="9" t="str">
        <f t="array" ref="C140">INDEX(Funciones!$G$2:$G$372,MATCH($A140,Funciones!$B$2:$B$372,0))</f>
        <v>Presurizar los cilindros de freno entre 3,7 y 3,9 bar</v>
      </c>
      <c r="D140" s="9" t="s">
        <v>3324</v>
      </c>
      <c r="E140" s="9" t="s">
        <v>1265</v>
      </c>
      <c r="F140" s="9" t="s">
        <v>3325</v>
      </c>
      <c r="G140" s="9" t="s">
        <v>3326</v>
      </c>
      <c r="H140" s="18" t="str">
        <f t="array" ref="H140">_xlfn.XLOOKUP(E:E,'Calificación consecuencia'!B:B,'Calificación consecuencia'!K:K,"No encontrada",2)</f>
        <v>Media</v>
      </c>
      <c r="I140" s="9" t="s">
        <v>425</v>
      </c>
      <c r="J140" s="20" t="s">
        <v>116</v>
      </c>
      <c r="K140" s="21"/>
      <c r="L140" s="21"/>
      <c r="M140" s="20" t="s">
        <v>116</v>
      </c>
      <c r="N140" s="20" t="s">
        <v>116</v>
      </c>
      <c r="O140" s="21"/>
      <c r="P140" s="21"/>
      <c r="Q140" s="21"/>
      <c r="R140" s="21"/>
      <c r="S140" s="21"/>
      <c r="T140" s="21"/>
      <c r="U140" s="9" t="s">
        <v>195</v>
      </c>
      <c r="V140" s="9" t="s">
        <v>196</v>
      </c>
    </row>
    <row r="141" ht="14.25" customHeight="1">
      <c r="A141" s="9" t="s">
        <v>307</v>
      </c>
      <c r="B141" s="9" t="s">
        <v>306</v>
      </c>
      <c r="C141" s="9" t="str">
        <f t="array" ref="C141">INDEX(Funciones!$G$2:$G$372,MATCH($A141,Funciones!$B$2:$B$372,0))</f>
        <v>Presurizar los cilindros de freno entre 3,7 y 3,9 bar</v>
      </c>
      <c r="D141" s="9" t="s">
        <v>3329</v>
      </c>
      <c r="E141" s="9" t="s">
        <v>1275</v>
      </c>
      <c r="F141" s="9" t="s">
        <v>3330</v>
      </c>
      <c r="G141" s="9" t="s">
        <v>2473</v>
      </c>
      <c r="H141" s="18" t="str">
        <f t="array" ref="H141">_xlfn.XLOOKUP(E:E,'Calificación consecuencia'!B:B,'Calificación consecuencia'!K:K,"No encontrada",2)</f>
        <v>Baja</v>
      </c>
      <c r="I141" s="9" t="s">
        <v>425</v>
      </c>
      <c r="J141" s="20" t="s">
        <v>116</v>
      </c>
      <c r="K141" s="21"/>
      <c r="L141" s="21"/>
      <c r="M141" s="20" t="s">
        <v>116</v>
      </c>
      <c r="N141" s="20" t="s">
        <v>116</v>
      </c>
      <c r="O141" s="21"/>
      <c r="P141" s="21"/>
      <c r="Q141" s="21"/>
      <c r="R141" s="21"/>
      <c r="S141" s="21"/>
      <c r="T141" s="21"/>
      <c r="U141" s="9" t="s">
        <v>195</v>
      </c>
      <c r="V141" s="9" t="s">
        <v>196</v>
      </c>
    </row>
    <row r="142" ht="14.25" customHeight="1">
      <c r="A142" s="27" t="s">
        <v>320</v>
      </c>
      <c r="B142" s="27" t="s">
        <v>319</v>
      </c>
      <c r="C142" s="27" t="str">
        <f t="array" ref="C142">INDEX(Funciones!$G$2:$G$372,MATCH($A142,Funciones!$B$2:$B$372,0))</f>
        <v>Lubricar los puntos de engrase a un máximo de 15 bar</v>
      </c>
      <c r="D142" s="27" t="s">
        <v>3334</v>
      </c>
      <c r="E142" s="27" t="s">
        <v>1284</v>
      </c>
      <c r="F142" s="27" t="s">
        <v>3335</v>
      </c>
      <c r="G142" s="27" t="s">
        <v>3336</v>
      </c>
      <c r="H142" s="18" t="str">
        <f t="array" ref="H142">_xlfn.XLOOKUP(E:E,'Calificación consecuencia'!B:B,'Calificación consecuencia'!K:K,"No encontrada",2)</f>
        <v>Media</v>
      </c>
      <c r="I142" s="27" t="s">
        <v>1800</v>
      </c>
      <c r="J142" s="29" t="s">
        <v>120</v>
      </c>
      <c r="K142" s="30" t="s">
        <v>116</v>
      </c>
      <c r="L142" s="21"/>
      <c r="M142" s="21"/>
      <c r="N142" s="21"/>
      <c r="O142" s="21"/>
      <c r="P142" s="21"/>
      <c r="Q142" s="21"/>
      <c r="R142" s="21"/>
      <c r="S142" s="21"/>
      <c r="T142" s="21"/>
      <c r="U142" s="27" t="s">
        <v>439</v>
      </c>
      <c r="V142" s="27" t="s">
        <v>440</v>
      </c>
    </row>
    <row r="143" ht="14.25" customHeight="1">
      <c r="A143" s="27" t="s">
        <v>320</v>
      </c>
      <c r="B143" s="27" t="s">
        <v>319</v>
      </c>
      <c r="C143" s="27" t="str">
        <f t="array" ref="C143">INDEX(Funciones!$G$2:$G$372,MATCH($A143,Funciones!$B$2:$B$372,0))</f>
        <v>Lubricar los puntos de engrase a un máximo de 15 bar</v>
      </c>
      <c r="D143" s="27" t="s">
        <v>3334</v>
      </c>
      <c r="E143" s="27" t="s">
        <v>1286</v>
      </c>
      <c r="F143" s="27" t="s">
        <v>3340</v>
      </c>
      <c r="G143" s="27" t="s">
        <v>3341</v>
      </c>
      <c r="H143" s="18" t="str">
        <f t="array" ref="H143">_xlfn.XLOOKUP(E:E,'Calificación consecuencia'!B:B,'Calificación consecuencia'!K:K,"No encontrada",2)</f>
        <v>Baja</v>
      </c>
      <c r="I143" s="27" t="s">
        <v>2106</v>
      </c>
      <c r="J143" s="29" t="s">
        <v>120</v>
      </c>
      <c r="K143" s="30" t="s">
        <v>116</v>
      </c>
      <c r="L143" s="21"/>
      <c r="M143" s="21"/>
      <c r="N143" s="21"/>
      <c r="O143" s="21"/>
      <c r="P143" s="21"/>
      <c r="Q143" s="21"/>
      <c r="R143" s="21"/>
      <c r="S143" s="21"/>
      <c r="T143" s="21"/>
      <c r="U143" s="27" t="s">
        <v>439</v>
      </c>
      <c r="V143" s="27" t="s">
        <v>440</v>
      </c>
    </row>
    <row r="144" ht="14.25" customHeight="1">
      <c r="A144" s="27" t="s">
        <v>320</v>
      </c>
      <c r="B144" s="27" t="s">
        <v>319</v>
      </c>
      <c r="C144" s="27" t="str">
        <f t="array" ref="C144">INDEX(Funciones!$G$2:$G$372,MATCH($A144,Funciones!$B$2:$B$372,0))</f>
        <v>Lubricar los puntos de engrase a un máximo de 15 bar</v>
      </c>
      <c r="D144" s="27" t="s">
        <v>3334</v>
      </c>
      <c r="E144" s="27" t="s">
        <v>1289</v>
      </c>
      <c r="F144" s="27" t="s">
        <v>3344</v>
      </c>
      <c r="G144" s="27" t="s">
        <v>3345</v>
      </c>
      <c r="H144" s="18" t="str">
        <f t="array" ref="H144">_xlfn.XLOOKUP(E:E,'Calificación consecuencia'!B:B,'Calificación consecuencia'!K:K,"No encontrada",2)</f>
        <v>Baja</v>
      </c>
      <c r="I144" s="27" t="s">
        <v>2106</v>
      </c>
      <c r="J144" s="29" t="s">
        <v>120</v>
      </c>
      <c r="K144" s="30" t="s">
        <v>116</v>
      </c>
      <c r="L144" s="21"/>
      <c r="M144" s="21"/>
      <c r="N144" s="21"/>
      <c r="O144" s="21"/>
      <c r="P144" s="21"/>
      <c r="Q144" s="21"/>
      <c r="R144" s="21"/>
      <c r="S144" s="21"/>
      <c r="T144" s="21"/>
      <c r="U144" s="27" t="s">
        <v>439</v>
      </c>
      <c r="V144" s="27" t="s">
        <v>440</v>
      </c>
    </row>
    <row r="145" ht="14.25" customHeight="1">
      <c r="A145" s="27" t="s">
        <v>320</v>
      </c>
      <c r="B145" s="27" t="s">
        <v>319</v>
      </c>
      <c r="C145" s="27" t="str">
        <f t="array" ref="C145">INDEX(Funciones!$G$2:$G$372,MATCH($A145,Funciones!$B$2:$B$372,0))</f>
        <v>Lubricar los puntos de engrase a un máximo de 15 bar</v>
      </c>
      <c r="D145" s="27" t="s">
        <v>3346</v>
      </c>
      <c r="E145" s="27" t="s">
        <v>1292</v>
      </c>
      <c r="F145" s="27" t="s">
        <v>3347</v>
      </c>
      <c r="G145" s="27" t="s">
        <v>3348</v>
      </c>
      <c r="H145" s="18" t="str">
        <f t="array" ref="H145">_xlfn.XLOOKUP(E:E,'Calificación consecuencia'!B:B,'Calificación consecuencia'!K:K,"No encontrada",2)</f>
        <v>Baja</v>
      </c>
      <c r="I145" s="27" t="s">
        <v>1800</v>
      </c>
      <c r="J145" s="29" t="s">
        <v>120</v>
      </c>
      <c r="K145" s="30" t="s">
        <v>116</v>
      </c>
      <c r="L145" s="21"/>
      <c r="M145" s="21"/>
      <c r="N145" s="21"/>
      <c r="O145" s="21"/>
      <c r="P145" s="21"/>
      <c r="Q145" s="21"/>
      <c r="R145" s="21"/>
      <c r="S145" s="21"/>
      <c r="T145" s="21"/>
      <c r="U145" s="27" t="s">
        <v>439</v>
      </c>
      <c r="V145" s="27" t="s">
        <v>440</v>
      </c>
    </row>
    <row r="146" ht="14.25" customHeight="1">
      <c r="A146" s="27" t="s">
        <v>320</v>
      </c>
      <c r="B146" s="27" t="s">
        <v>319</v>
      </c>
      <c r="C146" s="27" t="str">
        <f t="array" ref="C146">INDEX(Funciones!$G$2:$G$372,MATCH($A146,Funciones!$B$2:$B$372,0))</f>
        <v>Lubricar los puntos de engrase a un máximo de 15 bar</v>
      </c>
      <c r="D146" s="27" t="s">
        <v>3349</v>
      </c>
      <c r="E146" s="27" t="s">
        <v>1299</v>
      </c>
      <c r="F146" s="27" t="s">
        <v>3350</v>
      </c>
      <c r="G146" s="27" t="s">
        <v>3351</v>
      </c>
      <c r="H146" s="18" t="str">
        <f t="array" ref="H146">_xlfn.XLOOKUP(E:E,'Calificación consecuencia'!B:B,'Calificación consecuencia'!K:K,"No encontrada",2)</f>
        <v>Baja</v>
      </c>
      <c r="I146" s="27" t="s">
        <v>2106</v>
      </c>
      <c r="J146" s="29" t="s">
        <v>120</v>
      </c>
      <c r="K146" s="30" t="s">
        <v>116</v>
      </c>
      <c r="L146" s="21"/>
      <c r="M146" s="21"/>
      <c r="N146" s="21"/>
      <c r="O146" s="21"/>
      <c r="P146" s="21"/>
      <c r="Q146" s="21"/>
      <c r="R146" s="21"/>
      <c r="S146" s="21"/>
      <c r="T146" s="21"/>
      <c r="U146" s="27" t="s">
        <v>439</v>
      </c>
      <c r="V146" s="27" t="s">
        <v>440</v>
      </c>
    </row>
    <row r="147" ht="14.25" customHeight="1">
      <c r="A147" s="9" t="s">
        <v>334</v>
      </c>
      <c r="B147" s="9" t="s">
        <v>333</v>
      </c>
      <c r="C147" s="9" t="str">
        <f t="array" ref="C147">INDEX(Funciones!$G$2:$G$372,MATCH($A147,Funciones!$B$2:$B$372,0))</f>
        <v>Transmitir el par motriz hasta 2.300 N.m</v>
      </c>
      <c r="D147" s="9" t="s">
        <v>3356</v>
      </c>
      <c r="E147" s="9" t="s">
        <v>1305</v>
      </c>
      <c r="F147" s="9" t="s">
        <v>3357</v>
      </c>
      <c r="G147" s="9" t="s">
        <v>3358</v>
      </c>
      <c r="H147" s="18" t="str">
        <f t="array" ref="H147">_xlfn.XLOOKUP(E:E,'Calificación consecuencia'!B:B,'Calificación consecuencia'!K:K,"No encontrada",2)</f>
        <v>Baja</v>
      </c>
      <c r="I147" s="9" t="s">
        <v>1800</v>
      </c>
      <c r="J147" s="20" t="s">
        <v>116</v>
      </c>
      <c r="K147" s="21"/>
      <c r="L147" s="21"/>
      <c r="M147" s="22" t="s">
        <v>120</v>
      </c>
      <c r="N147" s="21"/>
      <c r="O147" s="20" t="s">
        <v>116</v>
      </c>
      <c r="P147" s="20" t="s">
        <v>116</v>
      </c>
      <c r="Q147" s="21"/>
      <c r="R147" s="21"/>
      <c r="S147" s="21"/>
      <c r="T147" s="21"/>
      <c r="U147" s="9" t="s">
        <v>345</v>
      </c>
      <c r="V147" s="9" t="s">
        <v>196</v>
      </c>
    </row>
    <row r="148" ht="14.25" customHeight="1">
      <c r="A148" s="9" t="s">
        <v>334</v>
      </c>
      <c r="B148" s="9" t="s">
        <v>333</v>
      </c>
      <c r="C148" s="9" t="str">
        <f t="array" ref="C148">INDEX(Funciones!$G$2:$G$372,MATCH($A148,Funciones!$B$2:$B$372,0))</f>
        <v>Transmitir el par motriz hasta 2.300 N.m</v>
      </c>
      <c r="D148" s="9" t="s">
        <v>3356</v>
      </c>
      <c r="E148" s="9" t="s">
        <v>1311</v>
      </c>
      <c r="F148" s="9" t="s">
        <v>3363</v>
      </c>
      <c r="G148" s="9" t="s">
        <v>3364</v>
      </c>
      <c r="H148" s="18" t="str">
        <f t="array" ref="H148">_xlfn.XLOOKUP(E:E,'Calificación consecuencia'!B:B,'Calificación consecuencia'!K:K,"No encontrada",2)</f>
        <v>Baja</v>
      </c>
      <c r="I148" s="9" t="s">
        <v>1800</v>
      </c>
      <c r="J148" s="20" t="s">
        <v>116</v>
      </c>
      <c r="K148" s="21"/>
      <c r="L148" s="21"/>
      <c r="M148" s="22" t="s">
        <v>120</v>
      </c>
      <c r="N148" s="21"/>
      <c r="O148" s="20" t="s">
        <v>116</v>
      </c>
      <c r="P148" s="20" t="s">
        <v>116</v>
      </c>
      <c r="Q148" s="21"/>
      <c r="R148" s="21"/>
      <c r="S148" s="21"/>
      <c r="T148" s="21"/>
      <c r="U148" s="9" t="s">
        <v>345</v>
      </c>
      <c r="V148" s="9" t="s">
        <v>196</v>
      </c>
    </row>
    <row r="149" ht="14.25" customHeight="1">
      <c r="A149" s="9" t="s">
        <v>334</v>
      </c>
      <c r="B149" s="9" t="s">
        <v>333</v>
      </c>
      <c r="C149" s="9" t="str">
        <f t="array" ref="C149">INDEX(Funciones!$G$2:$G$372,MATCH($A149,Funciones!$B$2:$B$372,0))</f>
        <v>Transmitir el par motriz hasta 2.300 N.m</v>
      </c>
      <c r="D149" s="9" t="s">
        <v>3356</v>
      </c>
      <c r="E149" s="9" t="s">
        <v>1315</v>
      </c>
      <c r="F149" s="9" t="s">
        <v>3365</v>
      </c>
      <c r="G149" s="9" t="s">
        <v>3366</v>
      </c>
      <c r="H149" s="18" t="str">
        <f t="array" ref="H149">_xlfn.XLOOKUP(E:E,'Calificación consecuencia'!B:B,'Calificación consecuencia'!K:K,"No encontrada",2)</f>
        <v>Baja</v>
      </c>
      <c r="I149" s="9" t="s">
        <v>1800</v>
      </c>
      <c r="J149" s="20" t="s">
        <v>116</v>
      </c>
      <c r="K149" s="21"/>
      <c r="L149" s="21"/>
      <c r="M149" s="22" t="s">
        <v>120</v>
      </c>
      <c r="N149" s="21"/>
      <c r="O149" s="20" t="s">
        <v>116</v>
      </c>
      <c r="P149" s="20" t="s">
        <v>116</v>
      </c>
      <c r="Q149" s="21"/>
      <c r="R149" s="21"/>
      <c r="S149" s="21"/>
      <c r="T149" s="21"/>
      <c r="U149" s="9" t="s">
        <v>345</v>
      </c>
      <c r="V149" s="9" t="s">
        <v>196</v>
      </c>
    </row>
    <row r="150" ht="14.25" customHeight="1">
      <c r="A150" s="9" t="s">
        <v>334</v>
      </c>
      <c r="B150" s="9" t="s">
        <v>333</v>
      </c>
      <c r="C150" s="9" t="str">
        <f t="array" ref="C150">INDEX(Funciones!$G$2:$G$372,MATCH($A150,Funciones!$B$2:$B$372,0))</f>
        <v>Transmitir el par motriz hasta 2.300 N.m</v>
      </c>
      <c r="D150" s="9" t="s">
        <v>3367</v>
      </c>
      <c r="E150" s="9" t="s">
        <v>1325</v>
      </c>
      <c r="F150" s="9" t="s">
        <v>3368</v>
      </c>
      <c r="G150" s="9" t="s">
        <v>3369</v>
      </c>
      <c r="H150" s="18" t="str">
        <f t="array" ref="H150">_xlfn.XLOOKUP(E:E,'Calificación consecuencia'!B:B,'Calificación consecuencia'!K:K,"No encontrada",2)</f>
        <v>Baja</v>
      </c>
      <c r="I150" s="9" t="s">
        <v>1800</v>
      </c>
      <c r="J150" s="20" t="s">
        <v>116</v>
      </c>
      <c r="K150" s="21"/>
      <c r="L150" s="21"/>
      <c r="M150" s="22" t="s">
        <v>120</v>
      </c>
      <c r="N150" s="21"/>
      <c r="O150" s="20" t="s">
        <v>116</v>
      </c>
      <c r="P150" s="20" t="s">
        <v>116</v>
      </c>
      <c r="Q150" s="21"/>
      <c r="R150" s="21"/>
      <c r="S150" s="21"/>
      <c r="T150" s="21"/>
      <c r="U150" s="9" t="s">
        <v>345</v>
      </c>
      <c r="V150" s="9" t="s">
        <v>196</v>
      </c>
    </row>
    <row r="151" ht="14.25" customHeight="1">
      <c r="A151" s="9" t="s">
        <v>334</v>
      </c>
      <c r="B151" s="9" t="s">
        <v>333</v>
      </c>
      <c r="C151" s="9" t="str">
        <f t="array" ref="C151">INDEX(Funciones!$G$2:$G$372,MATCH($A151,Funciones!$B$2:$B$372,0))</f>
        <v>Transmitir el par motriz hasta 2.300 N.m</v>
      </c>
      <c r="D151" s="9" t="s">
        <v>3367</v>
      </c>
      <c r="E151" s="9" t="s">
        <v>1333</v>
      </c>
      <c r="F151" s="9" t="s">
        <v>3370</v>
      </c>
      <c r="G151" s="9" t="s">
        <v>3371</v>
      </c>
      <c r="H151" s="18" t="str">
        <f t="array" ref="H151">_xlfn.XLOOKUP(E:E,'Calificación consecuencia'!B:B,'Calificación consecuencia'!K:K,"No encontrada",2)</f>
        <v>Baja</v>
      </c>
      <c r="I151" s="9" t="s">
        <v>1800</v>
      </c>
      <c r="J151" s="20" t="s">
        <v>116</v>
      </c>
      <c r="K151" s="21"/>
      <c r="L151" s="21"/>
      <c r="M151" s="22" t="s">
        <v>120</v>
      </c>
      <c r="N151" s="21"/>
      <c r="O151" s="20" t="s">
        <v>116</v>
      </c>
      <c r="P151" s="20" t="s">
        <v>116</v>
      </c>
      <c r="Q151" s="21"/>
      <c r="R151" s="21"/>
      <c r="S151" s="21"/>
      <c r="T151" s="21"/>
      <c r="U151" s="9" t="s">
        <v>345</v>
      </c>
      <c r="V151" s="9" t="s">
        <v>196</v>
      </c>
    </row>
    <row r="152" ht="14.25" customHeight="1">
      <c r="A152" s="27" t="s">
        <v>229</v>
      </c>
      <c r="B152" s="27" t="s">
        <v>348</v>
      </c>
      <c r="C152" s="27" t="str">
        <f t="array" ref="C152">INDEX(Funciones!$G$2:$G$372,MATCH($A152,Funciones!$B$2:$B$372,0))</f>
        <v>Entregar potencia mecánica en un rango de 490 a 510 kW</v>
      </c>
      <c r="D152" s="27" t="s">
        <v>3372</v>
      </c>
      <c r="E152" s="27" t="s">
        <v>1339</v>
      </c>
      <c r="F152" s="27" t="s">
        <v>3373</v>
      </c>
      <c r="G152" s="27" t="s">
        <v>3374</v>
      </c>
      <c r="H152" s="18" t="str">
        <f t="array" ref="H152">_xlfn.XLOOKUP(E:E,'Calificación consecuencia'!B:B,'Calificación consecuencia'!K:K,"No encontrada",2)</f>
        <v>Media</v>
      </c>
      <c r="I152" s="27" t="s">
        <v>1800</v>
      </c>
      <c r="J152" s="30" t="s">
        <v>116</v>
      </c>
      <c r="K152" s="21"/>
      <c r="L152" s="21"/>
      <c r="M152" s="29" t="s">
        <v>120</v>
      </c>
      <c r="N152" s="21"/>
      <c r="O152" s="30" t="s">
        <v>116</v>
      </c>
      <c r="P152" s="30" t="s">
        <v>116</v>
      </c>
      <c r="Q152" s="21"/>
      <c r="R152" s="21"/>
      <c r="S152" s="21"/>
      <c r="T152" s="21"/>
      <c r="U152" s="27" t="s">
        <v>345</v>
      </c>
      <c r="V152" s="27" t="s">
        <v>196</v>
      </c>
    </row>
    <row r="153" ht="14.25" customHeight="1">
      <c r="A153" s="27" t="s">
        <v>229</v>
      </c>
      <c r="B153" s="27" t="s">
        <v>348</v>
      </c>
      <c r="C153" s="27" t="str">
        <f t="array" ref="C153">INDEX(Funciones!$G$2:$G$372,MATCH($A153,Funciones!$B$2:$B$372,0))</f>
        <v>Entregar potencia mecánica en un rango de 490 a 510 kW</v>
      </c>
      <c r="D153" s="27" t="s">
        <v>3372</v>
      </c>
      <c r="E153" s="27" t="s">
        <v>1341</v>
      </c>
      <c r="F153" s="27" t="s">
        <v>3375</v>
      </c>
      <c r="G153" s="27" t="s">
        <v>3376</v>
      </c>
      <c r="H153" s="18" t="str">
        <f t="array" ref="H153">_xlfn.XLOOKUP(E:E,'Calificación consecuencia'!B:B,'Calificación consecuencia'!K:K,"No encontrada",2)</f>
        <v>Media</v>
      </c>
      <c r="I153" s="27" t="s">
        <v>1800</v>
      </c>
      <c r="J153" s="30" t="s">
        <v>116</v>
      </c>
      <c r="K153" s="21"/>
      <c r="L153" s="21"/>
      <c r="M153" s="29" t="s">
        <v>120</v>
      </c>
      <c r="N153" s="21"/>
      <c r="O153" s="30" t="s">
        <v>116</v>
      </c>
      <c r="P153" s="30" t="s">
        <v>116</v>
      </c>
      <c r="Q153" s="21"/>
      <c r="R153" s="21"/>
      <c r="S153" s="21"/>
      <c r="T153" s="21"/>
      <c r="U153" s="27" t="s">
        <v>345</v>
      </c>
      <c r="V153" s="27" t="s">
        <v>196</v>
      </c>
    </row>
    <row r="154" ht="14.25" customHeight="1">
      <c r="A154" s="27" t="s">
        <v>229</v>
      </c>
      <c r="B154" s="27" t="s">
        <v>348</v>
      </c>
      <c r="C154" s="27" t="str">
        <f t="array" ref="C154">INDEX(Funciones!$G$2:$G$372,MATCH($A154,Funciones!$B$2:$B$372,0))</f>
        <v>Entregar potencia mecánica en un rango de 490 a 510 kW</v>
      </c>
      <c r="D154" s="27" t="s">
        <v>3372</v>
      </c>
      <c r="E154" s="27" t="s">
        <v>1345</v>
      </c>
      <c r="F154" s="27" t="s">
        <v>3377</v>
      </c>
      <c r="G154" s="27" t="s">
        <v>3378</v>
      </c>
      <c r="H154" s="18" t="str">
        <f t="array" ref="H154">_xlfn.XLOOKUP(E:E,'Calificación consecuencia'!B:B,'Calificación consecuencia'!K:K,"No encontrada",2)</f>
        <v>Baja</v>
      </c>
      <c r="I154" s="27" t="s">
        <v>2106</v>
      </c>
      <c r="J154" s="30" t="s">
        <v>116</v>
      </c>
      <c r="K154" s="21"/>
      <c r="L154" s="21"/>
      <c r="M154" s="29" t="s">
        <v>120</v>
      </c>
      <c r="N154" s="21"/>
      <c r="O154" s="29" t="s">
        <v>120</v>
      </c>
      <c r="P154" s="21"/>
      <c r="Q154" s="21"/>
      <c r="R154" s="21"/>
      <c r="S154" s="29" t="s">
        <v>120</v>
      </c>
      <c r="T154" s="21"/>
      <c r="U154" s="27" t="s">
        <v>1680</v>
      </c>
      <c r="V154" s="27" t="s">
        <v>1408</v>
      </c>
    </row>
    <row r="155" ht="14.25" customHeight="1">
      <c r="A155" s="27" t="s">
        <v>229</v>
      </c>
      <c r="B155" s="27" t="s">
        <v>348</v>
      </c>
      <c r="C155" s="27" t="str">
        <f t="array" ref="C155">INDEX(Funciones!$G$2:$G$372,MATCH($A155,Funciones!$B$2:$B$372,0))</f>
        <v>Entregar potencia mecánica en un rango de 490 a 510 kW</v>
      </c>
      <c r="D155" s="27" t="s">
        <v>3380</v>
      </c>
      <c r="E155" s="27" t="s">
        <v>1350</v>
      </c>
      <c r="F155" s="27" t="s">
        <v>3381</v>
      </c>
      <c r="G155" s="27" t="s">
        <v>3382</v>
      </c>
      <c r="H155" s="18" t="str">
        <f t="array" ref="H155">_xlfn.XLOOKUP(E:E,'Calificación consecuencia'!B:B,'Calificación consecuencia'!K:K,"No encontrada",2)</f>
        <v>Baja</v>
      </c>
      <c r="I155" s="27" t="s">
        <v>2106</v>
      </c>
      <c r="J155" s="30" t="s">
        <v>116</v>
      </c>
      <c r="K155" s="21"/>
      <c r="L155" s="21"/>
      <c r="M155" s="29" t="s">
        <v>120</v>
      </c>
      <c r="N155" s="21"/>
      <c r="O155" s="29" t="s">
        <v>120</v>
      </c>
      <c r="P155" s="21"/>
      <c r="Q155" s="21"/>
      <c r="R155" s="21"/>
      <c r="S155" s="29" t="s">
        <v>120</v>
      </c>
      <c r="T155" s="21"/>
      <c r="U155" s="27" t="s">
        <v>1680</v>
      </c>
      <c r="V155" s="27" t="s">
        <v>1408</v>
      </c>
    </row>
    <row r="156" ht="14.25" customHeight="1">
      <c r="A156" s="27" t="s">
        <v>229</v>
      </c>
      <c r="B156" s="27" t="s">
        <v>348</v>
      </c>
      <c r="C156" s="27" t="str">
        <f t="array" ref="C156">INDEX(Funciones!$G$2:$G$372,MATCH($A156,Funciones!$B$2:$B$372,0))</f>
        <v>Entregar potencia mecánica en un rango de 490 a 510 kW</v>
      </c>
      <c r="D156" s="27" t="s">
        <v>3380</v>
      </c>
      <c r="E156" s="27" t="s">
        <v>1355</v>
      </c>
      <c r="F156" s="27" t="s">
        <v>3386</v>
      </c>
      <c r="G156" s="27" t="s">
        <v>3387</v>
      </c>
      <c r="H156" s="18" t="str">
        <f t="array" ref="H156">_xlfn.XLOOKUP(E:E,'Calificación consecuencia'!B:B,'Calificación consecuencia'!K:K,"No encontrada",2)</f>
        <v>Media</v>
      </c>
      <c r="I156" s="27" t="s">
        <v>2106</v>
      </c>
      <c r="J156" s="30" t="s">
        <v>116</v>
      </c>
      <c r="K156" s="21"/>
      <c r="L156" s="21"/>
      <c r="M156" s="29" t="s">
        <v>120</v>
      </c>
      <c r="N156" s="21"/>
      <c r="O156" s="30" t="s">
        <v>116</v>
      </c>
      <c r="P156" s="30" t="s">
        <v>116</v>
      </c>
      <c r="Q156" s="21"/>
      <c r="R156" s="21"/>
      <c r="S156" s="21"/>
      <c r="T156" s="21"/>
      <c r="U156" s="27" t="s">
        <v>345</v>
      </c>
      <c r="V156" s="27" t="s">
        <v>196</v>
      </c>
    </row>
    <row r="157" ht="14.25" customHeight="1">
      <c r="A157" s="27" t="s">
        <v>229</v>
      </c>
      <c r="B157" s="27" t="s">
        <v>348</v>
      </c>
      <c r="C157" s="27" t="str">
        <f t="array" ref="C157">INDEX(Funciones!$G$2:$G$372,MATCH($A157,Funciones!$B$2:$B$372,0))</f>
        <v>Entregar potencia mecánica en un rango de 490 a 510 kW</v>
      </c>
      <c r="D157" s="27" t="s">
        <v>3380</v>
      </c>
      <c r="E157" s="27" t="s">
        <v>1359</v>
      </c>
      <c r="F157" s="27" t="s">
        <v>3388</v>
      </c>
      <c r="G157" s="27" t="s">
        <v>3389</v>
      </c>
      <c r="H157" s="18" t="str">
        <f t="array" ref="H157">_xlfn.XLOOKUP(E:E,'Calificación consecuencia'!B:B,'Calificación consecuencia'!K:K,"No encontrada",2)</f>
        <v>Baja</v>
      </c>
      <c r="I157" s="27" t="s">
        <v>1800</v>
      </c>
      <c r="J157" s="30" t="s">
        <v>116</v>
      </c>
      <c r="K157" s="21"/>
      <c r="L157" s="21"/>
      <c r="M157" s="29" t="s">
        <v>120</v>
      </c>
      <c r="N157" s="21"/>
      <c r="O157" s="30" t="s">
        <v>116</v>
      </c>
      <c r="P157" s="30" t="s">
        <v>116</v>
      </c>
      <c r="Q157" s="21"/>
      <c r="R157" s="21"/>
      <c r="S157" s="21"/>
      <c r="T157" s="21"/>
      <c r="U157" s="27" t="s">
        <v>345</v>
      </c>
      <c r="V157" s="27" t="s">
        <v>196</v>
      </c>
    </row>
    <row r="158" ht="14.25" customHeight="1">
      <c r="A158" s="27" t="s">
        <v>229</v>
      </c>
      <c r="B158" s="27" t="s">
        <v>348</v>
      </c>
      <c r="C158" s="27" t="str">
        <f t="array" ref="C158">INDEX(Funciones!$G$2:$G$372,MATCH($A158,Funciones!$B$2:$B$372,0))</f>
        <v>Entregar potencia mecánica en un rango de 490 a 510 kW</v>
      </c>
      <c r="D158" s="27" t="s">
        <v>3390</v>
      </c>
      <c r="E158" s="27" t="s">
        <v>1362</v>
      </c>
      <c r="F158" s="27" t="s">
        <v>3391</v>
      </c>
      <c r="G158" s="27" t="s">
        <v>3392</v>
      </c>
      <c r="H158" s="18" t="str">
        <f t="array" ref="H158">_xlfn.XLOOKUP(E:E,'Calificación consecuencia'!B:B,'Calificación consecuencia'!K:K,"No encontrada",2)</f>
        <v>Baja</v>
      </c>
      <c r="I158" s="27" t="s">
        <v>2106</v>
      </c>
      <c r="J158" s="30" t="s">
        <v>116</v>
      </c>
      <c r="K158" s="21"/>
      <c r="L158" s="21"/>
      <c r="M158" s="29" t="s">
        <v>120</v>
      </c>
      <c r="N158" s="21"/>
      <c r="O158" s="29" t="s">
        <v>120</v>
      </c>
      <c r="P158" s="21"/>
      <c r="Q158" s="21"/>
      <c r="R158" s="21"/>
      <c r="S158" s="29" t="s">
        <v>120</v>
      </c>
      <c r="T158" s="21"/>
      <c r="U158" s="27" t="s">
        <v>1680</v>
      </c>
      <c r="V158" s="27" t="s">
        <v>1408</v>
      </c>
    </row>
    <row r="159" ht="14.25" customHeight="1">
      <c r="A159" s="9" t="s">
        <v>361</v>
      </c>
      <c r="B159" s="9" t="s">
        <v>359</v>
      </c>
      <c r="C159" s="9" t="str">
        <f t="array" ref="C159">INDEX(Funciones!$G$2:$G$372,MATCH($A159,Funciones!$B$2:$B$372,0))</f>
        <v>Transmitir torque al eje hasta 2.500 N.m</v>
      </c>
      <c r="D159" s="9" t="s">
        <v>3393</v>
      </c>
      <c r="E159" s="9" t="s">
        <v>1367</v>
      </c>
      <c r="F159" s="9" t="s">
        <v>3394</v>
      </c>
      <c r="G159" s="9" t="s">
        <v>3395</v>
      </c>
      <c r="H159" s="18" t="str">
        <f t="array" ref="H159">_xlfn.XLOOKUP(E:E,'Calificación consecuencia'!B:B,'Calificación consecuencia'!K:K,"No encontrada",2)</f>
        <v>Baja</v>
      </c>
      <c r="I159" s="9" t="s">
        <v>1351</v>
      </c>
      <c r="J159" s="20" t="s">
        <v>116</v>
      </c>
      <c r="K159" s="21"/>
      <c r="L159" s="21"/>
      <c r="M159" s="20" t="s">
        <v>116</v>
      </c>
      <c r="N159" s="20" t="s">
        <v>116</v>
      </c>
      <c r="O159" s="21"/>
      <c r="P159" s="21"/>
      <c r="Q159" s="21"/>
      <c r="R159" s="21"/>
      <c r="S159" s="21"/>
      <c r="T159" s="21"/>
      <c r="U159" s="9" t="s">
        <v>195</v>
      </c>
      <c r="V159" s="9" t="s">
        <v>196</v>
      </c>
    </row>
    <row r="160" ht="14.25" customHeight="1">
      <c r="A160" s="9" t="s">
        <v>361</v>
      </c>
      <c r="B160" s="9" t="s">
        <v>359</v>
      </c>
      <c r="C160" s="9" t="str">
        <f t="array" ref="C160">INDEX(Funciones!$G$2:$G$372,MATCH($A160,Funciones!$B$2:$B$372,0))</f>
        <v>Transmitir torque al eje hasta 2.500 N.m</v>
      </c>
      <c r="D160" s="9" t="s">
        <v>3396</v>
      </c>
      <c r="E160" s="9" t="s">
        <v>1371</v>
      </c>
      <c r="F160" s="9" t="s">
        <v>3397</v>
      </c>
      <c r="G160" s="9" t="s">
        <v>3398</v>
      </c>
      <c r="H160" s="18" t="str">
        <f t="array" ref="H160">_xlfn.XLOOKUP(E:E,'Calificación consecuencia'!B:B,'Calificación consecuencia'!K:K,"No encontrada",2)</f>
        <v>Baja</v>
      </c>
      <c r="I160" s="9" t="s">
        <v>1800</v>
      </c>
      <c r="J160" s="20" t="s">
        <v>116</v>
      </c>
      <c r="K160" s="21"/>
      <c r="L160" s="21"/>
      <c r="M160" s="22" t="s">
        <v>120</v>
      </c>
      <c r="N160" s="21"/>
      <c r="O160" s="20" t="s">
        <v>116</v>
      </c>
      <c r="P160" s="20" t="s">
        <v>116</v>
      </c>
      <c r="Q160" s="21"/>
      <c r="R160" s="21"/>
      <c r="S160" s="21"/>
      <c r="T160" s="21"/>
      <c r="U160" s="9" t="s">
        <v>345</v>
      </c>
      <c r="V160" s="9" t="s">
        <v>196</v>
      </c>
    </row>
    <row r="161" ht="14.25" customHeight="1">
      <c r="A161" s="9" t="s">
        <v>361</v>
      </c>
      <c r="B161" s="9" t="s">
        <v>359</v>
      </c>
      <c r="C161" s="9" t="str">
        <f t="array" ref="C161">INDEX(Funciones!$G$2:$G$372,MATCH($A161,Funciones!$B$2:$B$372,0))</f>
        <v>Transmitir torque al eje hasta 2.500 N.m</v>
      </c>
      <c r="D161" s="9" t="s">
        <v>3396</v>
      </c>
      <c r="E161" s="9" t="s">
        <v>1375</v>
      </c>
      <c r="F161" s="9" t="s">
        <v>3399</v>
      </c>
      <c r="G161" s="9" t="s">
        <v>3400</v>
      </c>
      <c r="H161" s="18" t="str">
        <f t="array" ref="H161">_xlfn.XLOOKUP(E:E,'Calificación consecuencia'!B:B,'Calificación consecuencia'!K:K,"No encontrada",2)</f>
        <v>Baja</v>
      </c>
      <c r="I161" s="9" t="s">
        <v>2106</v>
      </c>
      <c r="J161" s="20" t="s">
        <v>116</v>
      </c>
      <c r="K161" s="21"/>
      <c r="L161" s="21"/>
      <c r="M161" s="22" t="s">
        <v>120</v>
      </c>
      <c r="N161" s="21"/>
      <c r="O161" s="22" t="s">
        <v>120</v>
      </c>
      <c r="P161" s="21"/>
      <c r="Q161" s="21"/>
      <c r="R161" s="21"/>
      <c r="S161" s="22" t="s">
        <v>120</v>
      </c>
      <c r="T161" s="21"/>
      <c r="U161" s="9" t="s">
        <v>1680</v>
      </c>
      <c r="V161" s="9" t="s">
        <v>1408</v>
      </c>
    </row>
    <row r="162" ht="14.25" customHeight="1">
      <c r="A162" s="9" t="s">
        <v>361</v>
      </c>
      <c r="B162" s="9" t="s">
        <v>359</v>
      </c>
      <c r="C162" s="9" t="str">
        <f t="array" ref="C162">INDEX(Funciones!$G$2:$G$372,MATCH($A162,Funciones!$B$2:$B$372,0))</f>
        <v>Transmitir torque al eje hasta 2.500 N.m</v>
      </c>
      <c r="D162" s="9" t="s">
        <v>3396</v>
      </c>
      <c r="E162" s="9" t="s">
        <v>1381</v>
      </c>
      <c r="F162" s="9" t="s">
        <v>3401</v>
      </c>
      <c r="G162" s="9" t="s">
        <v>3402</v>
      </c>
      <c r="H162" s="18" t="str">
        <f t="array" ref="H162">_xlfn.XLOOKUP(E:E,'Calificación consecuencia'!B:B,'Calificación consecuencia'!K:K,"No encontrada",2)</f>
        <v>Media</v>
      </c>
      <c r="I162" s="9" t="s">
        <v>1800</v>
      </c>
      <c r="J162" s="20" t="s">
        <v>116</v>
      </c>
      <c r="K162" s="21"/>
      <c r="L162" s="21"/>
      <c r="M162" s="22" t="s">
        <v>120</v>
      </c>
      <c r="N162" s="21"/>
      <c r="O162" s="20" t="s">
        <v>116</v>
      </c>
      <c r="P162" s="22" t="s">
        <v>120</v>
      </c>
      <c r="Q162" s="22" t="s">
        <v>120</v>
      </c>
      <c r="R162" s="22" t="s">
        <v>120</v>
      </c>
      <c r="S162" s="21"/>
      <c r="T162" s="21"/>
      <c r="U162" s="9" t="s">
        <v>230</v>
      </c>
      <c r="V162" s="9" t="s">
        <v>230</v>
      </c>
    </row>
    <row r="163" ht="14.25" customHeight="1">
      <c r="A163" s="27" t="s">
        <v>373</v>
      </c>
      <c r="B163" s="27" t="s">
        <v>372</v>
      </c>
      <c r="C163" s="27" t="str">
        <f t="array" ref="C163">INDEX(Funciones!$G$2:$G$372,MATCH($A163,Funciones!$B$2:$B$372,0))</f>
        <v>Comprimir el aire a una presión de _____ bar</v>
      </c>
      <c r="D163" s="27" t="s">
        <v>3403</v>
      </c>
      <c r="E163" s="27" t="s">
        <v>999</v>
      </c>
      <c r="F163" s="27" t="s">
        <v>2657</v>
      </c>
      <c r="G163" s="27" t="s">
        <v>2658</v>
      </c>
      <c r="H163" s="18" t="str">
        <f t="array" ref="H163">_xlfn.XLOOKUP(E:E,'Calificación consecuencia'!B:B,'Calificación consecuencia'!K:K,"No encontrada",2)</f>
        <v>Media</v>
      </c>
      <c r="I163" s="27" t="s">
        <v>1800</v>
      </c>
      <c r="J163" s="30" t="s">
        <v>116</v>
      </c>
      <c r="K163" s="21"/>
      <c r="L163" s="21"/>
      <c r="M163" s="30" t="s">
        <v>116</v>
      </c>
      <c r="N163" s="30" t="s">
        <v>116</v>
      </c>
      <c r="O163" s="21"/>
      <c r="P163" s="21"/>
      <c r="Q163" s="21"/>
      <c r="R163" s="21"/>
      <c r="S163" s="21"/>
      <c r="T163" s="21"/>
      <c r="U163" s="27" t="s">
        <v>195</v>
      </c>
      <c r="V163" s="27" t="s">
        <v>196</v>
      </c>
    </row>
    <row r="164" ht="14.25" customHeight="1">
      <c r="A164" s="27" t="s">
        <v>373</v>
      </c>
      <c r="B164" s="27" t="s">
        <v>372</v>
      </c>
      <c r="C164" s="27" t="str">
        <f t="array" ref="C164">INDEX(Funciones!$G$2:$G$372,MATCH($A164,Funciones!$B$2:$B$372,0))</f>
        <v>Comprimir el aire a una presión de _____ bar</v>
      </c>
      <c r="D164" s="27" t="s">
        <v>3403</v>
      </c>
      <c r="E164" s="27" t="s">
        <v>1005</v>
      </c>
      <c r="F164" s="27" t="s">
        <v>2677</v>
      </c>
      <c r="G164" s="27" t="s">
        <v>2679</v>
      </c>
      <c r="H164" s="18" t="str">
        <f t="array" ref="H164">_xlfn.XLOOKUP(E:E,'Calificación consecuencia'!B:B,'Calificación consecuencia'!K:K,"No encontrada",2)</f>
        <v>Baja</v>
      </c>
      <c r="I164" s="27" t="s">
        <v>2694</v>
      </c>
      <c r="J164" s="30" t="s">
        <v>116</v>
      </c>
      <c r="K164" s="21"/>
      <c r="L164" s="21"/>
      <c r="M164" s="30" t="s">
        <v>116</v>
      </c>
      <c r="N164" s="30" t="s">
        <v>116</v>
      </c>
      <c r="O164" s="21"/>
      <c r="P164" s="21"/>
      <c r="Q164" s="21"/>
      <c r="R164" s="21"/>
      <c r="S164" s="21"/>
      <c r="T164" s="21"/>
      <c r="U164" s="27" t="s">
        <v>195</v>
      </c>
      <c r="V164" s="27" t="s">
        <v>196</v>
      </c>
    </row>
    <row r="165" ht="14.25" customHeight="1">
      <c r="A165" s="27" t="s">
        <v>373</v>
      </c>
      <c r="B165" s="27" t="s">
        <v>372</v>
      </c>
      <c r="C165" s="27" t="str">
        <f t="array" ref="C165">INDEX(Funciones!$G$2:$G$372,MATCH($A165,Funciones!$B$2:$B$372,0))</f>
        <v>Comprimir el aire a una presión de _____ bar</v>
      </c>
      <c r="D165" s="27" t="s">
        <v>3403</v>
      </c>
      <c r="E165" s="27" t="s">
        <v>1017</v>
      </c>
      <c r="F165" s="27" t="s">
        <v>2709</v>
      </c>
      <c r="G165" s="27" t="s">
        <v>2710</v>
      </c>
      <c r="H165" s="18" t="str">
        <f t="array" ref="H165">_xlfn.XLOOKUP(E:E,'Calificación consecuencia'!B:B,'Calificación consecuencia'!K:K,"No encontrada",2)</f>
        <v>Media</v>
      </c>
      <c r="I165" s="27" t="s">
        <v>1800</v>
      </c>
      <c r="J165" s="30" t="s">
        <v>116</v>
      </c>
      <c r="K165" s="21"/>
      <c r="L165" s="21"/>
      <c r="M165" s="30" t="s">
        <v>116</v>
      </c>
      <c r="N165" s="30" t="s">
        <v>116</v>
      </c>
      <c r="O165" s="21"/>
      <c r="P165" s="21"/>
      <c r="Q165" s="21"/>
      <c r="R165" s="21"/>
      <c r="S165" s="21"/>
      <c r="T165" s="21"/>
      <c r="U165" s="27" t="s">
        <v>195</v>
      </c>
      <c r="V165" s="27" t="s">
        <v>196</v>
      </c>
    </row>
    <row r="166" ht="14.25" customHeight="1">
      <c r="A166" s="27" t="s">
        <v>373</v>
      </c>
      <c r="B166" s="27" t="s">
        <v>372</v>
      </c>
      <c r="C166" s="27" t="str">
        <f t="array" ref="C166">INDEX(Funciones!$G$2:$G$372,MATCH($A166,Funciones!$B$2:$B$372,0))</f>
        <v>Comprimir el aire a una presión de _____ bar</v>
      </c>
      <c r="D166" s="27" t="s">
        <v>3404</v>
      </c>
      <c r="E166" s="27" t="s">
        <v>727</v>
      </c>
      <c r="F166" s="27" t="s">
        <v>3405</v>
      </c>
      <c r="G166" s="27" t="s">
        <v>1792</v>
      </c>
      <c r="H166" s="18" t="str">
        <f t="array" ref="H166">_xlfn.XLOOKUP(E:E,'Calificación consecuencia'!B:B,'Calificación consecuencia'!K:K,"No encontrada",2)</f>
        <v>Baja</v>
      </c>
      <c r="I166" s="27" t="s">
        <v>1800</v>
      </c>
      <c r="J166" s="30" t="s">
        <v>116</v>
      </c>
      <c r="K166" s="21"/>
      <c r="L166" s="21"/>
      <c r="M166" s="29" t="s">
        <v>120</v>
      </c>
      <c r="N166" s="21"/>
      <c r="O166" s="30" t="s">
        <v>116</v>
      </c>
      <c r="P166" s="30" t="s">
        <v>116</v>
      </c>
      <c r="Q166" s="21"/>
      <c r="R166" s="21"/>
      <c r="S166" s="21"/>
      <c r="T166" s="21"/>
      <c r="U166" s="27" t="s">
        <v>345</v>
      </c>
      <c r="V166" s="27" t="s">
        <v>196</v>
      </c>
    </row>
    <row r="167" ht="14.25" customHeight="1">
      <c r="A167" s="27" t="s">
        <v>373</v>
      </c>
      <c r="B167" s="27" t="s">
        <v>372</v>
      </c>
      <c r="C167" s="27" t="str">
        <f t="array" ref="C167">INDEX(Funciones!$G$2:$G$372,MATCH($A167,Funciones!$B$2:$B$372,0))</f>
        <v>Comprimir el aire a una presión de _____ bar</v>
      </c>
      <c r="D167" s="27" t="s">
        <v>3404</v>
      </c>
      <c r="E167" s="27" t="s">
        <v>1036</v>
      </c>
      <c r="F167" s="27" t="s">
        <v>3406</v>
      </c>
      <c r="G167" s="27" t="s">
        <v>2810</v>
      </c>
      <c r="H167" s="18" t="str">
        <f t="array" ref="H167">_xlfn.XLOOKUP(E:E,'Calificación consecuencia'!B:B,'Calificación consecuencia'!K:K,"No encontrada",2)</f>
        <v>Baja</v>
      </c>
      <c r="I167" s="27" t="s">
        <v>2106</v>
      </c>
      <c r="J167" s="30" t="s">
        <v>116</v>
      </c>
      <c r="K167" s="21"/>
      <c r="L167" s="21"/>
      <c r="M167" s="29" t="s">
        <v>120</v>
      </c>
      <c r="N167" s="21"/>
      <c r="O167" s="30" t="s">
        <v>116</v>
      </c>
      <c r="P167" s="30" t="s">
        <v>116</v>
      </c>
      <c r="Q167" s="21"/>
      <c r="R167" s="21"/>
      <c r="S167" s="21"/>
      <c r="T167" s="21"/>
      <c r="U167" s="27" t="s">
        <v>345</v>
      </c>
      <c r="V167" s="27" t="s">
        <v>196</v>
      </c>
    </row>
    <row r="168" ht="14.25" customHeight="1">
      <c r="A168" s="27" t="s">
        <v>373</v>
      </c>
      <c r="B168" s="27" t="s">
        <v>372</v>
      </c>
      <c r="C168" s="27" t="str">
        <f t="array" ref="C168">INDEX(Funciones!$G$2:$G$372,MATCH($A168,Funciones!$B$2:$B$372,0))</f>
        <v>Comprimir el aire a una presión de _____ bar</v>
      </c>
      <c r="D168" s="27" t="s">
        <v>3409</v>
      </c>
      <c r="E168" s="27" t="s">
        <v>1421</v>
      </c>
      <c r="F168" s="27" t="s">
        <v>3410</v>
      </c>
      <c r="G168" s="27" t="s">
        <v>2841</v>
      </c>
      <c r="H168" s="18" t="str">
        <f t="array" ref="H168">_xlfn.XLOOKUP(E:E,'Calificación consecuencia'!B:B,'Calificación consecuencia'!K:K,"No encontrada",2)</f>
        <v>Baja</v>
      </c>
      <c r="I168" s="27" t="s">
        <v>2106</v>
      </c>
      <c r="J168" s="30" t="s">
        <v>116</v>
      </c>
      <c r="K168" s="21"/>
      <c r="L168" s="21"/>
      <c r="M168" s="29" t="s">
        <v>120</v>
      </c>
      <c r="N168" s="21"/>
      <c r="O168" s="29" t="s">
        <v>120</v>
      </c>
      <c r="P168" s="21"/>
      <c r="Q168" s="21"/>
      <c r="R168" s="21"/>
      <c r="S168" s="29" t="s">
        <v>120</v>
      </c>
      <c r="T168" s="21"/>
      <c r="U168" s="27" t="s">
        <v>1680</v>
      </c>
      <c r="V168" s="27" t="s">
        <v>1408</v>
      </c>
    </row>
    <row r="169" ht="14.25" customHeight="1">
      <c r="A169" s="27" t="s">
        <v>373</v>
      </c>
      <c r="B169" s="27" t="s">
        <v>372</v>
      </c>
      <c r="C169" s="27" t="str">
        <f t="array" ref="C169">INDEX(Funciones!$G$2:$G$372,MATCH($A169,Funciones!$B$2:$B$372,0))</f>
        <v>Comprimir el aire a una presión de _____ bar</v>
      </c>
      <c r="D169" s="27" t="s">
        <v>3409</v>
      </c>
      <c r="E169" s="27" t="s">
        <v>1426</v>
      </c>
      <c r="F169" s="27" t="s">
        <v>3411</v>
      </c>
      <c r="G169" s="27" t="s">
        <v>1888</v>
      </c>
      <c r="H169" s="18" t="str">
        <f t="array" ref="H169">_xlfn.XLOOKUP(E:E,'Calificación consecuencia'!B:B,'Calificación consecuencia'!K:K,"No encontrada",2)</f>
        <v>Baja</v>
      </c>
      <c r="I169" s="27" t="s">
        <v>2106</v>
      </c>
      <c r="J169" s="30" t="s">
        <v>116</v>
      </c>
      <c r="K169" s="21"/>
      <c r="L169" s="21"/>
      <c r="M169" s="29" t="s">
        <v>120</v>
      </c>
      <c r="N169" s="21"/>
      <c r="O169" s="29" t="s">
        <v>120</v>
      </c>
      <c r="P169" s="21"/>
      <c r="Q169" s="21"/>
      <c r="R169" s="21"/>
      <c r="S169" s="29" t="s">
        <v>120</v>
      </c>
      <c r="T169" s="21"/>
      <c r="U169" s="27" t="s">
        <v>1680</v>
      </c>
      <c r="V169" s="27" t="s">
        <v>1408</v>
      </c>
    </row>
    <row r="170" ht="14.25" customHeight="1">
      <c r="A170" s="9" t="s">
        <v>380</v>
      </c>
      <c r="B170" s="9" t="s">
        <v>372</v>
      </c>
      <c r="C170" s="9" t="str">
        <f t="array" ref="C170">INDEX(Funciones!$G$2:$G$372,MATCH($A170,Funciones!$B$2:$B$372,0))</f>
        <v>Suministrar aire con caudal de 980 a 1.020 L/min</v>
      </c>
      <c r="D170" s="9" t="s">
        <v>3412</v>
      </c>
      <c r="E170" s="9" t="s">
        <v>999</v>
      </c>
      <c r="F170" s="9" t="s">
        <v>2657</v>
      </c>
      <c r="G170" s="9" t="s">
        <v>2658</v>
      </c>
      <c r="H170" s="18" t="str">
        <f t="array" ref="H170">_xlfn.XLOOKUP(E:E,'Calificación consecuencia'!B:B,'Calificación consecuencia'!K:K,"No encontrada",2)</f>
        <v>Media</v>
      </c>
      <c r="I170" s="9" t="s">
        <v>1800</v>
      </c>
      <c r="J170" s="20" t="s">
        <v>116</v>
      </c>
      <c r="K170" s="21"/>
      <c r="L170" s="21"/>
      <c r="M170" s="20" t="s">
        <v>116</v>
      </c>
      <c r="N170" s="20" t="s">
        <v>116</v>
      </c>
      <c r="O170" s="21"/>
      <c r="P170" s="21"/>
      <c r="Q170" s="21"/>
      <c r="R170" s="21"/>
      <c r="S170" s="21"/>
      <c r="T170" s="21"/>
      <c r="U170" s="9" t="s">
        <v>195</v>
      </c>
      <c r="V170" s="9" t="s">
        <v>196</v>
      </c>
    </row>
    <row r="171" ht="14.25" customHeight="1">
      <c r="A171" s="9" t="s">
        <v>380</v>
      </c>
      <c r="B171" s="9" t="s">
        <v>372</v>
      </c>
      <c r="C171" s="9" t="str">
        <f t="array" ref="C171">INDEX(Funciones!$G$2:$G$372,MATCH($A171,Funciones!$B$2:$B$372,0))</f>
        <v>Suministrar aire con caudal de 980 a 1.020 L/min</v>
      </c>
      <c r="D171" s="9" t="s">
        <v>3412</v>
      </c>
      <c r="E171" s="9" t="s">
        <v>1005</v>
      </c>
      <c r="F171" s="9" t="s">
        <v>2677</v>
      </c>
      <c r="G171" s="9" t="s">
        <v>2679</v>
      </c>
      <c r="H171" s="18" t="str">
        <f t="array" ref="H171">_xlfn.XLOOKUP(E:E,'Calificación consecuencia'!B:B,'Calificación consecuencia'!K:K,"No encontrada",2)</f>
        <v>Baja</v>
      </c>
      <c r="I171" s="9" t="s">
        <v>2694</v>
      </c>
      <c r="J171" s="20" t="s">
        <v>116</v>
      </c>
      <c r="K171" s="21"/>
      <c r="L171" s="21"/>
      <c r="M171" s="20" t="s">
        <v>116</v>
      </c>
      <c r="N171" s="20" t="s">
        <v>116</v>
      </c>
      <c r="O171" s="21"/>
      <c r="P171" s="21"/>
      <c r="Q171" s="21"/>
      <c r="R171" s="21"/>
      <c r="S171" s="21"/>
      <c r="T171" s="21"/>
      <c r="U171" s="9" t="s">
        <v>195</v>
      </c>
      <c r="V171" s="9" t="s">
        <v>196</v>
      </c>
    </row>
    <row r="172" ht="14.25" customHeight="1">
      <c r="A172" s="9" t="s">
        <v>380</v>
      </c>
      <c r="B172" s="9" t="s">
        <v>372</v>
      </c>
      <c r="C172" s="9" t="str">
        <f t="array" ref="C172">INDEX(Funciones!$G$2:$G$372,MATCH($A172,Funciones!$B$2:$B$372,0))</f>
        <v>Suministrar aire con caudal de 980 a 1.020 L/min</v>
      </c>
      <c r="D172" s="9" t="s">
        <v>3412</v>
      </c>
      <c r="E172" s="9" t="s">
        <v>1017</v>
      </c>
      <c r="F172" s="9" t="s">
        <v>2709</v>
      </c>
      <c r="G172" s="9" t="s">
        <v>2710</v>
      </c>
      <c r="H172" s="18" t="str">
        <f t="array" ref="H172">_xlfn.XLOOKUP(E:E,'Calificación consecuencia'!B:B,'Calificación consecuencia'!K:K,"No encontrada",2)</f>
        <v>Media</v>
      </c>
      <c r="I172" s="9" t="s">
        <v>1800</v>
      </c>
      <c r="J172" s="20" t="s">
        <v>116</v>
      </c>
      <c r="K172" s="21"/>
      <c r="L172" s="21"/>
      <c r="M172" s="20" t="s">
        <v>116</v>
      </c>
      <c r="N172" s="20" t="s">
        <v>116</v>
      </c>
      <c r="O172" s="21"/>
      <c r="P172" s="21"/>
      <c r="Q172" s="21"/>
      <c r="R172" s="21"/>
      <c r="S172" s="21"/>
      <c r="T172" s="21"/>
      <c r="U172" s="9" t="s">
        <v>195</v>
      </c>
      <c r="V172" s="9" t="s">
        <v>196</v>
      </c>
    </row>
    <row r="173" ht="14.25" customHeight="1">
      <c r="A173" s="9" t="s">
        <v>380</v>
      </c>
      <c r="B173" s="9" t="s">
        <v>372</v>
      </c>
      <c r="C173" s="9" t="str">
        <f t="array" ref="C173">INDEX(Funciones!$G$2:$G$372,MATCH($A173,Funciones!$B$2:$B$372,0))</f>
        <v>Suministrar aire con caudal de 980 a 1.020 L/min</v>
      </c>
      <c r="D173" s="9" t="s">
        <v>3413</v>
      </c>
      <c r="E173" s="9" t="s">
        <v>727</v>
      </c>
      <c r="F173" s="9" t="s">
        <v>2744</v>
      </c>
      <c r="G173" s="9" t="s">
        <v>1792</v>
      </c>
      <c r="H173" s="18" t="str">
        <f t="array" ref="H173">_xlfn.XLOOKUP(E:E,'Calificación consecuencia'!B:B,'Calificación consecuencia'!K:K,"No encontrada",2)</f>
        <v>Baja</v>
      </c>
      <c r="I173" s="9" t="s">
        <v>1800</v>
      </c>
      <c r="J173" s="20" t="s">
        <v>116</v>
      </c>
      <c r="K173" s="21"/>
      <c r="L173" s="21"/>
      <c r="M173" s="22" t="s">
        <v>120</v>
      </c>
      <c r="N173" s="21"/>
      <c r="O173" s="20" t="s">
        <v>116</v>
      </c>
      <c r="P173" s="20" t="s">
        <v>116</v>
      </c>
      <c r="Q173" s="21"/>
      <c r="R173" s="21"/>
      <c r="S173" s="21"/>
      <c r="T173" s="21"/>
      <c r="U173" s="9" t="s">
        <v>345</v>
      </c>
      <c r="V173" s="9" t="s">
        <v>196</v>
      </c>
    </row>
    <row r="174" ht="14.25" customHeight="1">
      <c r="A174" s="9" t="s">
        <v>380</v>
      </c>
      <c r="B174" s="9" t="s">
        <v>372</v>
      </c>
      <c r="C174" s="9" t="str">
        <f t="array" ref="C174">INDEX(Funciones!$G$2:$G$372,MATCH($A174,Funciones!$B$2:$B$372,0))</f>
        <v>Suministrar aire con caudal de 980 a 1.020 L/min</v>
      </c>
      <c r="D174" s="9" t="s">
        <v>3413</v>
      </c>
      <c r="E174" s="9" t="s">
        <v>1031</v>
      </c>
      <c r="F174" s="9" t="s">
        <v>2776</v>
      </c>
      <c r="G174" s="9" t="s">
        <v>2777</v>
      </c>
      <c r="H174" s="18" t="str">
        <f t="array" ref="H174">_xlfn.XLOOKUP(E:E,'Calificación consecuencia'!B:B,'Calificación consecuencia'!K:K,"No encontrada",2)</f>
        <v>Baja</v>
      </c>
      <c r="I174" s="9" t="s">
        <v>2106</v>
      </c>
      <c r="J174" s="20" t="s">
        <v>116</v>
      </c>
      <c r="K174" s="21"/>
      <c r="L174" s="21"/>
      <c r="M174" s="22" t="s">
        <v>120</v>
      </c>
      <c r="N174" s="21"/>
      <c r="O174" s="22" t="s">
        <v>120</v>
      </c>
      <c r="P174" s="21"/>
      <c r="Q174" s="21"/>
      <c r="R174" s="21"/>
      <c r="S174" s="22" t="s">
        <v>120</v>
      </c>
      <c r="T174" s="21"/>
      <c r="U174" s="9" t="s">
        <v>1680</v>
      </c>
      <c r="V174" s="9" t="s">
        <v>1408</v>
      </c>
    </row>
    <row r="175" ht="14.25" customHeight="1">
      <c r="A175" s="9" t="s">
        <v>380</v>
      </c>
      <c r="B175" s="9" t="s">
        <v>372</v>
      </c>
      <c r="C175" s="9" t="str">
        <f t="array" ref="C175">INDEX(Funciones!$G$2:$G$372,MATCH($A175,Funciones!$B$2:$B$372,0))</f>
        <v>Suministrar aire con caudal de 980 a 1.020 L/min</v>
      </c>
      <c r="D175" s="9" t="s">
        <v>3413</v>
      </c>
      <c r="E175" s="9" t="s">
        <v>1036</v>
      </c>
      <c r="F175" s="9" t="s">
        <v>2808</v>
      </c>
      <c r="G175" s="9" t="s">
        <v>2810</v>
      </c>
      <c r="H175" s="18" t="str">
        <f t="array" ref="H175">_xlfn.XLOOKUP(E:E,'Calificación consecuencia'!B:B,'Calificación consecuencia'!K:K,"No encontrada",2)</f>
        <v>Baja</v>
      </c>
      <c r="I175" s="9" t="s">
        <v>2106</v>
      </c>
      <c r="J175" s="20" t="s">
        <v>116</v>
      </c>
      <c r="K175" s="21"/>
      <c r="L175" s="21"/>
      <c r="M175" s="22" t="s">
        <v>120</v>
      </c>
      <c r="N175" s="21"/>
      <c r="O175" s="20" t="s">
        <v>116</v>
      </c>
      <c r="P175" s="20" t="s">
        <v>116</v>
      </c>
      <c r="Q175" s="21"/>
      <c r="R175" s="21"/>
      <c r="S175" s="21"/>
      <c r="T175" s="21"/>
      <c r="U175" s="9" t="s">
        <v>345</v>
      </c>
      <c r="V175" s="9" t="s">
        <v>196</v>
      </c>
    </row>
    <row r="176" ht="14.25" customHeight="1">
      <c r="A176" s="9" t="s">
        <v>380</v>
      </c>
      <c r="B176" s="9" t="s">
        <v>372</v>
      </c>
      <c r="C176" s="9" t="str">
        <f t="array" ref="C176">INDEX(Funciones!$G$2:$G$372,MATCH($A176,Funciones!$B$2:$B$372,0))</f>
        <v>Suministrar aire con caudal de 980 a 1.020 L/min</v>
      </c>
      <c r="D176" s="9" t="s">
        <v>3413</v>
      </c>
      <c r="E176" s="9" t="s">
        <v>1041</v>
      </c>
      <c r="F176" s="9" t="s">
        <v>2838</v>
      </c>
      <c r="G176" s="9" t="s">
        <v>2841</v>
      </c>
      <c r="H176" s="18" t="str">
        <f t="array" ref="H176">_xlfn.XLOOKUP(E:E,'Calificación consecuencia'!B:B,'Calificación consecuencia'!K:K,"No encontrada",2)</f>
        <v>Baja</v>
      </c>
      <c r="I176" s="9" t="s">
        <v>2106</v>
      </c>
      <c r="J176" s="20" t="s">
        <v>116</v>
      </c>
      <c r="K176" s="21"/>
      <c r="L176" s="21"/>
      <c r="M176" s="22" t="s">
        <v>120</v>
      </c>
      <c r="N176" s="21"/>
      <c r="O176" s="22" t="s">
        <v>120</v>
      </c>
      <c r="P176" s="21"/>
      <c r="Q176" s="21"/>
      <c r="R176" s="21"/>
      <c r="S176" s="22" t="s">
        <v>120</v>
      </c>
      <c r="T176" s="21"/>
      <c r="U176" s="9" t="s">
        <v>1680</v>
      </c>
      <c r="V176" s="9" t="s">
        <v>1408</v>
      </c>
    </row>
    <row r="177" ht="14.25" customHeight="1">
      <c r="A177" s="9" t="s">
        <v>380</v>
      </c>
      <c r="B177" s="9" t="s">
        <v>372</v>
      </c>
      <c r="C177" s="9" t="str">
        <f t="array" ref="C177">INDEX(Funciones!$G$2:$G$372,MATCH($A177,Funciones!$B$2:$B$372,0))</f>
        <v>Suministrar aire con caudal de 980 a 1.020 L/min</v>
      </c>
      <c r="D177" s="9" t="s">
        <v>3413</v>
      </c>
      <c r="E177" s="9" t="s">
        <v>1047</v>
      </c>
      <c r="F177" s="9" t="s">
        <v>2875</v>
      </c>
      <c r="G177" s="9" t="s">
        <v>1888</v>
      </c>
      <c r="H177" s="18" t="str">
        <f t="array" ref="H177">_xlfn.XLOOKUP(E:E,'Calificación consecuencia'!B:B,'Calificación consecuencia'!K:K,"No encontrada",2)</f>
        <v>Baja</v>
      </c>
      <c r="I177" s="9" t="s">
        <v>2106</v>
      </c>
      <c r="J177" s="20" t="s">
        <v>116</v>
      </c>
      <c r="K177" s="21"/>
      <c r="L177" s="21"/>
      <c r="M177" s="22" t="s">
        <v>120</v>
      </c>
      <c r="N177" s="21"/>
      <c r="O177" s="22" t="s">
        <v>120</v>
      </c>
      <c r="P177" s="21"/>
      <c r="Q177" s="21"/>
      <c r="R177" s="21"/>
      <c r="S177" s="22" t="s">
        <v>120</v>
      </c>
      <c r="T177" s="21"/>
      <c r="U177" s="9" t="s">
        <v>1680</v>
      </c>
      <c r="V177" s="9" t="s">
        <v>1408</v>
      </c>
    </row>
    <row r="178" ht="14.25" customHeight="1">
      <c r="A178" s="27" t="s">
        <v>389</v>
      </c>
      <c r="B178" s="27" t="s">
        <v>388</v>
      </c>
      <c r="C178" s="27" t="str">
        <f t="array" ref="C178">INDEX(Funciones!$G$2:$G$372,MATCH($A178,Funciones!$B$2:$B$372,0))</f>
        <v>Secar el aire comprimido con punto de rocío máximo de +3 °C</v>
      </c>
      <c r="D178" s="27" t="s">
        <v>2016</v>
      </c>
      <c r="E178" s="27" t="s">
        <v>820</v>
      </c>
      <c r="F178" s="27" t="s">
        <v>3414</v>
      </c>
      <c r="G178" s="27" t="s">
        <v>2019</v>
      </c>
      <c r="H178" s="18" t="str">
        <f t="array" ref="H178">_xlfn.XLOOKUP(E:E,'Calificación consecuencia'!B:B,'Calificación consecuencia'!K:K,"No encontrada",2)</f>
        <v>Media</v>
      </c>
      <c r="I178" s="27" t="s">
        <v>425</v>
      </c>
      <c r="J178" s="29" t="s">
        <v>120</v>
      </c>
      <c r="K178" s="30" t="s">
        <v>116</v>
      </c>
      <c r="L178" s="21"/>
      <c r="M178" s="21"/>
      <c r="N178" s="21"/>
      <c r="O178" s="21"/>
      <c r="P178" s="21"/>
      <c r="Q178" s="21"/>
      <c r="R178" s="21"/>
      <c r="S178" s="21"/>
      <c r="T178" s="21"/>
      <c r="U178" s="27" t="s">
        <v>439</v>
      </c>
      <c r="V178" s="27" t="s">
        <v>440</v>
      </c>
    </row>
    <row r="179" ht="14.25" customHeight="1">
      <c r="A179" s="27" t="s">
        <v>389</v>
      </c>
      <c r="B179" s="27" t="s">
        <v>388</v>
      </c>
      <c r="C179" s="27" t="str">
        <f t="array" ref="C179">INDEX(Funciones!$G$2:$G$372,MATCH($A179,Funciones!$B$2:$B$372,0))</f>
        <v>Secar el aire comprimido con punto de rocío máximo de +3 °C</v>
      </c>
      <c r="D179" s="27" t="s">
        <v>2016</v>
      </c>
      <c r="E179" s="27" t="s">
        <v>1458</v>
      </c>
      <c r="F179" s="27" t="s">
        <v>3415</v>
      </c>
      <c r="G179" s="27" t="s">
        <v>3416</v>
      </c>
      <c r="H179" s="18" t="str">
        <f t="array" ref="H179">_xlfn.XLOOKUP(E:E,'Calificación consecuencia'!B:B,'Calificación consecuencia'!K:K,"No encontrada",2)</f>
        <v>Media</v>
      </c>
      <c r="I179" s="27" t="s">
        <v>425</v>
      </c>
      <c r="J179" s="29" t="s">
        <v>120</v>
      </c>
      <c r="K179" s="30" t="s">
        <v>116</v>
      </c>
      <c r="L179" s="21"/>
      <c r="M179" s="21"/>
      <c r="N179" s="21"/>
      <c r="O179" s="21"/>
      <c r="P179" s="21"/>
      <c r="Q179" s="21"/>
      <c r="R179" s="21"/>
      <c r="S179" s="21"/>
      <c r="T179" s="21"/>
      <c r="U179" s="27" t="s">
        <v>439</v>
      </c>
      <c r="V179" s="27" t="s">
        <v>440</v>
      </c>
    </row>
    <row r="180" ht="14.25" customHeight="1">
      <c r="A180" s="27" t="s">
        <v>389</v>
      </c>
      <c r="B180" s="27" t="s">
        <v>388</v>
      </c>
      <c r="C180" s="27" t="str">
        <f t="array" ref="C180">INDEX(Funciones!$G$2:$G$372,MATCH($A180,Funciones!$B$2:$B$372,0))</f>
        <v>Secar el aire comprimido con punto de rocío máximo de +3 °C</v>
      </c>
      <c r="D180" s="27" t="s">
        <v>2090</v>
      </c>
      <c r="E180" s="27" t="s">
        <v>836</v>
      </c>
      <c r="F180" s="27" t="s">
        <v>3417</v>
      </c>
      <c r="G180" s="27" t="s">
        <v>2093</v>
      </c>
      <c r="H180" s="18" t="str">
        <f t="array" ref="H180">_xlfn.XLOOKUP(E:E,'Calificación consecuencia'!B:B,'Calificación consecuencia'!K:K,"No encontrada",2)</f>
        <v>Baja</v>
      </c>
      <c r="I180" s="27" t="s">
        <v>2106</v>
      </c>
      <c r="J180" s="29" t="s">
        <v>120</v>
      </c>
      <c r="K180" s="30" t="s">
        <v>116</v>
      </c>
      <c r="L180" s="21"/>
      <c r="M180" s="21"/>
      <c r="N180" s="21"/>
      <c r="O180" s="21"/>
      <c r="P180" s="21"/>
      <c r="Q180" s="21"/>
      <c r="R180" s="21"/>
      <c r="S180" s="21"/>
      <c r="T180" s="21"/>
      <c r="U180" s="27" t="s">
        <v>439</v>
      </c>
      <c r="V180" s="27" t="s">
        <v>440</v>
      </c>
    </row>
    <row r="181" ht="14.25" customHeight="1">
      <c r="A181" s="27" t="s">
        <v>389</v>
      </c>
      <c r="B181" s="27" t="s">
        <v>388</v>
      </c>
      <c r="C181" s="27" t="str">
        <f t="array" ref="C181">INDEX(Funciones!$G$2:$G$372,MATCH($A181,Funciones!$B$2:$B$372,0))</f>
        <v>Secar el aire comprimido con punto de rocío máximo de +3 °C</v>
      </c>
      <c r="D181" s="27" t="s">
        <v>2090</v>
      </c>
      <c r="E181" s="27" t="s">
        <v>842</v>
      </c>
      <c r="F181" s="27" t="s">
        <v>3418</v>
      </c>
      <c r="G181" s="27" t="s">
        <v>2127</v>
      </c>
      <c r="H181" s="18" t="str">
        <f t="array" ref="H181">_xlfn.XLOOKUP(E:E,'Calificación consecuencia'!B:B,'Calificación consecuencia'!K:K,"No encontrada",2)</f>
        <v>Baja</v>
      </c>
      <c r="I181" s="27" t="s">
        <v>2106</v>
      </c>
      <c r="J181" s="29" t="s">
        <v>120</v>
      </c>
      <c r="K181" s="30" t="s">
        <v>116</v>
      </c>
      <c r="L181" s="21"/>
      <c r="M181" s="21"/>
      <c r="N181" s="21"/>
      <c r="O181" s="21"/>
      <c r="P181" s="21"/>
      <c r="Q181" s="21"/>
      <c r="R181" s="21"/>
      <c r="S181" s="21"/>
      <c r="T181" s="21"/>
      <c r="U181" s="27" t="s">
        <v>439</v>
      </c>
      <c r="V181" s="27" t="s">
        <v>440</v>
      </c>
    </row>
    <row r="182" ht="14.25" customHeight="1">
      <c r="A182" s="9" t="s">
        <v>396</v>
      </c>
      <c r="B182" s="9" t="s">
        <v>395</v>
      </c>
      <c r="C182" s="9" t="str">
        <f t="array" ref="C182">INDEX(Funciones!$G$2:$G$372,MATCH($A182,Funciones!$B$2:$B$372,0))</f>
        <v>Suministrar aceite con caudal de 38 a 42 L/min</v>
      </c>
      <c r="D182" s="9" t="s">
        <v>3419</v>
      </c>
      <c r="E182" s="9" t="s">
        <v>854</v>
      </c>
      <c r="F182" s="9" t="s">
        <v>2165</v>
      </c>
      <c r="G182" s="9" t="s">
        <v>2166</v>
      </c>
      <c r="H182" s="18" t="str">
        <f t="array" ref="H182">_xlfn.XLOOKUP(E:E,'Calificación consecuencia'!B:B,'Calificación consecuencia'!K:K,"No encontrada",2)</f>
        <v>Media</v>
      </c>
      <c r="I182" s="9" t="s">
        <v>339</v>
      </c>
      <c r="J182" s="20" t="s">
        <v>116</v>
      </c>
      <c r="K182" s="21"/>
      <c r="L182" s="21"/>
      <c r="M182" s="22" t="s">
        <v>120</v>
      </c>
      <c r="N182" s="21"/>
      <c r="O182" s="20" t="s">
        <v>116</v>
      </c>
      <c r="P182" s="20" t="s">
        <v>116</v>
      </c>
      <c r="Q182" s="21"/>
      <c r="R182" s="21"/>
      <c r="S182" s="21"/>
      <c r="T182" s="21"/>
      <c r="U182" s="9" t="s">
        <v>345</v>
      </c>
      <c r="V182" s="9" t="s">
        <v>196</v>
      </c>
    </row>
    <row r="183" ht="14.25" customHeight="1">
      <c r="A183" s="9" t="s">
        <v>396</v>
      </c>
      <c r="B183" s="9" t="s">
        <v>395</v>
      </c>
      <c r="C183" s="9" t="str">
        <f t="array" ref="C183">INDEX(Funciones!$G$2:$G$372,MATCH($A183,Funciones!$B$2:$B$372,0))</f>
        <v>Suministrar aceite con caudal de 38 a 42 L/min</v>
      </c>
      <c r="D183" s="9" t="s">
        <v>3419</v>
      </c>
      <c r="E183" s="9" t="s">
        <v>855</v>
      </c>
      <c r="F183" s="9" t="s">
        <v>2194</v>
      </c>
      <c r="G183" s="9" t="s">
        <v>2195</v>
      </c>
      <c r="H183" s="18" t="str">
        <f t="array" ref="H183">_xlfn.XLOOKUP(E:E,'Calificación consecuencia'!B:B,'Calificación consecuencia'!K:K,"No encontrada",2)</f>
        <v>Baja</v>
      </c>
      <c r="I183" s="9" t="s">
        <v>339</v>
      </c>
      <c r="J183" s="20" t="s">
        <v>116</v>
      </c>
      <c r="K183" s="21"/>
      <c r="L183" s="21"/>
      <c r="M183" s="22" t="s">
        <v>120</v>
      </c>
      <c r="N183" s="21"/>
      <c r="O183" s="20" t="s">
        <v>116</v>
      </c>
      <c r="P183" s="20" t="s">
        <v>116</v>
      </c>
      <c r="Q183" s="21"/>
      <c r="R183" s="21"/>
      <c r="S183" s="21"/>
      <c r="T183" s="21"/>
      <c r="U183" s="9" t="s">
        <v>345</v>
      </c>
      <c r="V183" s="9" t="s">
        <v>196</v>
      </c>
    </row>
    <row r="184" ht="14.25" customHeight="1">
      <c r="A184" s="9" t="s">
        <v>396</v>
      </c>
      <c r="B184" s="9" t="s">
        <v>395</v>
      </c>
      <c r="C184" s="9" t="str">
        <f t="array" ref="C184">INDEX(Funciones!$G$2:$G$372,MATCH($A184,Funciones!$B$2:$B$372,0))</f>
        <v>Suministrar aceite con caudal de 38 a 42 L/min</v>
      </c>
      <c r="D184" s="9" t="s">
        <v>3419</v>
      </c>
      <c r="E184" s="9" t="s">
        <v>865</v>
      </c>
      <c r="F184" s="9" t="s">
        <v>2222</v>
      </c>
      <c r="G184" s="9" t="s">
        <v>2225</v>
      </c>
      <c r="H184" s="18" t="str">
        <f t="array" ref="H184">_xlfn.XLOOKUP(E:E,'Calificación consecuencia'!B:B,'Calificación consecuencia'!K:K,"No encontrada",2)</f>
        <v>Baja</v>
      </c>
      <c r="I184" s="9" t="s">
        <v>339</v>
      </c>
      <c r="J184" s="20" t="s">
        <v>116</v>
      </c>
      <c r="K184" s="21"/>
      <c r="L184" s="21"/>
      <c r="M184" s="22" t="s">
        <v>120</v>
      </c>
      <c r="N184" s="21"/>
      <c r="O184" s="20" t="s">
        <v>116</v>
      </c>
      <c r="P184" s="22" t="s">
        <v>120</v>
      </c>
      <c r="Q184" s="20" t="s">
        <v>116</v>
      </c>
      <c r="R184" s="21"/>
      <c r="S184" s="21"/>
      <c r="T184" s="21"/>
      <c r="U184" s="9" t="s">
        <v>785</v>
      </c>
      <c r="V184" s="9" t="s">
        <v>786</v>
      </c>
    </row>
    <row r="185" ht="14.25" customHeight="1">
      <c r="A185" s="9" t="s">
        <v>396</v>
      </c>
      <c r="B185" s="9" t="s">
        <v>395</v>
      </c>
      <c r="C185" s="9" t="str">
        <f t="array" ref="C185">INDEX(Funciones!$G$2:$G$372,MATCH($A185,Funciones!$B$2:$B$372,0))</f>
        <v>Suministrar aceite con caudal de 38 a 42 L/min</v>
      </c>
      <c r="D185" s="9" t="s">
        <v>3425</v>
      </c>
      <c r="E185" s="9" t="s">
        <v>874</v>
      </c>
      <c r="F185" s="9" t="s">
        <v>2254</v>
      </c>
      <c r="G185" s="9" t="s">
        <v>2255</v>
      </c>
      <c r="H185" s="18" t="str">
        <f t="array" ref="H185">_xlfn.XLOOKUP(E:E,'Calificación consecuencia'!B:B,'Calificación consecuencia'!K:K,"No encontrada",2)</f>
        <v>Baja</v>
      </c>
      <c r="I185" s="9" t="s">
        <v>1800</v>
      </c>
      <c r="J185" s="20" t="s">
        <v>116</v>
      </c>
      <c r="K185" s="21"/>
      <c r="L185" s="21"/>
      <c r="M185" s="22" t="s">
        <v>120</v>
      </c>
      <c r="N185" s="21"/>
      <c r="O185" s="20" t="s">
        <v>116</v>
      </c>
      <c r="P185" s="20" t="s">
        <v>116</v>
      </c>
      <c r="Q185" s="21"/>
      <c r="R185" s="21"/>
      <c r="S185" s="21"/>
      <c r="T185" s="21"/>
      <c r="U185" s="9" t="s">
        <v>345</v>
      </c>
      <c r="V185" s="9" t="s">
        <v>196</v>
      </c>
    </row>
    <row r="186" ht="14.25" customHeight="1">
      <c r="A186" s="9" t="s">
        <v>396</v>
      </c>
      <c r="B186" s="9" t="s">
        <v>395</v>
      </c>
      <c r="C186" s="9" t="str">
        <f t="array" ref="C186">INDEX(Funciones!$G$2:$G$372,MATCH($A186,Funciones!$B$2:$B$372,0))</f>
        <v>Suministrar aceite con caudal de 38 a 42 L/min</v>
      </c>
      <c r="D186" s="9" t="s">
        <v>3425</v>
      </c>
      <c r="E186" s="9" t="s">
        <v>882</v>
      </c>
      <c r="F186" s="9" t="s">
        <v>2270</v>
      </c>
      <c r="G186" s="9" t="s">
        <v>2271</v>
      </c>
      <c r="H186" s="18" t="str">
        <f t="array" ref="H186">_xlfn.XLOOKUP(E:E,'Calificación consecuencia'!B:B,'Calificación consecuencia'!K:K,"No encontrada",2)</f>
        <v>Baja</v>
      </c>
      <c r="I186" s="9" t="s">
        <v>2106</v>
      </c>
      <c r="J186" s="20" t="s">
        <v>116</v>
      </c>
      <c r="K186" s="21"/>
      <c r="L186" s="21"/>
      <c r="M186" s="22" t="s">
        <v>120</v>
      </c>
      <c r="N186" s="21"/>
      <c r="O186" s="22" t="s">
        <v>120</v>
      </c>
      <c r="P186" s="21"/>
      <c r="Q186" s="21"/>
      <c r="R186" s="21"/>
      <c r="S186" s="22" t="s">
        <v>120</v>
      </c>
      <c r="T186" s="21"/>
      <c r="U186" s="9" t="s">
        <v>1680</v>
      </c>
      <c r="V186" s="9" t="s">
        <v>1408</v>
      </c>
    </row>
    <row r="187" ht="14.25" customHeight="1">
      <c r="A187" s="9" t="s">
        <v>396</v>
      </c>
      <c r="B187" s="9" t="s">
        <v>395</v>
      </c>
      <c r="C187" s="9" t="str">
        <f t="array" ref="C187">INDEX(Funciones!$G$2:$G$372,MATCH($A187,Funciones!$B$2:$B$372,0))</f>
        <v>Suministrar aceite con caudal de 38 a 42 L/min</v>
      </c>
      <c r="D187" s="9" t="s">
        <v>3425</v>
      </c>
      <c r="E187" s="9" t="s">
        <v>887</v>
      </c>
      <c r="F187" s="9" t="s">
        <v>2296</v>
      </c>
      <c r="G187" s="9" t="s">
        <v>2225</v>
      </c>
      <c r="H187" s="18" t="str">
        <f t="array" ref="H187">_xlfn.XLOOKUP(E:E,'Calificación consecuencia'!B:B,'Calificación consecuencia'!K:K,"No encontrada",2)</f>
        <v>Baja</v>
      </c>
      <c r="I187" s="9" t="s">
        <v>2106</v>
      </c>
      <c r="J187" s="20" t="s">
        <v>116</v>
      </c>
      <c r="K187" s="21"/>
      <c r="L187" s="21"/>
      <c r="M187" s="22" t="s">
        <v>120</v>
      </c>
      <c r="N187" s="21"/>
      <c r="O187" s="22" t="s">
        <v>120</v>
      </c>
      <c r="P187" s="21"/>
      <c r="Q187" s="21"/>
      <c r="R187" s="21"/>
      <c r="S187" s="22" t="s">
        <v>120</v>
      </c>
      <c r="T187" s="21"/>
      <c r="U187" s="9" t="s">
        <v>1680</v>
      </c>
      <c r="V187" s="9" t="s">
        <v>1408</v>
      </c>
    </row>
    <row r="188" ht="14.25" customHeight="1">
      <c r="A188" s="9" t="s">
        <v>396</v>
      </c>
      <c r="B188" s="9" t="s">
        <v>395</v>
      </c>
      <c r="C188" s="9" t="str">
        <f t="array" ref="C188">INDEX(Funciones!$G$2:$G$372,MATCH($A188,Funciones!$B$2:$B$372,0))</f>
        <v>Suministrar aceite con caudal de 38 a 42 L/min</v>
      </c>
      <c r="D188" s="9" t="s">
        <v>3425</v>
      </c>
      <c r="E188" s="9" t="s">
        <v>898</v>
      </c>
      <c r="F188" s="9" t="s">
        <v>2322</v>
      </c>
      <c r="G188" s="9" t="s">
        <v>2323</v>
      </c>
      <c r="H188" s="18" t="str">
        <f t="array" ref="H188">_xlfn.XLOOKUP(E:E,'Calificación consecuencia'!B:B,'Calificación consecuencia'!K:K,"No encontrada",2)</f>
        <v>Media</v>
      </c>
      <c r="I188" s="9" t="s">
        <v>1800</v>
      </c>
      <c r="J188" s="20" t="s">
        <v>116</v>
      </c>
      <c r="K188" s="21"/>
      <c r="L188" s="21"/>
      <c r="M188" s="22" t="s">
        <v>120</v>
      </c>
      <c r="N188" s="21"/>
      <c r="O188" s="20" t="s">
        <v>116</v>
      </c>
      <c r="P188" s="20" t="s">
        <v>116</v>
      </c>
      <c r="Q188" s="21"/>
      <c r="R188" s="21"/>
      <c r="S188" s="21"/>
      <c r="T188" s="21"/>
      <c r="U188" s="9" t="s">
        <v>345</v>
      </c>
      <c r="V188" s="9" t="s">
        <v>196</v>
      </c>
    </row>
    <row r="189" ht="14.25" customHeight="1">
      <c r="A189" s="9" t="s">
        <v>396</v>
      </c>
      <c r="B189" s="9" t="s">
        <v>395</v>
      </c>
      <c r="C189" s="9" t="str">
        <f t="array" ref="C189">INDEX(Funciones!$G$2:$G$372,MATCH($A189,Funciones!$B$2:$B$372,0))</f>
        <v>Suministrar aceite con caudal de 38 a 42 L/min</v>
      </c>
      <c r="D189" s="9" t="s">
        <v>3425</v>
      </c>
      <c r="E189" s="9" t="s">
        <v>902</v>
      </c>
      <c r="F189" s="9" t="s">
        <v>2351</v>
      </c>
      <c r="G189" s="9" t="s">
        <v>2353</v>
      </c>
      <c r="H189" s="18" t="str">
        <f t="array" ref="H189">_xlfn.XLOOKUP(E:E,'Calificación consecuencia'!B:B,'Calificación consecuencia'!K:K,"No encontrada",2)</f>
        <v>Baja</v>
      </c>
      <c r="I189" s="9" t="s">
        <v>2106</v>
      </c>
      <c r="J189" s="20" t="s">
        <v>116</v>
      </c>
      <c r="K189" s="21"/>
      <c r="L189" s="21"/>
      <c r="M189" s="22" t="s">
        <v>120</v>
      </c>
      <c r="N189" s="21"/>
      <c r="O189" s="22" t="s">
        <v>120</v>
      </c>
      <c r="P189" s="21"/>
      <c r="Q189" s="21"/>
      <c r="R189" s="21"/>
      <c r="S189" s="22" t="s">
        <v>120</v>
      </c>
      <c r="T189" s="21"/>
      <c r="U189" s="9" t="s">
        <v>1680</v>
      </c>
      <c r="V189" s="9" t="s">
        <v>1408</v>
      </c>
    </row>
    <row r="190" ht="14.25" customHeight="1">
      <c r="A190" s="27" t="s">
        <v>408</v>
      </c>
      <c r="B190" s="27" t="s">
        <v>407</v>
      </c>
      <c r="C190" s="27" t="str">
        <f t="array" ref="C190">INDEX(Funciones!$G$2:$G$372,MATCH($A190,Funciones!$B$2:$B$372,0))</f>
        <v>Limitar la excentricidad a un máximo de 0,1 mm</v>
      </c>
      <c r="D190" s="27" t="s">
        <v>3429</v>
      </c>
      <c r="E190" s="27" t="s">
        <v>1515</v>
      </c>
      <c r="F190" s="27" t="s">
        <v>3430</v>
      </c>
      <c r="G190" s="27" t="s">
        <v>3431</v>
      </c>
      <c r="H190" s="18" t="str">
        <f t="array" ref="H190">_xlfn.XLOOKUP(E:E,'Calificación consecuencia'!B:B,'Calificación consecuencia'!K:K,"No encontrada",2)</f>
        <v>Baja</v>
      </c>
      <c r="I190" s="27" t="s">
        <v>339</v>
      </c>
      <c r="J190" s="30" t="s">
        <v>116</v>
      </c>
      <c r="K190" s="21"/>
      <c r="L190" s="21"/>
      <c r="M190" s="29" t="s">
        <v>120</v>
      </c>
      <c r="N190" s="21"/>
      <c r="O190" s="30" t="s">
        <v>116</v>
      </c>
      <c r="P190" s="30" t="s">
        <v>116</v>
      </c>
      <c r="Q190" s="21"/>
      <c r="R190" s="21"/>
      <c r="S190" s="21"/>
      <c r="T190" s="21"/>
      <c r="U190" s="27" t="s">
        <v>345</v>
      </c>
      <c r="V190" s="27" t="s">
        <v>196</v>
      </c>
    </row>
    <row r="191" ht="14.25" customHeight="1">
      <c r="A191" s="27" t="s">
        <v>408</v>
      </c>
      <c r="B191" s="27" t="s">
        <v>407</v>
      </c>
      <c r="C191" s="27" t="str">
        <f t="array" ref="C191">INDEX(Funciones!$G$2:$G$372,MATCH($A191,Funciones!$B$2:$B$372,0))</f>
        <v>Limitar la excentricidad a un máximo de 0,1 mm</v>
      </c>
      <c r="D191" s="27" t="s">
        <v>3432</v>
      </c>
      <c r="E191" s="27" t="s">
        <v>1519</v>
      </c>
      <c r="F191" s="27" t="s">
        <v>3433</v>
      </c>
      <c r="G191" s="27" t="s">
        <v>3434</v>
      </c>
      <c r="H191" s="18" t="str">
        <f t="array" ref="H191">_xlfn.XLOOKUP(E:E,'Calificación consecuencia'!B:B,'Calificación consecuencia'!K:K,"No encontrada",2)</f>
        <v>Baja</v>
      </c>
      <c r="I191" s="27" t="s">
        <v>2106</v>
      </c>
      <c r="J191" s="30" t="s">
        <v>116</v>
      </c>
      <c r="K191" s="21"/>
      <c r="L191" s="21"/>
      <c r="M191" s="29" t="s">
        <v>120</v>
      </c>
      <c r="N191" s="21"/>
      <c r="O191" s="30" t="s">
        <v>116</v>
      </c>
      <c r="P191" s="30" t="s">
        <v>116</v>
      </c>
      <c r="Q191" s="21"/>
      <c r="R191" s="21"/>
      <c r="S191" s="21"/>
      <c r="T191" s="21"/>
      <c r="U191" s="27" t="s">
        <v>345</v>
      </c>
      <c r="V191" s="27" t="s">
        <v>196</v>
      </c>
    </row>
    <row r="192" ht="14.25" customHeight="1">
      <c r="A192" s="27" t="s">
        <v>408</v>
      </c>
      <c r="B192" s="27" t="s">
        <v>407</v>
      </c>
      <c r="C192" s="27" t="str">
        <f t="array" ref="C192">INDEX(Funciones!$G$2:$G$372,MATCH($A192,Funciones!$B$2:$B$372,0))</f>
        <v>Limitar la excentricidad a un máximo de 0,1 mm</v>
      </c>
      <c r="D192" s="27" t="s">
        <v>3432</v>
      </c>
      <c r="E192" s="27" t="s">
        <v>1524</v>
      </c>
      <c r="F192" s="27" t="s">
        <v>3435</v>
      </c>
      <c r="G192" s="27" t="s">
        <v>3436</v>
      </c>
      <c r="H192" s="18" t="str">
        <f t="array" ref="H192">_xlfn.XLOOKUP(E:E,'Calificación consecuencia'!B:B,'Calificación consecuencia'!K:K,"No encontrada",2)</f>
        <v>Media</v>
      </c>
      <c r="I192" s="27" t="s">
        <v>1800</v>
      </c>
      <c r="J192" s="30" t="s">
        <v>116</v>
      </c>
      <c r="K192" s="21"/>
      <c r="L192" s="21"/>
      <c r="M192" s="29" t="s">
        <v>120</v>
      </c>
      <c r="N192" s="21"/>
      <c r="O192" s="30" t="s">
        <v>116</v>
      </c>
      <c r="P192" s="29" t="s">
        <v>120</v>
      </c>
      <c r="Q192" s="29" t="s">
        <v>120</v>
      </c>
      <c r="R192" s="29" t="s">
        <v>120</v>
      </c>
      <c r="S192" s="21"/>
      <c r="T192" s="21"/>
      <c r="U192" s="27" t="s">
        <v>230</v>
      </c>
      <c r="V192" s="27" t="s">
        <v>230</v>
      </c>
    </row>
    <row r="193" ht="14.25" customHeight="1">
      <c r="A193" s="9" t="s">
        <v>420</v>
      </c>
      <c r="B193" s="9" t="s">
        <v>407</v>
      </c>
      <c r="C193" s="9" t="str">
        <f t="array" ref="C193">INDEX(Funciones!$G$2:$G$372,MATCH($A193,Funciones!$B$2:$B$372,0))</f>
        <v>Igualar el diámetro en bogie con diferencia máxima de 0,3 mm</v>
      </c>
      <c r="D193" s="9" t="s">
        <v>3437</v>
      </c>
      <c r="E193" s="9" t="s">
        <v>1529</v>
      </c>
      <c r="F193" s="9" t="s">
        <v>3438</v>
      </c>
      <c r="G193" s="9" t="s">
        <v>3439</v>
      </c>
      <c r="H193" s="18" t="str">
        <f t="array" ref="H193">_xlfn.XLOOKUP(E:E,'Calificación consecuencia'!B:B,'Calificación consecuencia'!K:K,"No encontrada",2)</f>
        <v>Baja</v>
      </c>
      <c r="I193" s="9" t="s">
        <v>339</v>
      </c>
      <c r="J193" s="20" t="s">
        <v>116</v>
      </c>
      <c r="K193" s="21"/>
      <c r="L193" s="21"/>
      <c r="M193" s="22" t="s">
        <v>120</v>
      </c>
      <c r="N193" s="21"/>
      <c r="O193" s="20" t="s">
        <v>116</v>
      </c>
      <c r="P193" s="22" t="s">
        <v>120</v>
      </c>
      <c r="Q193" s="22" t="s">
        <v>120</v>
      </c>
      <c r="R193" s="22" t="s">
        <v>120</v>
      </c>
      <c r="S193" s="21"/>
      <c r="T193" s="21"/>
      <c r="U193" s="9" t="s">
        <v>230</v>
      </c>
      <c r="V193" s="9" t="s">
        <v>230</v>
      </c>
    </row>
    <row r="194" ht="14.25" customHeight="1">
      <c r="A194" s="9" t="s">
        <v>420</v>
      </c>
      <c r="B194" s="9" t="s">
        <v>407</v>
      </c>
      <c r="C194" s="9" t="str">
        <f t="array" ref="C194">INDEX(Funciones!$G$2:$G$372,MATCH($A194,Funciones!$B$2:$B$372,0))</f>
        <v>Igualar el diámetro en bogie con diferencia máxima de 0,3 mm</v>
      </c>
      <c r="D194" s="9" t="s">
        <v>3440</v>
      </c>
      <c r="E194" s="9" t="s">
        <v>1536</v>
      </c>
      <c r="F194" s="9" t="s">
        <v>3441</v>
      </c>
      <c r="G194" s="9" t="s">
        <v>3442</v>
      </c>
      <c r="H194" s="18" t="str">
        <f t="array" ref="H194">_xlfn.XLOOKUP(E:E,'Calificación consecuencia'!B:B,'Calificación consecuencia'!K:K,"No encontrada",2)</f>
        <v>Media</v>
      </c>
      <c r="I194" s="9" t="s">
        <v>2106</v>
      </c>
      <c r="J194" s="20" t="s">
        <v>116</v>
      </c>
      <c r="K194" s="21"/>
      <c r="L194" s="21"/>
      <c r="M194" s="22" t="s">
        <v>120</v>
      </c>
      <c r="N194" s="21"/>
      <c r="O194" s="20" t="s">
        <v>116</v>
      </c>
      <c r="P194" s="20" t="s">
        <v>116</v>
      </c>
      <c r="Q194" s="21"/>
      <c r="R194" s="21"/>
      <c r="S194" s="21"/>
      <c r="T194" s="21"/>
      <c r="U194" s="9" t="s">
        <v>345</v>
      </c>
      <c r="V194" s="9" t="s">
        <v>196</v>
      </c>
    </row>
    <row r="195" ht="14.25" customHeight="1">
      <c r="A195" s="9" t="s">
        <v>420</v>
      </c>
      <c r="B195" s="9" t="s">
        <v>407</v>
      </c>
      <c r="C195" s="9" t="str">
        <f t="array" ref="C195">INDEX(Funciones!$G$2:$G$372,MATCH($A195,Funciones!$B$2:$B$372,0))</f>
        <v>Igualar el diámetro en bogie con diferencia máxima de 0,3 mm</v>
      </c>
      <c r="D195" s="9" t="s">
        <v>3440</v>
      </c>
      <c r="E195" s="9" t="s">
        <v>1537</v>
      </c>
      <c r="F195" s="9" t="s">
        <v>3446</v>
      </c>
      <c r="G195" s="9" t="s">
        <v>3447</v>
      </c>
      <c r="H195" s="18" t="str">
        <f t="array" ref="H195">_xlfn.XLOOKUP(E:E,'Calificación consecuencia'!B:B,'Calificación consecuencia'!K:K,"No encontrada",2)</f>
        <v>Baja</v>
      </c>
      <c r="I195" s="9" t="s">
        <v>2106</v>
      </c>
      <c r="J195" s="20" t="s">
        <v>116</v>
      </c>
      <c r="K195" s="21"/>
      <c r="L195" s="21"/>
      <c r="M195" s="22" t="s">
        <v>120</v>
      </c>
      <c r="N195" s="21"/>
      <c r="O195" s="22" t="s">
        <v>120</v>
      </c>
      <c r="P195" s="21"/>
      <c r="Q195" s="21"/>
      <c r="R195" s="21"/>
      <c r="S195" s="22" t="s">
        <v>120</v>
      </c>
      <c r="T195" s="21"/>
      <c r="U195" s="9" t="s">
        <v>1680</v>
      </c>
      <c r="V195" s="9" t="s">
        <v>1408</v>
      </c>
    </row>
    <row r="196" ht="14.25" customHeight="1">
      <c r="A196" s="27" t="s">
        <v>427</v>
      </c>
      <c r="B196" s="27" t="s">
        <v>426</v>
      </c>
      <c r="C196" s="27" t="str">
        <f t="array" ref="C196">INDEX(Funciones!$G$2:$G$372,MATCH($A196,Funciones!$B$2:$B$372,0))</f>
        <v>Suministrar energía eléctrica de 80 kVA</v>
      </c>
      <c r="D196" s="27" t="s">
        <v>3452</v>
      </c>
      <c r="E196" s="27" t="s">
        <v>1538</v>
      </c>
      <c r="F196" s="27" t="s">
        <v>3453</v>
      </c>
      <c r="G196" s="27" t="s">
        <v>3454</v>
      </c>
      <c r="H196" s="18" t="str">
        <f t="array" ref="H196">_xlfn.XLOOKUP(E:E,'Calificación consecuencia'!B:B,'Calificación consecuencia'!K:K,"No encontrada",2)</f>
        <v>Baja</v>
      </c>
      <c r="I196" s="27" t="s">
        <v>1449</v>
      </c>
      <c r="J196" s="30" t="s">
        <v>116</v>
      </c>
      <c r="K196" s="21"/>
      <c r="L196" s="21"/>
      <c r="M196" s="29" t="s">
        <v>120</v>
      </c>
      <c r="N196" s="21"/>
      <c r="O196" s="30" t="s">
        <v>116</v>
      </c>
      <c r="P196" s="30" t="s">
        <v>116</v>
      </c>
      <c r="Q196" s="21"/>
      <c r="R196" s="21"/>
      <c r="S196" s="21"/>
      <c r="T196" s="21"/>
      <c r="U196" s="27" t="s">
        <v>345</v>
      </c>
      <c r="V196" s="27" t="s">
        <v>196</v>
      </c>
    </row>
    <row r="197" ht="14.25" customHeight="1">
      <c r="A197" s="27" t="s">
        <v>427</v>
      </c>
      <c r="B197" s="27" t="s">
        <v>426</v>
      </c>
      <c r="C197" s="27" t="str">
        <f t="array" ref="C197">INDEX(Funciones!$G$2:$G$372,MATCH($A197,Funciones!$B$2:$B$372,0))</f>
        <v>Suministrar energía eléctrica de 80 kVA</v>
      </c>
      <c r="D197" s="27" t="s">
        <v>3452</v>
      </c>
      <c r="E197" s="27" t="s">
        <v>1540</v>
      </c>
      <c r="F197" s="27" t="s">
        <v>3455</v>
      </c>
      <c r="G197" s="27" t="s">
        <v>3456</v>
      </c>
      <c r="H197" s="18" t="str">
        <f t="array" ref="H197">_xlfn.XLOOKUP(E:E,'Calificación consecuencia'!B:B,'Calificación consecuencia'!K:K,"No encontrada",2)</f>
        <v>Baja</v>
      </c>
      <c r="I197" s="27" t="s">
        <v>339</v>
      </c>
      <c r="J197" s="30" t="s">
        <v>116</v>
      </c>
      <c r="K197" s="21"/>
      <c r="L197" s="21"/>
      <c r="M197" s="29" t="s">
        <v>120</v>
      </c>
      <c r="N197" s="21"/>
      <c r="O197" s="30" t="s">
        <v>116</v>
      </c>
      <c r="P197" s="29" t="s">
        <v>120</v>
      </c>
      <c r="Q197" s="29" t="s">
        <v>120</v>
      </c>
      <c r="R197" s="30" t="s">
        <v>116</v>
      </c>
      <c r="S197" s="21"/>
      <c r="T197" s="21"/>
      <c r="U197" s="27" t="s">
        <v>1680</v>
      </c>
      <c r="V197" s="27" t="s">
        <v>1408</v>
      </c>
    </row>
    <row r="198" ht="14.25" customHeight="1">
      <c r="A198" s="27" t="s">
        <v>427</v>
      </c>
      <c r="B198" s="27" t="s">
        <v>426</v>
      </c>
      <c r="C198" s="27" t="str">
        <f t="array" ref="C198">INDEX(Funciones!$G$2:$G$372,MATCH($A198,Funciones!$B$2:$B$372,0))</f>
        <v>Suministrar energía eléctrica de 80 kVA</v>
      </c>
      <c r="D198" s="27" t="s">
        <v>3452</v>
      </c>
      <c r="E198" s="27" t="s">
        <v>1541</v>
      </c>
      <c r="F198" s="27" t="s">
        <v>3457</v>
      </c>
      <c r="G198" s="27" t="s">
        <v>3458</v>
      </c>
      <c r="H198" s="18" t="str">
        <f t="array" ref="H198">_xlfn.XLOOKUP(E:E,'Calificación consecuencia'!B:B,'Calificación consecuencia'!K:K,"No encontrada",2)</f>
        <v>Baja</v>
      </c>
      <c r="I198" s="27" t="s">
        <v>339</v>
      </c>
      <c r="J198" s="30" t="s">
        <v>116</v>
      </c>
      <c r="K198" s="21"/>
      <c r="L198" s="21"/>
      <c r="M198" s="29" t="s">
        <v>120</v>
      </c>
      <c r="N198" s="21"/>
      <c r="O198" s="30" t="s">
        <v>116</v>
      </c>
      <c r="P198" s="29" t="s">
        <v>120</v>
      </c>
      <c r="Q198" s="30" t="s">
        <v>116</v>
      </c>
      <c r="R198" s="21"/>
      <c r="S198" s="21"/>
      <c r="T198" s="21"/>
      <c r="U198" s="27" t="s">
        <v>785</v>
      </c>
      <c r="V198" s="27" t="s">
        <v>786</v>
      </c>
    </row>
    <row r="199" ht="14.25" customHeight="1">
      <c r="A199" s="27" t="s">
        <v>427</v>
      </c>
      <c r="B199" s="27" t="s">
        <v>426</v>
      </c>
      <c r="C199" s="27" t="str">
        <f t="array" ref="C199">INDEX(Funciones!$G$2:$G$372,MATCH($A199,Funciones!$B$2:$B$372,0))</f>
        <v>Suministrar energía eléctrica de 80 kVA</v>
      </c>
      <c r="D199" s="27" t="s">
        <v>3459</v>
      </c>
      <c r="E199" s="27" t="s">
        <v>1542</v>
      </c>
      <c r="F199" s="27" t="s">
        <v>3460</v>
      </c>
      <c r="G199" s="27" t="s">
        <v>3461</v>
      </c>
      <c r="H199" s="18" t="str">
        <f t="array" ref="H199">_xlfn.XLOOKUP(E:E,'Calificación consecuencia'!B:B,'Calificación consecuencia'!K:K,"No encontrada",2)</f>
        <v>Baja</v>
      </c>
      <c r="I199" s="27" t="s">
        <v>2106</v>
      </c>
      <c r="J199" s="30" t="s">
        <v>116</v>
      </c>
      <c r="K199" s="21"/>
      <c r="L199" s="21"/>
      <c r="M199" s="29" t="s">
        <v>120</v>
      </c>
      <c r="N199" s="21"/>
      <c r="O199" s="29" t="s">
        <v>120</v>
      </c>
      <c r="P199" s="21"/>
      <c r="Q199" s="21"/>
      <c r="R199" s="21"/>
      <c r="S199" s="29" t="s">
        <v>120</v>
      </c>
      <c r="T199" s="21"/>
      <c r="U199" s="27" t="s">
        <v>1680</v>
      </c>
      <c r="V199" s="27" t="s">
        <v>1408</v>
      </c>
    </row>
    <row r="200" ht="14.25" customHeight="1">
      <c r="A200" s="27" t="s">
        <v>427</v>
      </c>
      <c r="B200" s="27" t="s">
        <v>426</v>
      </c>
      <c r="C200" s="27" t="str">
        <f t="array" ref="C200">INDEX(Funciones!$G$2:$G$372,MATCH($A200,Funciones!$B$2:$B$372,0))</f>
        <v>Suministrar energía eléctrica de 80 kVA</v>
      </c>
      <c r="D200" s="27" t="s">
        <v>3459</v>
      </c>
      <c r="E200" s="27" t="s">
        <v>1544</v>
      </c>
      <c r="F200" s="27" t="s">
        <v>3462</v>
      </c>
      <c r="G200" s="27" t="s">
        <v>3463</v>
      </c>
      <c r="H200" s="18" t="str">
        <f t="array" ref="H200">_xlfn.XLOOKUP(E:E,'Calificación consecuencia'!B:B,'Calificación consecuencia'!K:K,"No encontrada",2)</f>
        <v>Baja</v>
      </c>
      <c r="I200" s="27" t="s">
        <v>2106</v>
      </c>
      <c r="J200" s="30" t="s">
        <v>116</v>
      </c>
      <c r="K200" s="21"/>
      <c r="L200" s="21"/>
      <c r="M200" s="29" t="s">
        <v>120</v>
      </c>
      <c r="N200" s="21"/>
      <c r="O200" s="29" t="s">
        <v>120</v>
      </c>
      <c r="P200" s="21"/>
      <c r="Q200" s="21"/>
      <c r="R200" s="21"/>
      <c r="S200" s="29" t="s">
        <v>120</v>
      </c>
      <c r="T200" s="21"/>
      <c r="U200" s="27" t="s">
        <v>1680</v>
      </c>
      <c r="V200" s="27" t="s">
        <v>1408</v>
      </c>
    </row>
    <row r="201" ht="14.25" customHeight="1">
      <c r="A201" s="9" t="s">
        <v>347</v>
      </c>
      <c r="B201" s="9" t="s">
        <v>436</v>
      </c>
      <c r="C201" s="9" t="str">
        <f t="array" ref="C201">INDEX(Funciones!$G$2:$G$372,MATCH($A201,Funciones!$B$2:$B$372,0))</f>
        <v>Suministrar aceite con un caudal de 13 a 16 L/min</v>
      </c>
      <c r="D201" s="9" t="s">
        <v>3464</v>
      </c>
      <c r="E201" s="9" t="s">
        <v>971</v>
      </c>
      <c r="F201" s="9" t="s">
        <v>2520</v>
      </c>
      <c r="G201" s="9" t="s">
        <v>2521</v>
      </c>
      <c r="H201" s="18" t="str">
        <f t="array" ref="H201">_xlfn.XLOOKUP(E:E,'Calificación consecuencia'!B:B,'Calificación consecuencia'!K:K,"No encontrada",2)</f>
        <v>Baja</v>
      </c>
      <c r="I201" s="9" t="s">
        <v>1351</v>
      </c>
      <c r="J201" s="22" t="s">
        <v>120</v>
      </c>
      <c r="K201" s="20" t="s">
        <v>116</v>
      </c>
      <c r="L201" s="21"/>
      <c r="M201" s="21"/>
      <c r="N201" s="21"/>
      <c r="O201" s="21"/>
      <c r="P201" s="21"/>
      <c r="Q201" s="21"/>
      <c r="R201" s="21"/>
      <c r="S201" s="21"/>
      <c r="T201" s="21"/>
      <c r="U201" s="9" t="s">
        <v>439</v>
      </c>
      <c r="V201" s="9" t="s">
        <v>440</v>
      </c>
    </row>
    <row r="202" ht="14.25" customHeight="1">
      <c r="A202" s="9" t="s">
        <v>347</v>
      </c>
      <c r="B202" s="9" t="s">
        <v>436</v>
      </c>
      <c r="C202" s="9" t="str">
        <f t="array" ref="C202">INDEX(Funciones!$G$2:$G$372,MATCH($A202,Funciones!$B$2:$B$372,0))</f>
        <v>Suministrar aceite con un caudal de 13 a 16 L/min</v>
      </c>
      <c r="D202" s="9" t="s">
        <v>3464</v>
      </c>
      <c r="E202" s="9" t="s">
        <v>974</v>
      </c>
      <c r="F202" s="9" t="s">
        <v>2543</v>
      </c>
      <c r="G202" s="9" t="s">
        <v>2544</v>
      </c>
      <c r="H202" s="18" t="str">
        <f t="array" ref="H202">_xlfn.XLOOKUP(E:E,'Calificación consecuencia'!B:B,'Calificación consecuencia'!K:K,"No encontrada",2)</f>
        <v>Baja</v>
      </c>
      <c r="I202" s="9" t="s">
        <v>1351</v>
      </c>
      <c r="J202" s="22" t="s">
        <v>120</v>
      </c>
      <c r="K202" s="20" t="s">
        <v>116</v>
      </c>
      <c r="L202" s="21"/>
      <c r="M202" s="21"/>
      <c r="N202" s="21"/>
      <c r="O202" s="21"/>
      <c r="P202" s="21"/>
      <c r="Q202" s="21"/>
      <c r="R202" s="21"/>
      <c r="S202" s="21"/>
      <c r="T202" s="21"/>
      <c r="U202" s="9" t="s">
        <v>439</v>
      </c>
      <c r="V202" s="9" t="s">
        <v>440</v>
      </c>
    </row>
    <row r="203" ht="14.25" customHeight="1">
      <c r="A203" s="9" t="s">
        <v>347</v>
      </c>
      <c r="B203" s="9" t="s">
        <v>436</v>
      </c>
      <c r="C203" s="9" t="str">
        <f t="array" ref="C203">INDEX(Funciones!$G$2:$G$372,MATCH($A203,Funciones!$B$2:$B$372,0))</f>
        <v>Suministrar aceite con un caudal de 13 a 16 L/min</v>
      </c>
      <c r="D203" s="9" t="s">
        <v>3464</v>
      </c>
      <c r="E203" s="9" t="s">
        <v>976</v>
      </c>
      <c r="F203" s="9" t="s">
        <v>2576</v>
      </c>
      <c r="G203" s="9" t="s">
        <v>2579</v>
      </c>
      <c r="H203" s="18" t="str">
        <f t="array" ref="H203">_xlfn.XLOOKUP(E:E,'Calificación consecuencia'!B:B,'Calificación consecuencia'!K:K,"No encontrada",2)</f>
        <v>Baja</v>
      </c>
      <c r="I203" s="9" t="s">
        <v>425</v>
      </c>
      <c r="J203" s="22" t="s">
        <v>120</v>
      </c>
      <c r="K203" s="20" t="s">
        <v>116</v>
      </c>
      <c r="L203" s="21"/>
      <c r="M203" s="21"/>
      <c r="N203" s="21"/>
      <c r="O203" s="21"/>
      <c r="P203" s="21"/>
      <c r="Q203" s="21"/>
      <c r="R203" s="21"/>
      <c r="S203" s="21"/>
      <c r="T203" s="21"/>
      <c r="U203" s="9" t="s">
        <v>439</v>
      </c>
      <c r="V203" s="9" t="s">
        <v>440</v>
      </c>
    </row>
    <row r="204" ht="14.25" customHeight="1">
      <c r="A204" s="9" t="s">
        <v>347</v>
      </c>
      <c r="B204" s="9" t="s">
        <v>436</v>
      </c>
      <c r="C204" s="9" t="str">
        <f t="array" ref="C204">INDEX(Funciones!$G$2:$G$372,MATCH($A204,Funciones!$B$2:$B$372,0))</f>
        <v>Suministrar aceite con un caudal de 13 a 16 L/min</v>
      </c>
      <c r="D204" s="9" t="s">
        <v>3465</v>
      </c>
      <c r="E204" s="9" t="s">
        <v>982</v>
      </c>
      <c r="F204" s="9" t="s">
        <v>2608</v>
      </c>
      <c r="G204" s="9" t="s">
        <v>2609</v>
      </c>
      <c r="H204" s="18" t="str">
        <f t="array" ref="H204">_xlfn.XLOOKUP(E:E,'Calificación consecuencia'!B:B,'Calificación consecuencia'!K:K,"No encontrada",2)</f>
        <v>Baja</v>
      </c>
      <c r="I204" s="9" t="s">
        <v>1800</v>
      </c>
      <c r="J204" s="22" t="s">
        <v>120</v>
      </c>
      <c r="K204" s="20" t="s">
        <v>116</v>
      </c>
      <c r="L204" s="21"/>
      <c r="M204" s="21"/>
      <c r="N204" s="21"/>
      <c r="O204" s="21"/>
      <c r="P204" s="21"/>
      <c r="Q204" s="21"/>
      <c r="R204" s="21"/>
      <c r="S204" s="21"/>
      <c r="T204" s="21"/>
      <c r="U204" s="9" t="s">
        <v>439</v>
      </c>
      <c r="V204" s="9" t="s">
        <v>440</v>
      </c>
    </row>
    <row r="205" ht="14.25" customHeight="1">
      <c r="A205" s="9" t="s">
        <v>347</v>
      </c>
      <c r="B205" s="9" t="s">
        <v>436</v>
      </c>
      <c r="C205" s="9" t="str">
        <f t="array" ref="C205">INDEX(Funciones!$G$2:$G$372,MATCH($A205,Funciones!$B$2:$B$372,0))</f>
        <v>Suministrar aceite con un caudal de 13 a 16 L/min</v>
      </c>
      <c r="D205" s="9" t="s">
        <v>3465</v>
      </c>
      <c r="E205" s="9" t="s">
        <v>990</v>
      </c>
      <c r="F205" s="9" t="s">
        <v>2642</v>
      </c>
      <c r="G205" s="9" t="s">
        <v>2643</v>
      </c>
      <c r="H205" s="18" t="str">
        <f t="array" ref="H205">_xlfn.XLOOKUP(E:E,'Calificación consecuencia'!B:B,'Calificación consecuencia'!K:K,"No encontrada",2)</f>
        <v>Media</v>
      </c>
      <c r="I205" s="9" t="s">
        <v>1800</v>
      </c>
      <c r="J205" s="22" t="s">
        <v>120</v>
      </c>
      <c r="K205" s="20" t="s">
        <v>116</v>
      </c>
      <c r="L205" s="21"/>
      <c r="M205" s="21"/>
      <c r="N205" s="21"/>
      <c r="O205" s="21"/>
      <c r="P205" s="21"/>
      <c r="Q205" s="21"/>
      <c r="R205" s="21"/>
      <c r="S205" s="21"/>
      <c r="T205" s="21"/>
      <c r="U205" s="9" t="s">
        <v>439</v>
      </c>
      <c r="V205" s="9" t="s">
        <v>440</v>
      </c>
    </row>
    <row r="206" ht="14.25" customHeight="1">
      <c r="A206" s="27" t="s">
        <v>371</v>
      </c>
      <c r="B206" s="27" t="s">
        <v>447</v>
      </c>
      <c r="C206" s="27" t="str">
        <f t="array" ref="C206">INDEX(Funciones!$G$2:$G$372,MATCH($A206,Funciones!$B$2:$B$372,0))</f>
        <v>Generar torque hasta 3.500 N.m</v>
      </c>
      <c r="D206" s="27" t="s">
        <v>3466</v>
      </c>
      <c r="E206" s="27" t="s">
        <v>1570</v>
      </c>
      <c r="F206" s="27" t="s">
        <v>3467</v>
      </c>
      <c r="G206" s="27" t="s">
        <v>3468</v>
      </c>
      <c r="H206" s="18" t="str">
        <f t="array" ref="H206">_xlfn.XLOOKUP(E:E,'Calificación consecuencia'!B:B,'Calificación consecuencia'!K:K,"No encontrada",2)</f>
        <v>Media</v>
      </c>
      <c r="I206" s="27" t="s">
        <v>1800</v>
      </c>
      <c r="J206" s="30" t="s">
        <v>116</v>
      </c>
      <c r="K206" s="21"/>
      <c r="L206" s="21"/>
      <c r="M206" s="29" t="s">
        <v>120</v>
      </c>
      <c r="N206" s="21"/>
      <c r="O206" s="30" t="s">
        <v>116</v>
      </c>
      <c r="P206" s="30" t="s">
        <v>116</v>
      </c>
      <c r="Q206" s="21"/>
      <c r="R206" s="21"/>
      <c r="S206" s="21"/>
      <c r="T206" s="21"/>
      <c r="U206" s="27" t="s">
        <v>345</v>
      </c>
      <c r="V206" s="27" t="s">
        <v>196</v>
      </c>
    </row>
    <row r="207" ht="14.25" customHeight="1">
      <c r="A207" s="27" t="s">
        <v>371</v>
      </c>
      <c r="B207" s="27" t="s">
        <v>447</v>
      </c>
      <c r="C207" s="27" t="str">
        <f t="array" ref="C207">INDEX(Funciones!$G$2:$G$372,MATCH($A207,Funciones!$B$2:$B$372,0))</f>
        <v>Generar torque hasta 3.500 N.m</v>
      </c>
      <c r="D207" s="27" t="s">
        <v>3466</v>
      </c>
      <c r="E207" s="27" t="s">
        <v>1576</v>
      </c>
      <c r="F207" s="27" t="s">
        <v>3469</v>
      </c>
      <c r="G207" s="27" t="s">
        <v>3470</v>
      </c>
      <c r="H207" s="18" t="str">
        <f t="array" ref="H207">_xlfn.XLOOKUP(E:E,'Calificación consecuencia'!B:B,'Calificación consecuencia'!K:K,"No encontrada",2)</f>
        <v>Baja</v>
      </c>
      <c r="I207" s="27" t="s">
        <v>1449</v>
      </c>
      <c r="J207" s="30" t="s">
        <v>116</v>
      </c>
      <c r="K207" s="21"/>
      <c r="L207" s="21"/>
      <c r="M207" s="29" t="s">
        <v>120</v>
      </c>
      <c r="N207" s="21"/>
      <c r="O207" s="29" t="s">
        <v>120</v>
      </c>
      <c r="P207" s="21"/>
      <c r="Q207" s="21"/>
      <c r="R207" s="21"/>
      <c r="S207" s="30" t="s">
        <v>116</v>
      </c>
      <c r="T207" s="30" t="s">
        <v>116</v>
      </c>
      <c r="U207" s="27" t="s">
        <v>3471</v>
      </c>
      <c r="V207" s="27" t="s">
        <v>196</v>
      </c>
    </row>
    <row r="208" ht="14.25" customHeight="1">
      <c r="A208" s="27" t="s">
        <v>371</v>
      </c>
      <c r="B208" s="27" t="s">
        <v>447</v>
      </c>
      <c r="C208" s="27" t="str">
        <f t="array" ref="C208">INDEX(Funciones!$G$2:$G$372,MATCH($A208,Funciones!$B$2:$B$372,0))</f>
        <v>Generar torque hasta 3.500 N.m</v>
      </c>
      <c r="D208" s="27" t="s">
        <v>3472</v>
      </c>
      <c r="E208" s="27" t="s">
        <v>1585</v>
      </c>
      <c r="F208" s="27" t="s">
        <v>3473</v>
      </c>
      <c r="G208" s="27" t="s">
        <v>3474</v>
      </c>
      <c r="H208" s="18" t="str">
        <f t="array" ref="H208">_xlfn.XLOOKUP(E:E,'Calificación consecuencia'!B:B,'Calificación consecuencia'!K:K,"No encontrada",2)</f>
        <v>Baja</v>
      </c>
      <c r="I208" s="27" t="s">
        <v>1800</v>
      </c>
      <c r="J208" s="30" t="s">
        <v>116</v>
      </c>
      <c r="K208" s="21"/>
      <c r="L208" s="21"/>
      <c r="M208" s="29" t="s">
        <v>120</v>
      </c>
      <c r="N208" s="21"/>
      <c r="O208" s="30" t="s">
        <v>116</v>
      </c>
      <c r="P208" s="30" t="s">
        <v>116</v>
      </c>
      <c r="Q208" s="21"/>
      <c r="R208" s="21"/>
      <c r="S208" s="21"/>
      <c r="T208" s="21"/>
      <c r="U208" s="27" t="s">
        <v>345</v>
      </c>
      <c r="V208" s="27" t="s">
        <v>196</v>
      </c>
    </row>
    <row r="209" ht="14.25" customHeight="1">
      <c r="A209" s="27" t="s">
        <v>371</v>
      </c>
      <c r="B209" s="27" t="s">
        <v>447</v>
      </c>
      <c r="C209" s="27" t="str">
        <f t="array" ref="C209">INDEX(Funciones!$G$2:$G$372,MATCH($A209,Funciones!$B$2:$B$372,0))</f>
        <v>Generar torque hasta 3.500 N.m</v>
      </c>
      <c r="D209" s="27" t="s">
        <v>3472</v>
      </c>
      <c r="E209" s="27" t="s">
        <v>1590</v>
      </c>
      <c r="F209" s="27" t="s">
        <v>3477</v>
      </c>
      <c r="G209" s="27" t="s">
        <v>3479</v>
      </c>
      <c r="H209" s="18" t="str">
        <f t="array" ref="H209">_xlfn.XLOOKUP(E:E,'Calificación consecuencia'!B:B,'Calificación consecuencia'!K:K,"No encontrada",2)</f>
        <v>Baja</v>
      </c>
      <c r="I209" s="27" t="s">
        <v>1800</v>
      </c>
      <c r="J209" s="30" t="s">
        <v>116</v>
      </c>
      <c r="K209" s="21"/>
      <c r="L209" s="21"/>
      <c r="M209" s="29" t="s">
        <v>120</v>
      </c>
      <c r="N209" s="21"/>
      <c r="O209" s="30" t="s">
        <v>116</v>
      </c>
      <c r="P209" s="30" t="s">
        <v>116</v>
      </c>
      <c r="Q209" s="21"/>
      <c r="R209" s="21"/>
      <c r="S209" s="21"/>
      <c r="T209" s="21"/>
      <c r="U209" s="27" t="s">
        <v>345</v>
      </c>
      <c r="V209" s="27" t="s">
        <v>196</v>
      </c>
    </row>
    <row r="210" ht="14.25" customHeight="1">
      <c r="A210" s="27" t="s">
        <v>371</v>
      </c>
      <c r="B210" s="27" t="s">
        <v>447</v>
      </c>
      <c r="C210" s="27" t="str">
        <f t="array" ref="C210">INDEX(Funciones!$G$2:$G$372,MATCH($A210,Funciones!$B$2:$B$372,0))</f>
        <v>Generar torque hasta 3.500 N.m</v>
      </c>
      <c r="D210" s="27" t="s">
        <v>3472</v>
      </c>
      <c r="E210" s="27" t="s">
        <v>1596</v>
      </c>
      <c r="F210" s="27" t="s">
        <v>3483</v>
      </c>
      <c r="G210" s="27" t="s">
        <v>3484</v>
      </c>
      <c r="H210" s="18" t="str">
        <f t="array" ref="H210">_xlfn.XLOOKUP(E:E,'Calificación consecuencia'!B:B,'Calificación consecuencia'!K:K,"No encontrada",2)</f>
        <v>Media</v>
      </c>
      <c r="I210" s="27" t="s">
        <v>1449</v>
      </c>
      <c r="J210" s="30" t="s">
        <v>116</v>
      </c>
      <c r="K210" s="21"/>
      <c r="L210" s="21"/>
      <c r="M210" s="29" t="s">
        <v>120</v>
      </c>
      <c r="N210" s="21"/>
      <c r="O210" s="29" t="s">
        <v>120</v>
      </c>
      <c r="P210" s="21"/>
      <c r="Q210" s="21"/>
      <c r="R210" s="21"/>
      <c r="S210" s="30" t="s">
        <v>116</v>
      </c>
      <c r="T210" s="30" t="s">
        <v>116</v>
      </c>
      <c r="U210" s="27" t="s">
        <v>3471</v>
      </c>
      <c r="V210" s="27" t="s">
        <v>196</v>
      </c>
    </row>
    <row r="211" ht="14.25" customHeight="1">
      <c r="A211" s="9" t="s">
        <v>446</v>
      </c>
      <c r="B211" s="9" t="s">
        <v>456</v>
      </c>
      <c r="C211" s="9" t="str">
        <f t="array" ref="C211">INDEX(Funciones!$G$2:$G$372,MATCH($A211,Funciones!$B$2:$B$372,0))</f>
        <v>Soportar carga vertical hasta 20 toneladas</v>
      </c>
      <c r="D211" s="9" t="s">
        <v>3485</v>
      </c>
      <c r="E211" s="9" t="s">
        <v>1108</v>
      </c>
      <c r="F211" s="9" t="s">
        <v>3163</v>
      </c>
      <c r="G211" s="9" t="s">
        <v>3164</v>
      </c>
      <c r="H211" s="18" t="str">
        <f t="array" ref="H211">_xlfn.XLOOKUP(E:E,'Calificación consecuencia'!B:B,'Calificación consecuencia'!K:K,"No encontrada",2)</f>
        <v>Baja</v>
      </c>
      <c r="I211" s="9" t="s">
        <v>425</v>
      </c>
      <c r="J211" s="22" t="s">
        <v>120</v>
      </c>
      <c r="K211" s="20" t="s">
        <v>116</v>
      </c>
      <c r="L211" s="21"/>
      <c r="M211" s="21"/>
      <c r="N211" s="21"/>
      <c r="O211" s="21"/>
      <c r="P211" s="21"/>
      <c r="Q211" s="21"/>
      <c r="R211" s="21"/>
      <c r="S211" s="21"/>
      <c r="T211" s="21"/>
      <c r="U211" s="9" t="s">
        <v>439</v>
      </c>
      <c r="V211" s="9" t="s">
        <v>440</v>
      </c>
    </row>
    <row r="212" ht="14.25" customHeight="1">
      <c r="A212" s="9" t="s">
        <v>446</v>
      </c>
      <c r="B212" s="9" t="s">
        <v>456</v>
      </c>
      <c r="C212" s="9" t="str">
        <f t="array" ref="C212">INDEX(Funciones!$G$2:$G$372,MATCH($A212,Funciones!$B$2:$B$372,0))</f>
        <v>Soportar carga vertical hasta 20 toneladas</v>
      </c>
      <c r="D212" s="9" t="s">
        <v>3485</v>
      </c>
      <c r="E212" s="9" t="s">
        <v>1113</v>
      </c>
      <c r="F212" s="9" t="s">
        <v>3168</v>
      </c>
      <c r="G212" s="9" t="s">
        <v>3169</v>
      </c>
      <c r="H212" s="18" t="str">
        <f t="array" ref="H212">_xlfn.XLOOKUP(E:E,'Calificación consecuencia'!B:B,'Calificación consecuencia'!K:K,"No encontrada",2)</f>
        <v>Baja</v>
      </c>
      <c r="I212" s="9" t="s">
        <v>2694</v>
      </c>
      <c r="J212" s="22" t="s">
        <v>120</v>
      </c>
      <c r="K212" s="20" t="s">
        <v>116</v>
      </c>
      <c r="L212" s="21"/>
      <c r="M212" s="21"/>
      <c r="N212" s="21"/>
      <c r="O212" s="21"/>
      <c r="P212" s="21"/>
      <c r="Q212" s="21"/>
      <c r="R212" s="21"/>
      <c r="S212" s="21"/>
      <c r="T212" s="21"/>
      <c r="U212" s="9" t="s">
        <v>439</v>
      </c>
      <c r="V212" s="9" t="s">
        <v>440</v>
      </c>
    </row>
    <row r="213" ht="14.25" customHeight="1">
      <c r="A213" s="9" t="s">
        <v>446</v>
      </c>
      <c r="B213" s="9" t="s">
        <v>456</v>
      </c>
      <c r="C213" s="9" t="str">
        <f t="array" ref="C213">INDEX(Funciones!$G$2:$G$372,MATCH($A213,Funciones!$B$2:$B$372,0))</f>
        <v>Soportar carga vertical hasta 20 toneladas</v>
      </c>
      <c r="D213" s="9" t="s">
        <v>3494</v>
      </c>
      <c r="E213" s="9" t="s">
        <v>1119</v>
      </c>
      <c r="F213" s="9" t="s">
        <v>3184</v>
      </c>
      <c r="G213" s="9" t="s">
        <v>3186</v>
      </c>
      <c r="H213" s="18" t="str">
        <f t="array" ref="H213">_xlfn.XLOOKUP(E:E,'Calificación consecuencia'!B:B,'Calificación consecuencia'!K:K,"No encontrada",2)</f>
        <v>Media</v>
      </c>
      <c r="I213" s="9" t="s">
        <v>1351</v>
      </c>
      <c r="J213" s="22" t="s">
        <v>120</v>
      </c>
      <c r="K213" s="20" t="s">
        <v>116</v>
      </c>
      <c r="L213" s="21"/>
      <c r="M213" s="21"/>
      <c r="N213" s="21"/>
      <c r="O213" s="21"/>
      <c r="P213" s="21"/>
      <c r="Q213" s="21"/>
      <c r="R213" s="21"/>
      <c r="S213" s="21"/>
      <c r="T213" s="21"/>
      <c r="U213" s="9" t="s">
        <v>439</v>
      </c>
      <c r="V213" s="9" t="s">
        <v>440</v>
      </c>
    </row>
    <row r="214" ht="14.25" customHeight="1">
      <c r="A214" s="9" t="s">
        <v>446</v>
      </c>
      <c r="B214" s="9" t="s">
        <v>456</v>
      </c>
      <c r="C214" s="9" t="str">
        <f t="array" ref="C214">INDEX(Funciones!$G$2:$G$372,MATCH($A214,Funciones!$B$2:$B$372,0))</f>
        <v>Soportar carga vertical hasta 20 toneladas</v>
      </c>
      <c r="D214" s="9" t="s">
        <v>3494</v>
      </c>
      <c r="E214" s="9" t="s">
        <v>1124</v>
      </c>
      <c r="F214" s="9" t="s">
        <v>3199</v>
      </c>
      <c r="G214" s="9" t="s">
        <v>3200</v>
      </c>
      <c r="H214" s="18" t="str">
        <f t="array" ref="H214">_xlfn.XLOOKUP(E:E,'Calificación consecuencia'!B:B,'Calificación consecuencia'!K:K,"No encontrada",2)</f>
        <v>Baja</v>
      </c>
      <c r="I214" s="9" t="s">
        <v>1351</v>
      </c>
      <c r="J214" s="22" t="s">
        <v>120</v>
      </c>
      <c r="K214" s="20" t="s">
        <v>116</v>
      </c>
      <c r="L214" s="21"/>
      <c r="M214" s="21"/>
      <c r="N214" s="21"/>
      <c r="O214" s="21"/>
      <c r="P214" s="21"/>
      <c r="Q214" s="21"/>
      <c r="R214" s="21"/>
      <c r="S214" s="21"/>
      <c r="T214" s="21"/>
      <c r="U214" s="9" t="s">
        <v>439</v>
      </c>
      <c r="V214" s="9" t="s">
        <v>440</v>
      </c>
    </row>
    <row r="215" ht="14.25" customHeight="1">
      <c r="A215" s="27" t="s">
        <v>467</v>
      </c>
      <c r="B215" s="27" t="s">
        <v>466</v>
      </c>
      <c r="C215" s="27" t="str">
        <f t="array" ref="C215">INDEX(Funciones!$G$2:$G$372,MATCH($A215,Funciones!$B$2:$B$372,0))</f>
        <v>Transmitir la potencia del motor a las ruedas hasta un par de _____ N·m</v>
      </c>
      <c r="D215" s="27" t="s">
        <v>3496</v>
      </c>
      <c r="E215" s="27" t="s">
        <v>1609</v>
      </c>
      <c r="F215" s="27" t="s">
        <v>3497</v>
      </c>
      <c r="G215" s="27" t="s">
        <v>3498</v>
      </c>
      <c r="H215" s="18" t="str">
        <f t="array" ref="H215">_xlfn.XLOOKUP(E:E,'Calificación consecuencia'!B:B,'Calificación consecuencia'!K:K,"No encontrada",2)</f>
        <v>Baja</v>
      </c>
      <c r="I215" s="27" t="s">
        <v>425</v>
      </c>
      <c r="J215" s="29" t="s">
        <v>120</v>
      </c>
      <c r="K215" s="30" t="s">
        <v>116</v>
      </c>
      <c r="L215" s="21"/>
      <c r="M215" s="21"/>
      <c r="N215" s="21"/>
      <c r="O215" s="21"/>
      <c r="P215" s="21"/>
      <c r="Q215" s="21"/>
      <c r="R215" s="21"/>
      <c r="S215" s="21"/>
      <c r="T215" s="21"/>
      <c r="U215" s="27" t="s">
        <v>439</v>
      </c>
      <c r="V215" s="27" t="s">
        <v>440</v>
      </c>
    </row>
    <row r="216" ht="14.25" customHeight="1">
      <c r="A216" s="27" t="s">
        <v>467</v>
      </c>
      <c r="B216" s="27" t="s">
        <v>466</v>
      </c>
      <c r="C216" s="27" t="str">
        <f t="array" ref="C216">INDEX(Funciones!$G$2:$G$372,MATCH($A216,Funciones!$B$2:$B$372,0))</f>
        <v>Transmitir la potencia del motor a las ruedas hasta un par de _____ N·m</v>
      </c>
      <c r="D216" s="27" t="s">
        <v>3496</v>
      </c>
      <c r="E216" s="27" t="s">
        <v>1615</v>
      </c>
      <c r="F216" s="27" t="s">
        <v>3500</v>
      </c>
      <c r="G216" s="27" t="s">
        <v>3501</v>
      </c>
      <c r="H216" s="18" t="str">
        <f t="array" ref="H216">_xlfn.XLOOKUP(E:E,'Calificación consecuencia'!B:B,'Calificación consecuencia'!K:K,"No encontrada",2)</f>
        <v>Baja</v>
      </c>
      <c r="I216" s="27" t="s">
        <v>425</v>
      </c>
      <c r="J216" s="29" t="s">
        <v>120</v>
      </c>
      <c r="K216" s="30" t="s">
        <v>116</v>
      </c>
      <c r="L216" s="21"/>
      <c r="M216" s="21"/>
      <c r="N216" s="21"/>
      <c r="O216" s="21"/>
      <c r="P216" s="21"/>
      <c r="Q216" s="21"/>
      <c r="R216" s="21"/>
      <c r="S216" s="21"/>
      <c r="T216" s="21"/>
      <c r="U216" s="27" t="s">
        <v>439</v>
      </c>
      <c r="V216" s="27" t="s">
        <v>440</v>
      </c>
    </row>
    <row r="217" ht="14.25" customHeight="1">
      <c r="A217" s="27" t="s">
        <v>467</v>
      </c>
      <c r="B217" s="27" t="s">
        <v>466</v>
      </c>
      <c r="C217" s="27" t="str">
        <f t="array" ref="C217">INDEX(Funciones!$G$2:$G$372,MATCH($A217,Funciones!$B$2:$B$372,0))</f>
        <v>Transmitir la potencia del motor a las ruedas hasta un par de _____ N·m</v>
      </c>
      <c r="D217" s="27" t="s">
        <v>3506</v>
      </c>
      <c r="E217" s="27" t="s">
        <v>1622</v>
      </c>
      <c r="F217" s="27" t="s">
        <v>3507</v>
      </c>
      <c r="G217" s="27" t="s">
        <v>3498</v>
      </c>
      <c r="H217" s="18" t="str">
        <f t="array" ref="H217">_xlfn.XLOOKUP(E:E,'Calificación consecuencia'!B:B,'Calificación consecuencia'!K:K,"No encontrada",2)</f>
        <v>Baja</v>
      </c>
      <c r="I217" s="27" t="s">
        <v>1800</v>
      </c>
      <c r="J217" s="29" t="s">
        <v>120</v>
      </c>
      <c r="K217" s="30" t="s">
        <v>116</v>
      </c>
      <c r="L217" s="21"/>
      <c r="M217" s="21"/>
      <c r="N217" s="21"/>
      <c r="O217" s="21"/>
      <c r="P217" s="21"/>
      <c r="Q217" s="21"/>
      <c r="R217" s="21"/>
      <c r="S217" s="21"/>
      <c r="T217" s="21"/>
      <c r="U217" s="27" t="s">
        <v>439</v>
      </c>
      <c r="V217" s="27" t="s">
        <v>440</v>
      </c>
    </row>
    <row r="218" ht="14.25" customHeight="1">
      <c r="A218" s="27" t="s">
        <v>467</v>
      </c>
      <c r="B218" s="27" t="s">
        <v>466</v>
      </c>
      <c r="C218" s="27" t="str">
        <f t="array" ref="C218">INDEX(Funciones!$G$2:$G$372,MATCH($A218,Funciones!$B$2:$B$372,0))</f>
        <v>Transmitir la potencia del motor a las ruedas hasta un par de _____ N·m</v>
      </c>
      <c r="D218" s="27" t="s">
        <v>3506</v>
      </c>
      <c r="E218" s="27" t="s">
        <v>1625</v>
      </c>
      <c r="F218" s="27" t="s">
        <v>3512</v>
      </c>
      <c r="G218" s="27" t="s">
        <v>3513</v>
      </c>
      <c r="H218" s="18" t="str">
        <f t="array" ref="H218">_xlfn.XLOOKUP(E:E,'Calificación consecuencia'!B:B,'Calificación consecuencia'!K:K,"No encontrada",2)</f>
        <v>Media</v>
      </c>
      <c r="I218" s="27" t="s">
        <v>1351</v>
      </c>
      <c r="J218" s="29" t="s">
        <v>120</v>
      </c>
      <c r="K218" s="30" t="s">
        <v>116</v>
      </c>
      <c r="L218" s="21"/>
      <c r="M218" s="21"/>
      <c r="N218" s="21"/>
      <c r="O218" s="21"/>
      <c r="P218" s="21"/>
      <c r="Q218" s="21"/>
      <c r="R218" s="21"/>
      <c r="S218" s="21"/>
      <c r="T218" s="21"/>
      <c r="U218" s="27" t="s">
        <v>439</v>
      </c>
      <c r="V218" s="27" t="s">
        <v>440</v>
      </c>
    </row>
    <row r="219" ht="14.25" customHeight="1">
      <c r="A219" s="9" t="s">
        <v>477</v>
      </c>
      <c r="B219" s="9" t="s">
        <v>466</v>
      </c>
      <c r="C219" s="9" t="str">
        <f t="array" ref="C219">INDEX(Funciones!$G$2:$G$372,MATCH($A219,Funciones!$B$2:$B$372,0))</f>
        <v>Impedir el remonte de pestaña con cota qR ≥ 6,5 mm</v>
      </c>
      <c r="D219" s="9" t="s">
        <v>3220</v>
      </c>
      <c r="E219" s="9" t="s">
        <v>1127</v>
      </c>
      <c r="F219" s="9" t="s">
        <v>3221</v>
      </c>
      <c r="G219" s="9" t="s">
        <v>3222</v>
      </c>
      <c r="H219" s="18" t="str">
        <f t="array" ref="H219">_xlfn.XLOOKUP(E:E,'Calificación consecuencia'!B:B,'Calificación consecuencia'!K:K,"No encontrada",2)</f>
        <v>Baja</v>
      </c>
      <c r="I219" s="9" t="s">
        <v>425</v>
      </c>
      <c r="J219" s="22" t="s">
        <v>120</v>
      </c>
      <c r="K219" s="20" t="s">
        <v>116</v>
      </c>
      <c r="L219" s="21"/>
      <c r="M219" s="21"/>
      <c r="N219" s="21"/>
      <c r="O219" s="21"/>
      <c r="P219" s="21"/>
      <c r="Q219" s="21"/>
      <c r="R219" s="21"/>
      <c r="S219" s="21"/>
      <c r="T219" s="21"/>
      <c r="U219" s="9" t="s">
        <v>439</v>
      </c>
      <c r="V219" s="9" t="s">
        <v>440</v>
      </c>
    </row>
    <row r="220" ht="14.25" customHeight="1">
      <c r="A220" s="9" t="s">
        <v>477</v>
      </c>
      <c r="B220" s="9" t="s">
        <v>466</v>
      </c>
      <c r="C220" s="9" t="str">
        <f t="array" ref="C220">INDEX(Funciones!$G$2:$G$372,MATCH($A220,Funciones!$B$2:$B$372,0))</f>
        <v>Impedir el remonte de pestaña con cota qR ≥ 6,5 mm</v>
      </c>
      <c r="D220" s="9" t="s">
        <v>3230</v>
      </c>
      <c r="E220" s="9" t="s">
        <v>1134</v>
      </c>
      <c r="F220" s="9" t="s">
        <v>3231</v>
      </c>
      <c r="G220" s="9" t="s">
        <v>3232</v>
      </c>
      <c r="H220" s="18" t="str">
        <f t="array" ref="H220">_xlfn.XLOOKUP(E:E,'Calificación consecuencia'!B:B,'Calificación consecuencia'!K:K,"No encontrada",2)</f>
        <v>Media</v>
      </c>
      <c r="I220" s="9" t="s">
        <v>1800</v>
      </c>
      <c r="J220" s="22" t="s">
        <v>120</v>
      </c>
      <c r="K220" s="20" t="s">
        <v>116</v>
      </c>
      <c r="L220" s="21"/>
      <c r="M220" s="21"/>
      <c r="N220" s="21"/>
      <c r="O220" s="21"/>
      <c r="P220" s="21"/>
      <c r="Q220" s="21"/>
      <c r="R220" s="21"/>
      <c r="S220" s="21"/>
      <c r="T220" s="21"/>
      <c r="U220" s="9" t="s">
        <v>439</v>
      </c>
      <c r="V220" s="9" t="s">
        <v>440</v>
      </c>
    </row>
    <row r="221" ht="14.25" customHeight="1">
      <c r="A221" s="9" t="s">
        <v>477</v>
      </c>
      <c r="B221" s="9" t="s">
        <v>466</v>
      </c>
      <c r="C221" s="9" t="str">
        <f t="array" ref="C221">INDEX(Funciones!$G$2:$G$372,MATCH($A221,Funciones!$B$2:$B$372,0))</f>
        <v>Impedir el remonte de pestaña con cota qR ≥ 6,5 mm</v>
      </c>
      <c r="D221" s="9" t="s">
        <v>3230</v>
      </c>
      <c r="E221" s="9" t="s">
        <v>1141</v>
      </c>
      <c r="F221" s="9" t="s">
        <v>3250</v>
      </c>
      <c r="G221" s="9" t="s">
        <v>3251</v>
      </c>
      <c r="H221" s="18" t="str">
        <f t="array" ref="H221">_xlfn.XLOOKUP(E:E,'Calificación consecuencia'!B:B,'Calificación consecuencia'!K:K,"No encontrada",2)</f>
        <v>Media</v>
      </c>
      <c r="I221" s="9" t="s">
        <v>425</v>
      </c>
      <c r="J221" s="22" t="s">
        <v>120</v>
      </c>
      <c r="K221" s="20" t="s">
        <v>116</v>
      </c>
      <c r="L221" s="21"/>
      <c r="M221" s="21"/>
      <c r="N221" s="21"/>
      <c r="O221" s="21"/>
      <c r="P221" s="21"/>
      <c r="Q221" s="21"/>
      <c r="R221" s="21"/>
      <c r="S221" s="21"/>
      <c r="T221" s="21"/>
      <c r="U221" s="9" t="s">
        <v>439</v>
      </c>
      <c r="V221" s="9" t="s">
        <v>440</v>
      </c>
    </row>
    <row r="222" ht="14.25" customHeight="1">
      <c r="A222" s="9" t="s">
        <v>477</v>
      </c>
      <c r="B222" s="9" t="s">
        <v>466</v>
      </c>
      <c r="C222" s="9" t="str">
        <f t="array" ref="C222">INDEX(Funciones!$G$2:$G$372,MATCH($A222,Funciones!$B$2:$B$372,0))</f>
        <v>Impedir el remonte de pestaña con cota qR ≥ 6,5 mm</v>
      </c>
      <c r="D222" s="9" t="s">
        <v>3230</v>
      </c>
      <c r="E222" s="9" t="s">
        <v>1147</v>
      </c>
      <c r="F222" s="9" t="s">
        <v>3271</v>
      </c>
      <c r="G222" s="9" t="s">
        <v>3272</v>
      </c>
      <c r="H222" s="18" t="str">
        <f t="array" ref="H222">_xlfn.XLOOKUP(E:E,'Calificación consecuencia'!B:B,'Calificación consecuencia'!K:K,"No encontrada",2)</f>
        <v>Media</v>
      </c>
      <c r="I222" s="9" t="s">
        <v>1800</v>
      </c>
      <c r="J222" s="22" t="s">
        <v>120</v>
      </c>
      <c r="K222" s="20" t="s">
        <v>116</v>
      </c>
      <c r="L222" s="21"/>
      <c r="M222" s="21"/>
      <c r="N222" s="21"/>
      <c r="O222" s="21"/>
      <c r="P222" s="21"/>
      <c r="Q222" s="21"/>
      <c r="R222" s="21"/>
      <c r="S222" s="21"/>
      <c r="T222" s="21"/>
      <c r="U222" s="9" t="s">
        <v>439</v>
      </c>
      <c r="V222" s="9" t="s">
        <v>440</v>
      </c>
    </row>
    <row r="223" ht="14.25" customHeight="1">
      <c r="A223" s="27" t="s">
        <v>455</v>
      </c>
      <c r="B223" s="27" t="s">
        <v>466</v>
      </c>
      <c r="C223" s="27" t="str">
        <f t="array" ref="C223">INDEX(Funciones!$G$2:$G$372,MATCH($A223,Funciones!$B$2:$B$372,0))</f>
        <v>Mantener la distancia entre ruedas de 1.357 a 1.363 mm</v>
      </c>
      <c r="D223" s="27" t="s">
        <v>3523</v>
      </c>
      <c r="E223" s="27" t="s">
        <v>1644</v>
      </c>
      <c r="F223" s="27" t="s">
        <v>3524</v>
      </c>
      <c r="G223" s="27" t="s">
        <v>3525</v>
      </c>
      <c r="H223" s="18" t="str">
        <f t="array" ref="H223">_xlfn.XLOOKUP(E:E,'Calificación consecuencia'!B:B,'Calificación consecuencia'!K:K,"No encontrada",2)</f>
        <v>Baja</v>
      </c>
      <c r="I223" s="27" t="s">
        <v>425</v>
      </c>
      <c r="J223" s="29" t="s">
        <v>120</v>
      </c>
      <c r="K223" s="30" t="s">
        <v>116</v>
      </c>
      <c r="L223" s="21"/>
      <c r="M223" s="21"/>
      <c r="N223" s="21"/>
      <c r="O223" s="21"/>
      <c r="P223" s="21"/>
      <c r="Q223" s="21"/>
      <c r="R223" s="21"/>
      <c r="S223" s="21"/>
      <c r="T223" s="21"/>
      <c r="U223" s="27" t="s">
        <v>439</v>
      </c>
      <c r="V223" s="27" t="s">
        <v>440</v>
      </c>
    </row>
    <row r="224" ht="14.25" customHeight="1">
      <c r="A224" s="27" t="s">
        <v>455</v>
      </c>
      <c r="B224" s="27" t="s">
        <v>466</v>
      </c>
      <c r="C224" s="27" t="str">
        <f t="array" ref="C224">INDEX(Funciones!$G$2:$G$372,MATCH($A224,Funciones!$B$2:$B$372,0))</f>
        <v>Mantener la distancia entre ruedas de 1.357 a 1.363 mm</v>
      </c>
      <c r="D224" s="27" t="s">
        <v>3526</v>
      </c>
      <c r="E224" s="27" t="s">
        <v>1650</v>
      </c>
      <c r="F224" s="27" t="s">
        <v>3527</v>
      </c>
      <c r="G224" s="27" t="s">
        <v>3528</v>
      </c>
      <c r="H224" s="18" t="str">
        <f t="array" ref="H224">_xlfn.XLOOKUP(E:E,'Calificación consecuencia'!B:B,'Calificación consecuencia'!K:K,"No encontrada",2)</f>
        <v>Baja</v>
      </c>
      <c r="I224" s="27" t="s">
        <v>1351</v>
      </c>
      <c r="J224" s="29" t="s">
        <v>120</v>
      </c>
      <c r="K224" s="30" t="s">
        <v>116</v>
      </c>
      <c r="L224" s="21"/>
      <c r="M224" s="21"/>
      <c r="N224" s="21"/>
      <c r="O224" s="21"/>
      <c r="P224" s="21"/>
      <c r="Q224" s="21"/>
      <c r="R224" s="21"/>
      <c r="S224" s="21"/>
      <c r="T224" s="21"/>
      <c r="U224" s="27" t="s">
        <v>439</v>
      </c>
      <c r="V224" s="27" t="s">
        <v>440</v>
      </c>
    </row>
    <row r="225" ht="14.25" customHeight="1">
      <c r="A225" s="27" t="s">
        <v>455</v>
      </c>
      <c r="B225" s="27" t="s">
        <v>466</v>
      </c>
      <c r="C225" s="27" t="str">
        <f t="array" ref="C225">INDEX(Funciones!$G$2:$G$372,MATCH($A225,Funciones!$B$2:$B$372,0))</f>
        <v>Mantener la distancia entre ruedas de 1.357 a 1.363 mm</v>
      </c>
      <c r="D225" s="27" t="s">
        <v>3529</v>
      </c>
      <c r="E225" s="27" t="s">
        <v>1655</v>
      </c>
      <c r="F225" s="27" t="s">
        <v>3530</v>
      </c>
      <c r="G225" s="27" t="s">
        <v>3531</v>
      </c>
      <c r="H225" s="18" t="str">
        <f t="array" ref="H225">_xlfn.XLOOKUP(E:E,'Calificación consecuencia'!B:B,'Calificación consecuencia'!K:K,"No encontrada",2)</f>
        <v>Baja</v>
      </c>
      <c r="I225" s="27" t="s">
        <v>1800</v>
      </c>
      <c r="J225" s="29" t="s">
        <v>120</v>
      </c>
      <c r="K225" s="30" t="s">
        <v>116</v>
      </c>
      <c r="L225" s="21"/>
      <c r="M225" s="21"/>
      <c r="N225" s="21"/>
      <c r="O225" s="21"/>
      <c r="P225" s="21"/>
      <c r="Q225" s="21"/>
      <c r="R225" s="21"/>
      <c r="S225" s="21"/>
      <c r="T225" s="21"/>
      <c r="U225" s="27" t="s">
        <v>439</v>
      </c>
      <c r="V225" s="27" t="s">
        <v>440</v>
      </c>
    </row>
    <row r="226" ht="14.25" customHeight="1">
      <c r="A226" s="9" t="s">
        <v>487</v>
      </c>
      <c r="B226" s="9" t="s">
        <v>486</v>
      </c>
      <c r="C226" s="9" t="str">
        <f t="array" ref="C226">INDEX(Funciones!$G$2:$G$372,MATCH($A226,Funciones!$B$2:$B$372,0))</f>
        <v>Almacenar el aceite hidráulico hasta 150 L</v>
      </c>
      <c r="D226" s="9" t="s">
        <v>3534</v>
      </c>
      <c r="E226" s="9" t="s">
        <v>1661</v>
      </c>
      <c r="F226" s="9" t="s">
        <v>3535</v>
      </c>
      <c r="G226" s="9" t="s">
        <v>3536</v>
      </c>
      <c r="H226" s="18" t="str">
        <f t="array" ref="H226">_xlfn.XLOOKUP(E:E,'Calificación consecuencia'!B:B,'Calificación consecuencia'!K:K,"No encontrada",2)</f>
        <v>Media</v>
      </c>
      <c r="I226" s="9" t="s">
        <v>1351</v>
      </c>
      <c r="J226" s="20" t="s">
        <v>116</v>
      </c>
      <c r="K226" s="21"/>
      <c r="L226" s="21"/>
      <c r="M226" s="20" t="s">
        <v>116</v>
      </c>
      <c r="N226" s="22" t="s">
        <v>120</v>
      </c>
      <c r="O226" s="21"/>
      <c r="P226" s="21"/>
      <c r="Q226" s="21"/>
      <c r="R226" s="21"/>
      <c r="S226" s="21"/>
      <c r="T226" s="21"/>
      <c r="U226" s="9" t="s">
        <v>230</v>
      </c>
      <c r="V226" s="9" t="s">
        <v>230</v>
      </c>
    </row>
    <row r="227" ht="14.25" customHeight="1">
      <c r="A227" s="9" t="s">
        <v>487</v>
      </c>
      <c r="B227" s="9" t="s">
        <v>486</v>
      </c>
      <c r="C227" s="9" t="str">
        <f t="array" ref="C227">INDEX(Funciones!$G$2:$G$372,MATCH($A227,Funciones!$B$2:$B$372,0))</f>
        <v>Almacenar el aceite hidráulico hasta 150 L</v>
      </c>
      <c r="D227" s="9" t="s">
        <v>3538</v>
      </c>
      <c r="E227" s="9" t="s">
        <v>1668</v>
      </c>
      <c r="F227" s="9" t="s">
        <v>3539</v>
      </c>
      <c r="G227" s="9" t="s">
        <v>3540</v>
      </c>
      <c r="H227" s="18" t="str">
        <f t="array" ref="H227">_xlfn.XLOOKUP(E:E,'Calificación consecuencia'!B:B,'Calificación consecuencia'!K:K,"No encontrada",2)</f>
        <v>Baja</v>
      </c>
      <c r="I227" s="9" t="s">
        <v>2106</v>
      </c>
      <c r="J227" s="20" t="s">
        <v>116</v>
      </c>
      <c r="K227" s="21"/>
      <c r="L227" s="21"/>
      <c r="M227" s="22" t="s">
        <v>120</v>
      </c>
      <c r="N227" s="21"/>
      <c r="O227" s="22" t="s">
        <v>120</v>
      </c>
      <c r="P227" s="21"/>
      <c r="Q227" s="21"/>
      <c r="R227" s="21"/>
      <c r="S227" s="22" t="s">
        <v>120</v>
      </c>
      <c r="T227" s="21"/>
      <c r="U227" s="9" t="s">
        <v>1680</v>
      </c>
      <c r="V227" s="9" t="s">
        <v>1408</v>
      </c>
    </row>
    <row r="228" ht="14.25" customHeight="1">
      <c r="A228" s="9" t="s">
        <v>487</v>
      </c>
      <c r="B228" s="9" t="s">
        <v>486</v>
      </c>
      <c r="C228" s="9" t="str">
        <f t="array" ref="C228">INDEX(Funciones!$G$2:$G$372,MATCH($A228,Funciones!$B$2:$B$372,0))</f>
        <v>Almacenar el aceite hidráulico hasta 150 L</v>
      </c>
      <c r="D228" s="9" t="s">
        <v>3538</v>
      </c>
      <c r="E228" s="9" t="s">
        <v>1672</v>
      </c>
      <c r="F228" s="9" t="s">
        <v>3541</v>
      </c>
      <c r="G228" s="9" t="s">
        <v>3542</v>
      </c>
      <c r="H228" s="18" t="str">
        <f t="array" ref="H228">_xlfn.XLOOKUP(E:E,'Calificación consecuencia'!B:B,'Calificación consecuencia'!K:K,"No encontrada",2)</f>
        <v>Baja</v>
      </c>
      <c r="I228" s="9" t="s">
        <v>2106</v>
      </c>
      <c r="J228" s="20" t="s">
        <v>116</v>
      </c>
      <c r="K228" s="21"/>
      <c r="L228" s="21"/>
      <c r="M228" s="22" t="s">
        <v>120</v>
      </c>
      <c r="N228" s="21"/>
      <c r="O228" s="22" t="s">
        <v>120</v>
      </c>
      <c r="P228" s="21"/>
      <c r="Q228" s="21"/>
      <c r="R228" s="21"/>
      <c r="S228" s="22" t="s">
        <v>120</v>
      </c>
      <c r="T228" s="21"/>
      <c r="U228" s="9" t="s">
        <v>1680</v>
      </c>
      <c r="V228" s="9" t="s">
        <v>1408</v>
      </c>
    </row>
    <row r="229" ht="14.25" customHeight="1">
      <c r="A229" s="9" t="s">
        <v>487</v>
      </c>
      <c r="B229" s="9" t="s">
        <v>486</v>
      </c>
      <c r="C229" s="9" t="str">
        <f t="array" ref="C229">INDEX(Funciones!$G$2:$G$372,MATCH($A229,Funciones!$B$2:$B$372,0))</f>
        <v>Almacenar el aceite hidráulico hasta 150 L</v>
      </c>
      <c r="D229" s="9" t="s">
        <v>3538</v>
      </c>
      <c r="E229" s="9" t="s">
        <v>1676</v>
      </c>
      <c r="F229" s="9" t="s">
        <v>3546</v>
      </c>
      <c r="G229" s="9" t="s">
        <v>3547</v>
      </c>
      <c r="H229" s="18" t="str">
        <f t="array" ref="H229">_xlfn.XLOOKUP(E:E,'Calificación consecuencia'!B:B,'Calificación consecuencia'!K:K,"No encontrada",2)</f>
        <v>Baja</v>
      </c>
      <c r="I229" s="9" t="s">
        <v>2106</v>
      </c>
      <c r="J229" s="20" t="s">
        <v>116</v>
      </c>
      <c r="K229" s="21"/>
      <c r="L229" s="21"/>
      <c r="M229" s="22" t="s">
        <v>120</v>
      </c>
      <c r="N229" s="21"/>
      <c r="O229" s="22" t="s">
        <v>120</v>
      </c>
      <c r="P229" s="21"/>
      <c r="Q229" s="21"/>
      <c r="R229" s="21"/>
      <c r="S229" s="22" t="s">
        <v>120</v>
      </c>
      <c r="T229" s="21"/>
      <c r="U229" s="9" t="s">
        <v>1680</v>
      </c>
      <c r="V229" s="9" t="s">
        <v>1408</v>
      </c>
    </row>
    <row r="230" ht="14.25" customHeight="1">
      <c r="A230" s="27" t="s">
        <v>478</v>
      </c>
      <c r="B230" s="27" t="s">
        <v>498</v>
      </c>
      <c r="C230" s="27" t="str">
        <f t="array" ref="C230">INDEX(Funciones!$G$2:$G$372,MATCH($A230,Funciones!$B$2:$B$372,0))</f>
        <v>Almacenar energía eléctrica hasta 800 CCA</v>
      </c>
      <c r="D230" s="27" t="s">
        <v>3549</v>
      </c>
      <c r="E230" s="27" t="s">
        <v>1191</v>
      </c>
      <c r="F230" s="27" t="s">
        <v>3550</v>
      </c>
      <c r="G230" s="27" t="s">
        <v>3289</v>
      </c>
      <c r="H230" s="18" t="str">
        <f t="array" ref="H230">_xlfn.XLOOKUP(E:E,'Calificación consecuencia'!B:B,'Calificación consecuencia'!K:K,"No encontrada",2)</f>
        <v>Media</v>
      </c>
      <c r="I230" s="27" t="s">
        <v>339</v>
      </c>
      <c r="J230" s="30" t="s">
        <v>116</v>
      </c>
      <c r="K230" s="21"/>
      <c r="L230" s="21"/>
      <c r="M230" s="29" t="s">
        <v>120</v>
      </c>
      <c r="N230" s="21"/>
      <c r="O230" s="30" t="s">
        <v>116</v>
      </c>
      <c r="P230" s="29" t="s">
        <v>120</v>
      </c>
      <c r="Q230" s="30" t="s">
        <v>116</v>
      </c>
      <c r="R230" s="21"/>
      <c r="S230" s="21"/>
      <c r="T230" s="21"/>
      <c r="U230" s="27" t="s">
        <v>785</v>
      </c>
      <c r="V230" s="27" t="s">
        <v>786</v>
      </c>
    </row>
    <row r="231" ht="14.25" customHeight="1">
      <c r="A231" s="27" t="s">
        <v>478</v>
      </c>
      <c r="B231" s="27" t="s">
        <v>498</v>
      </c>
      <c r="C231" s="27" t="str">
        <f t="array" ref="C231">INDEX(Funciones!$G$2:$G$372,MATCH($A231,Funciones!$B$2:$B$372,0))</f>
        <v>Almacenar energía eléctrica hasta 800 CCA</v>
      </c>
      <c r="D231" s="27" t="s">
        <v>3549</v>
      </c>
      <c r="E231" s="27" t="s">
        <v>1195</v>
      </c>
      <c r="F231" s="27" t="s">
        <v>3551</v>
      </c>
      <c r="G231" s="27" t="s">
        <v>3291</v>
      </c>
      <c r="H231" s="18" t="str">
        <f t="array" ref="H231">_xlfn.XLOOKUP(E:E,'Calificación consecuencia'!B:B,'Calificación consecuencia'!K:K,"No encontrada",2)</f>
        <v>Baja</v>
      </c>
      <c r="I231" s="27" t="s">
        <v>339</v>
      </c>
      <c r="J231" s="30" t="s">
        <v>116</v>
      </c>
      <c r="K231" s="21"/>
      <c r="L231" s="21"/>
      <c r="M231" s="29" t="s">
        <v>120</v>
      </c>
      <c r="N231" s="21"/>
      <c r="O231" s="30" t="s">
        <v>116</v>
      </c>
      <c r="P231" s="29" t="s">
        <v>120</v>
      </c>
      <c r="Q231" s="30" t="s">
        <v>116</v>
      </c>
      <c r="R231" s="21"/>
      <c r="S231" s="21"/>
      <c r="T231" s="21"/>
      <c r="U231" s="27" t="s">
        <v>785</v>
      </c>
      <c r="V231" s="27" t="s">
        <v>786</v>
      </c>
    </row>
    <row r="232" ht="14.25" customHeight="1">
      <c r="A232" s="27" t="s">
        <v>478</v>
      </c>
      <c r="B232" s="27" t="s">
        <v>498</v>
      </c>
      <c r="C232" s="27" t="str">
        <f t="array" ref="C232">INDEX(Funciones!$G$2:$G$372,MATCH($A232,Funciones!$B$2:$B$372,0))</f>
        <v>Almacenar energía eléctrica hasta 800 CCA</v>
      </c>
      <c r="D232" s="27" t="s">
        <v>3549</v>
      </c>
      <c r="E232" s="27" t="s">
        <v>1210</v>
      </c>
      <c r="F232" s="27" t="s">
        <v>3552</v>
      </c>
      <c r="G232" s="27" t="s">
        <v>3298</v>
      </c>
      <c r="H232" s="18" t="str">
        <f t="array" ref="H232">_xlfn.XLOOKUP(E:E,'Calificación consecuencia'!B:B,'Calificación consecuencia'!K:K,"No encontrada",2)</f>
        <v>Media</v>
      </c>
      <c r="I232" s="27" t="s">
        <v>339</v>
      </c>
      <c r="J232" s="30" t="s">
        <v>116</v>
      </c>
      <c r="K232" s="21"/>
      <c r="L232" s="21"/>
      <c r="M232" s="29" t="s">
        <v>120</v>
      </c>
      <c r="N232" s="21"/>
      <c r="O232" s="30" t="s">
        <v>116</v>
      </c>
      <c r="P232" s="29" t="s">
        <v>120</v>
      </c>
      <c r="Q232" s="30" t="s">
        <v>116</v>
      </c>
      <c r="R232" s="21"/>
      <c r="S232" s="21"/>
      <c r="T232" s="21"/>
      <c r="U232" s="27" t="s">
        <v>785</v>
      </c>
      <c r="V232" s="27" t="s">
        <v>786</v>
      </c>
    </row>
    <row r="233" ht="14.25" customHeight="1">
      <c r="A233" s="27" t="s">
        <v>478</v>
      </c>
      <c r="B233" s="27" t="s">
        <v>498</v>
      </c>
      <c r="C233" s="27" t="str">
        <f t="array" ref="C233">INDEX(Funciones!$G$2:$G$372,MATCH($A233,Funciones!$B$2:$B$372,0))</f>
        <v>Almacenar energía eléctrica hasta 800 CCA</v>
      </c>
      <c r="D233" s="27" t="s">
        <v>3553</v>
      </c>
      <c r="E233" s="27" t="s">
        <v>1228</v>
      </c>
      <c r="F233" s="27" t="s">
        <v>3554</v>
      </c>
      <c r="G233" s="27" t="s">
        <v>3306</v>
      </c>
      <c r="H233" s="18" t="str">
        <f t="array" ref="H233">_xlfn.XLOOKUP(E:E,'Calificación consecuencia'!B:B,'Calificación consecuencia'!K:K,"No encontrada",2)</f>
        <v>Baja</v>
      </c>
      <c r="I233" s="27" t="s">
        <v>2106</v>
      </c>
      <c r="J233" s="30" t="s">
        <v>116</v>
      </c>
      <c r="K233" s="21"/>
      <c r="L233" s="21"/>
      <c r="M233" s="29" t="s">
        <v>120</v>
      </c>
      <c r="N233" s="21"/>
      <c r="O233" s="29" t="s">
        <v>120</v>
      </c>
      <c r="P233" s="21"/>
      <c r="Q233" s="21"/>
      <c r="R233" s="21"/>
      <c r="S233" s="29" t="s">
        <v>120</v>
      </c>
      <c r="T233" s="21"/>
      <c r="U233" s="27" t="s">
        <v>1680</v>
      </c>
      <c r="V233" s="27" t="s">
        <v>1408</v>
      </c>
    </row>
    <row r="234" ht="14.25" customHeight="1">
      <c r="A234" s="27" t="s">
        <v>478</v>
      </c>
      <c r="B234" s="27" t="s">
        <v>498</v>
      </c>
      <c r="C234" s="27" t="str">
        <f t="array" ref="C234">INDEX(Funciones!$G$2:$G$372,MATCH($A234,Funciones!$B$2:$B$372,0))</f>
        <v>Almacenar energía eléctrica hasta 800 CCA</v>
      </c>
      <c r="D234" s="27" t="s">
        <v>3553</v>
      </c>
      <c r="E234" s="27" t="s">
        <v>1233</v>
      </c>
      <c r="F234" s="27" t="s">
        <v>3557</v>
      </c>
      <c r="G234" s="27" t="s">
        <v>3308</v>
      </c>
      <c r="H234" s="18" t="str">
        <f t="array" ref="H234">_xlfn.XLOOKUP(E:E,'Calificación consecuencia'!B:B,'Calificación consecuencia'!K:K,"No encontrada",2)</f>
        <v>Baja</v>
      </c>
      <c r="I234" s="27" t="s">
        <v>2106</v>
      </c>
      <c r="J234" s="30" t="s">
        <v>116</v>
      </c>
      <c r="K234" s="21"/>
      <c r="L234" s="21"/>
      <c r="M234" s="29" t="s">
        <v>120</v>
      </c>
      <c r="N234" s="21"/>
      <c r="O234" s="29" t="s">
        <v>120</v>
      </c>
      <c r="P234" s="21"/>
      <c r="Q234" s="21"/>
      <c r="R234" s="21"/>
      <c r="S234" s="29" t="s">
        <v>120</v>
      </c>
      <c r="T234" s="21"/>
      <c r="U234" s="27" t="s">
        <v>1680</v>
      </c>
      <c r="V234" s="27" t="s">
        <v>1408</v>
      </c>
    </row>
    <row r="235" ht="14.25" customHeight="1">
      <c r="A235" s="9" t="s">
        <v>509</v>
      </c>
      <c r="B235" s="9" t="s">
        <v>508</v>
      </c>
      <c r="C235" s="9" t="str">
        <f t="array" ref="C235">INDEX(Funciones!$G$2:$G$372,MATCH($A235,Funciones!$B$2:$B$372,0))</f>
        <v>Generar corriente de carga de 140 A</v>
      </c>
      <c r="D235" s="9" t="s">
        <v>3558</v>
      </c>
      <c r="E235" s="9" t="s">
        <v>1705</v>
      </c>
      <c r="F235" s="9" t="s">
        <v>3559</v>
      </c>
      <c r="G235" s="9" t="s">
        <v>3560</v>
      </c>
      <c r="H235" s="18" t="str">
        <f t="array" ref="H235">_xlfn.XLOOKUP(E:E,'Calificación consecuencia'!B:B,'Calificación consecuencia'!K:K,"No encontrada",2)</f>
        <v>Baja</v>
      </c>
      <c r="I235" s="9" t="s">
        <v>339</v>
      </c>
      <c r="J235" s="20" t="s">
        <v>116</v>
      </c>
      <c r="K235" s="21"/>
      <c r="L235" s="21"/>
      <c r="M235" s="22" t="s">
        <v>120</v>
      </c>
      <c r="N235" s="21"/>
      <c r="O235" s="20" t="s">
        <v>116</v>
      </c>
      <c r="P235" s="20" t="s">
        <v>116</v>
      </c>
      <c r="Q235" s="21"/>
      <c r="R235" s="21"/>
      <c r="S235" s="21"/>
      <c r="T235" s="21"/>
      <c r="U235" s="9" t="s">
        <v>345</v>
      </c>
      <c r="V235" s="9" t="s">
        <v>196</v>
      </c>
    </row>
    <row r="236" ht="14.25" customHeight="1">
      <c r="A236" s="9" t="s">
        <v>509</v>
      </c>
      <c r="B236" s="9" t="s">
        <v>508</v>
      </c>
      <c r="C236" s="9" t="str">
        <f t="array" ref="C236">INDEX(Funciones!$G$2:$G$372,MATCH($A236,Funciones!$B$2:$B$372,0))</f>
        <v>Generar corriente de carga de 140 A</v>
      </c>
      <c r="D236" s="9" t="s">
        <v>3558</v>
      </c>
      <c r="E236" s="9" t="s">
        <v>1712</v>
      </c>
      <c r="F236" s="9" t="s">
        <v>3561</v>
      </c>
      <c r="G236" s="9" t="s">
        <v>3562</v>
      </c>
      <c r="H236" s="18" t="str">
        <f t="array" ref="H236">_xlfn.XLOOKUP(E:E,'Calificación consecuencia'!B:B,'Calificación consecuencia'!K:K,"No encontrada",2)</f>
        <v>Baja</v>
      </c>
      <c r="I236" s="9" t="s">
        <v>339</v>
      </c>
      <c r="J236" s="20" t="s">
        <v>116</v>
      </c>
      <c r="K236" s="21"/>
      <c r="L236" s="21"/>
      <c r="M236" s="22" t="s">
        <v>120</v>
      </c>
      <c r="N236" s="21"/>
      <c r="O236" s="20" t="s">
        <v>116</v>
      </c>
      <c r="P236" s="20" t="s">
        <v>116</v>
      </c>
      <c r="Q236" s="21"/>
      <c r="R236" s="21"/>
      <c r="S236" s="21"/>
      <c r="T236" s="21"/>
      <c r="U236" s="9" t="s">
        <v>345</v>
      </c>
      <c r="V236" s="9" t="s">
        <v>196</v>
      </c>
    </row>
    <row r="237" ht="14.25" customHeight="1">
      <c r="A237" s="9" t="s">
        <v>509</v>
      </c>
      <c r="B237" s="9" t="s">
        <v>508</v>
      </c>
      <c r="C237" s="9" t="str">
        <f t="array" ref="C237">INDEX(Funciones!$G$2:$G$372,MATCH($A237,Funciones!$B$2:$B$372,0))</f>
        <v>Generar corriente de carga de 140 A</v>
      </c>
      <c r="D237" s="9" t="s">
        <v>3563</v>
      </c>
      <c r="E237" s="9" t="s">
        <v>1719</v>
      </c>
      <c r="F237" s="9" t="s">
        <v>3564</v>
      </c>
      <c r="G237" s="9" t="s">
        <v>3565</v>
      </c>
      <c r="H237" s="18" t="str">
        <f t="array" ref="H237">_xlfn.XLOOKUP(E:E,'Calificación consecuencia'!B:B,'Calificación consecuencia'!K:K,"No encontrada",2)</f>
        <v>Baja</v>
      </c>
      <c r="I237" s="9" t="s">
        <v>1800</v>
      </c>
      <c r="J237" s="20" t="s">
        <v>116</v>
      </c>
      <c r="K237" s="21"/>
      <c r="L237" s="21"/>
      <c r="M237" s="22" t="s">
        <v>120</v>
      </c>
      <c r="N237" s="21"/>
      <c r="O237" s="22" t="s">
        <v>120</v>
      </c>
      <c r="P237" s="21"/>
      <c r="Q237" s="21"/>
      <c r="R237" s="21"/>
      <c r="S237" s="20" t="s">
        <v>116</v>
      </c>
      <c r="T237" s="20" t="s">
        <v>116</v>
      </c>
      <c r="U237" s="9" t="s">
        <v>3471</v>
      </c>
      <c r="V237" s="9" t="s">
        <v>196</v>
      </c>
    </row>
    <row r="238" ht="14.25" customHeight="1">
      <c r="A238" s="9" t="s">
        <v>509</v>
      </c>
      <c r="B238" s="9" t="s">
        <v>508</v>
      </c>
      <c r="C238" s="9" t="str">
        <f t="array" ref="C238">INDEX(Funciones!$G$2:$G$372,MATCH($A238,Funciones!$B$2:$B$372,0))</f>
        <v>Generar corriente de carga de 140 A</v>
      </c>
      <c r="D238" s="9" t="s">
        <v>3563</v>
      </c>
      <c r="E238" s="9" t="s">
        <v>1722</v>
      </c>
      <c r="F238" s="9" t="s">
        <v>3566</v>
      </c>
      <c r="G238" s="9" t="s">
        <v>3567</v>
      </c>
      <c r="H238" s="18" t="str">
        <f t="array" ref="H238">_xlfn.XLOOKUP(E:E,'Calificación consecuencia'!B:B,'Calificación consecuencia'!K:K,"No encontrada",2)</f>
        <v>Media</v>
      </c>
      <c r="I238" s="9" t="s">
        <v>1800</v>
      </c>
      <c r="J238" s="20" t="s">
        <v>116</v>
      </c>
      <c r="K238" s="21"/>
      <c r="L238" s="21"/>
      <c r="M238" s="22" t="s">
        <v>120</v>
      </c>
      <c r="N238" s="21"/>
      <c r="O238" s="22" t="s">
        <v>120</v>
      </c>
      <c r="P238" s="21"/>
      <c r="Q238" s="21"/>
      <c r="R238" s="21"/>
      <c r="S238" s="20" t="s">
        <v>116</v>
      </c>
      <c r="T238" s="20" t="s">
        <v>116</v>
      </c>
      <c r="U238" s="9" t="s">
        <v>3471</v>
      </c>
      <c r="V238" s="9" t="s">
        <v>196</v>
      </c>
    </row>
    <row r="239" ht="14.25" customHeight="1">
      <c r="A239" s="9" t="s">
        <v>509</v>
      </c>
      <c r="B239" s="9" t="s">
        <v>508</v>
      </c>
      <c r="C239" s="9" t="str">
        <f t="array" ref="C239">INDEX(Funciones!$G$2:$G$372,MATCH($A239,Funciones!$B$2:$B$372,0))</f>
        <v>Generar corriente de carga de 140 A</v>
      </c>
      <c r="D239" s="9" t="s">
        <v>3563</v>
      </c>
      <c r="E239" s="9" t="s">
        <v>1724</v>
      </c>
      <c r="F239" s="9" t="s">
        <v>3568</v>
      </c>
      <c r="G239" s="9" t="s">
        <v>3569</v>
      </c>
      <c r="H239" s="18" t="str">
        <f t="array" ref="H239">_xlfn.XLOOKUP(E:E,'Calificación consecuencia'!B:B,'Calificación consecuencia'!K:K,"No encontrada",2)</f>
        <v>Baja</v>
      </c>
      <c r="I239" s="9" t="s">
        <v>2106</v>
      </c>
      <c r="J239" s="20" t="s">
        <v>116</v>
      </c>
      <c r="K239" s="21"/>
      <c r="L239" s="21"/>
      <c r="M239" s="22" t="s">
        <v>120</v>
      </c>
      <c r="N239" s="21"/>
      <c r="O239" s="22" t="s">
        <v>120</v>
      </c>
      <c r="P239" s="21"/>
      <c r="Q239" s="21"/>
      <c r="R239" s="21"/>
      <c r="S239" s="22" t="s">
        <v>120</v>
      </c>
      <c r="T239" s="21"/>
      <c r="U239" s="9" t="s">
        <v>1680</v>
      </c>
      <c r="V239" s="9" t="s">
        <v>1408</v>
      </c>
    </row>
    <row r="240" ht="14.25" customHeight="1">
      <c r="A240" s="9" t="s">
        <v>509</v>
      </c>
      <c r="B240" s="9" t="s">
        <v>508</v>
      </c>
      <c r="C240" s="9" t="str">
        <f t="array" ref="C240">INDEX(Funciones!$G$2:$G$372,MATCH($A240,Funciones!$B$2:$B$372,0))</f>
        <v>Generar corriente de carga de 140 A</v>
      </c>
      <c r="D240" s="9" t="s">
        <v>3570</v>
      </c>
      <c r="E240" s="9" t="s">
        <v>1728</v>
      </c>
      <c r="F240" s="9" t="s">
        <v>3571</v>
      </c>
      <c r="G240" s="9" t="s">
        <v>3572</v>
      </c>
      <c r="H240" s="18" t="str">
        <f t="array" ref="H240">_xlfn.XLOOKUP(E:E,'Calificación consecuencia'!B:B,'Calificación consecuencia'!K:K,"No encontrada",2)</f>
        <v>Baja</v>
      </c>
      <c r="I240" s="9" t="s">
        <v>2106</v>
      </c>
      <c r="J240" s="20" t="s">
        <v>116</v>
      </c>
      <c r="K240" s="21"/>
      <c r="L240" s="21"/>
      <c r="M240" s="22" t="s">
        <v>120</v>
      </c>
      <c r="N240" s="21"/>
      <c r="O240" s="22" t="s">
        <v>120</v>
      </c>
      <c r="P240" s="21"/>
      <c r="Q240" s="21"/>
      <c r="R240" s="21"/>
      <c r="S240" s="22" t="s">
        <v>120</v>
      </c>
      <c r="T240" s="21"/>
      <c r="U240" s="9" t="s">
        <v>1680</v>
      </c>
      <c r="V240" s="9" t="s">
        <v>1408</v>
      </c>
    </row>
    <row r="241" ht="14.25" customHeight="1">
      <c r="A241" s="27" t="s">
        <v>521</v>
      </c>
      <c r="B241" s="27" t="s">
        <v>520</v>
      </c>
      <c r="C241" s="27" t="str">
        <f t="array" ref="C241">INDEX(Funciones!$G$2:$G$372,MATCH($A241,Funciones!$B$2:$B$372,0))</f>
        <v>Presurizar los cilindros de freno entre 3,7 y 3,9 bar</v>
      </c>
      <c r="D241" s="27" t="s">
        <v>3573</v>
      </c>
      <c r="E241" s="27" t="s">
        <v>1246</v>
      </c>
      <c r="F241" s="27" t="s">
        <v>3312</v>
      </c>
      <c r="G241" s="27" t="s">
        <v>3313</v>
      </c>
      <c r="H241" s="18" t="str">
        <f t="array" ref="H241">_xlfn.XLOOKUP(E:E,'Calificación consecuencia'!B:B,'Calificación consecuencia'!K:K,"No encontrada",2)</f>
        <v>Media</v>
      </c>
      <c r="I241" s="27" t="s">
        <v>425</v>
      </c>
      <c r="J241" s="30" t="s">
        <v>116</v>
      </c>
      <c r="K241" s="21"/>
      <c r="L241" s="21"/>
      <c r="M241" s="30" t="s">
        <v>116</v>
      </c>
      <c r="N241" s="30" t="s">
        <v>116</v>
      </c>
      <c r="O241" s="21"/>
      <c r="P241" s="21"/>
      <c r="Q241" s="21"/>
      <c r="R241" s="21"/>
      <c r="S241" s="21"/>
      <c r="T241" s="21"/>
      <c r="U241" s="27" t="s">
        <v>195</v>
      </c>
      <c r="V241" s="27" t="s">
        <v>196</v>
      </c>
    </row>
    <row r="242" ht="14.25" customHeight="1">
      <c r="A242" s="27" t="s">
        <v>521</v>
      </c>
      <c r="B242" s="27" t="s">
        <v>520</v>
      </c>
      <c r="C242" s="27" t="str">
        <f t="array" ref="C242">INDEX(Funciones!$G$2:$G$372,MATCH($A242,Funciones!$B$2:$B$372,0))</f>
        <v>Presurizar los cilindros de freno entre 3,7 y 3,9 bar</v>
      </c>
      <c r="D242" s="27" t="s">
        <v>3573</v>
      </c>
      <c r="E242" s="27" t="s">
        <v>1248</v>
      </c>
      <c r="F242" s="27" t="s">
        <v>3574</v>
      </c>
      <c r="G242" s="27" t="s">
        <v>3315</v>
      </c>
      <c r="H242" s="18" t="str">
        <f t="array" ref="H242">_xlfn.XLOOKUP(E:E,'Calificación consecuencia'!B:B,'Calificación consecuencia'!K:K,"No encontrada",2)</f>
        <v>Media</v>
      </c>
      <c r="I242" s="27" t="s">
        <v>425</v>
      </c>
      <c r="J242" s="30" t="s">
        <v>116</v>
      </c>
      <c r="K242" s="21"/>
      <c r="L242" s="21"/>
      <c r="M242" s="30" t="s">
        <v>116</v>
      </c>
      <c r="N242" s="30" t="s">
        <v>116</v>
      </c>
      <c r="O242" s="21"/>
      <c r="P242" s="21"/>
      <c r="Q242" s="21"/>
      <c r="R242" s="21"/>
      <c r="S242" s="21"/>
      <c r="T242" s="21"/>
      <c r="U242" s="27" t="s">
        <v>195</v>
      </c>
      <c r="V242" s="27" t="s">
        <v>196</v>
      </c>
    </row>
    <row r="243" ht="14.25" customHeight="1">
      <c r="A243" s="27" t="s">
        <v>521</v>
      </c>
      <c r="B243" s="27" t="s">
        <v>520</v>
      </c>
      <c r="C243" s="27" t="str">
        <f t="array" ref="C243">INDEX(Funciones!$G$2:$G$372,MATCH($A243,Funciones!$B$2:$B$372,0))</f>
        <v>Presurizar los cilindros de freno entre 3,7 y 3,9 bar</v>
      </c>
      <c r="D243" s="27" t="s">
        <v>3575</v>
      </c>
      <c r="E243" s="27" t="s">
        <v>1255</v>
      </c>
      <c r="F243" s="27" t="s">
        <v>3576</v>
      </c>
      <c r="G243" s="27" t="s">
        <v>3319</v>
      </c>
      <c r="H243" s="18" t="str">
        <f t="array" ref="H243">_xlfn.XLOOKUP(E:E,'Calificación consecuencia'!B:B,'Calificación consecuencia'!K:K,"No encontrada",2)</f>
        <v>Baja</v>
      </c>
      <c r="I243" s="27" t="s">
        <v>425</v>
      </c>
      <c r="J243" s="30" t="s">
        <v>116</v>
      </c>
      <c r="K243" s="21"/>
      <c r="L243" s="21"/>
      <c r="M243" s="30" t="s">
        <v>116</v>
      </c>
      <c r="N243" s="30" t="s">
        <v>116</v>
      </c>
      <c r="O243" s="21"/>
      <c r="P243" s="21"/>
      <c r="Q243" s="21"/>
      <c r="R243" s="21"/>
      <c r="S243" s="21"/>
      <c r="T243" s="21"/>
      <c r="U243" s="27" t="s">
        <v>195</v>
      </c>
      <c r="V243" s="27" t="s">
        <v>196</v>
      </c>
    </row>
    <row r="244" ht="14.25" customHeight="1">
      <c r="A244" s="27" t="s">
        <v>521</v>
      </c>
      <c r="B244" s="27" t="s">
        <v>520</v>
      </c>
      <c r="C244" s="27" t="str">
        <f t="array" ref="C244">INDEX(Funciones!$G$2:$G$372,MATCH($A244,Funciones!$B$2:$B$372,0))</f>
        <v>Presurizar los cilindros de freno entre 3,7 y 3,9 bar</v>
      </c>
      <c r="D244" s="27" t="s">
        <v>3575</v>
      </c>
      <c r="E244" s="27" t="s">
        <v>1259</v>
      </c>
      <c r="F244" s="27" t="s">
        <v>3577</v>
      </c>
      <c r="G244" s="27" t="s">
        <v>3323</v>
      </c>
      <c r="H244" s="18" t="str">
        <f t="array" ref="H244">_xlfn.XLOOKUP(E:E,'Calificación consecuencia'!B:B,'Calificación consecuencia'!K:K,"No encontrada",2)</f>
        <v>Baja</v>
      </c>
      <c r="I244" s="27" t="s">
        <v>425</v>
      </c>
      <c r="J244" s="30" t="s">
        <v>116</v>
      </c>
      <c r="K244" s="21"/>
      <c r="L244" s="21"/>
      <c r="M244" s="30" t="s">
        <v>116</v>
      </c>
      <c r="N244" s="30" t="s">
        <v>116</v>
      </c>
      <c r="O244" s="21"/>
      <c r="P244" s="21"/>
      <c r="Q244" s="21"/>
      <c r="R244" s="21"/>
      <c r="S244" s="21"/>
      <c r="T244" s="21"/>
      <c r="U244" s="27" t="s">
        <v>195</v>
      </c>
      <c r="V244" s="27" t="s">
        <v>196</v>
      </c>
    </row>
    <row r="245" ht="14.25" customHeight="1">
      <c r="A245" s="27" t="s">
        <v>521</v>
      </c>
      <c r="B245" s="27" t="s">
        <v>520</v>
      </c>
      <c r="C245" s="27" t="str">
        <f t="array" ref="C245">INDEX(Funciones!$G$2:$G$372,MATCH($A245,Funciones!$B$2:$B$372,0))</f>
        <v>Presurizar los cilindros de freno entre 3,7 y 3,9 bar</v>
      </c>
      <c r="D245" s="27" t="s">
        <v>3578</v>
      </c>
      <c r="E245" s="27" t="s">
        <v>1265</v>
      </c>
      <c r="F245" s="27" t="s">
        <v>3579</v>
      </c>
      <c r="G245" s="27" t="s">
        <v>3326</v>
      </c>
      <c r="H245" s="18" t="str">
        <f t="array" ref="H245">_xlfn.XLOOKUP(E:E,'Calificación consecuencia'!B:B,'Calificación consecuencia'!K:K,"No encontrada",2)</f>
        <v>Media</v>
      </c>
      <c r="I245" s="27" t="s">
        <v>425</v>
      </c>
      <c r="J245" s="30" t="s">
        <v>116</v>
      </c>
      <c r="K245" s="21"/>
      <c r="L245" s="21"/>
      <c r="M245" s="30" t="s">
        <v>116</v>
      </c>
      <c r="N245" s="30" t="s">
        <v>116</v>
      </c>
      <c r="O245" s="21"/>
      <c r="P245" s="21"/>
      <c r="Q245" s="21"/>
      <c r="R245" s="21"/>
      <c r="S245" s="21"/>
      <c r="T245" s="21"/>
      <c r="U245" s="27" t="s">
        <v>195</v>
      </c>
      <c r="V245" s="27" t="s">
        <v>196</v>
      </c>
    </row>
    <row r="246" ht="14.25" customHeight="1">
      <c r="A246" s="9" t="s">
        <v>518</v>
      </c>
      <c r="B246" s="9" t="s">
        <v>529</v>
      </c>
      <c r="C246" s="9" t="str">
        <f t="array" ref="C246">INDEX(Funciones!$G$2:$G$372,MATCH($A246,Funciones!$B$2:$B$372,0))</f>
        <v>Transmitir la fuerza a zapatas con juego de 5 a 7 mm</v>
      </c>
      <c r="D246" s="9" t="s">
        <v>3580</v>
      </c>
      <c r="E246" s="9" t="s">
        <v>1744</v>
      </c>
      <c r="F246" s="9" t="s">
        <v>3581</v>
      </c>
      <c r="G246" s="9" t="s">
        <v>3582</v>
      </c>
      <c r="H246" s="18" t="str">
        <f t="array" ref="H246">_xlfn.XLOOKUP(E:E,'Calificación consecuencia'!B:B,'Calificación consecuencia'!K:K,"No encontrada",2)</f>
        <v>Baja</v>
      </c>
      <c r="I246" s="9" t="s">
        <v>425</v>
      </c>
      <c r="J246" s="20" t="s">
        <v>116</v>
      </c>
      <c r="K246" s="21"/>
      <c r="L246" s="21"/>
      <c r="M246" s="20" t="s">
        <v>116</v>
      </c>
      <c r="N246" s="20" t="s">
        <v>116</v>
      </c>
      <c r="O246" s="21"/>
      <c r="P246" s="21"/>
      <c r="Q246" s="21"/>
      <c r="R246" s="21"/>
      <c r="S246" s="21"/>
      <c r="T246" s="21"/>
      <c r="U246" s="9" t="s">
        <v>195</v>
      </c>
      <c r="V246" s="9" t="s">
        <v>196</v>
      </c>
    </row>
    <row r="247" ht="14.25" customHeight="1">
      <c r="A247" s="9" t="s">
        <v>518</v>
      </c>
      <c r="B247" s="9" t="s">
        <v>529</v>
      </c>
      <c r="C247" s="9" t="str">
        <f t="array" ref="C247">INDEX(Funciones!$G$2:$G$372,MATCH($A247,Funciones!$B$2:$B$372,0))</f>
        <v>Transmitir la fuerza a zapatas con juego de 5 a 7 mm</v>
      </c>
      <c r="D247" s="9" t="s">
        <v>3583</v>
      </c>
      <c r="E247" s="9" t="s">
        <v>1749</v>
      </c>
      <c r="F247" s="9" t="s">
        <v>3584</v>
      </c>
      <c r="G247" s="9" t="s">
        <v>3585</v>
      </c>
      <c r="H247" s="18" t="str">
        <f t="array" ref="H247">_xlfn.XLOOKUP(E:E,'Calificación consecuencia'!B:B,'Calificación consecuencia'!K:K,"No encontrada",2)</f>
        <v>Baja</v>
      </c>
      <c r="I247" s="9" t="s">
        <v>2106</v>
      </c>
      <c r="J247" s="20" t="s">
        <v>116</v>
      </c>
      <c r="K247" s="21"/>
      <c r="L247" s="21"/>
      <c r="M247" s="22" t="s">
        <v>120</v>
      </c>
      <c r="N247" s="21"/>
      <c r="O247" s="22" t="s">
        <v>120</v>
      </c>
      <c r="P247" s="21"/>
      <c r="Q247" s="21"/>
      <c r="R247" s="21"/>
      <c r="S247" s="22" t="s">
        <v>120</v>
      </c>
      <c r="T247" s="21"/>
      <c r="U247" s="9" t="s">
        <v>1680</v>
      </c>
      <c r="V247" s="9" t="s">
        <v>1408</v>
      </c>
    </row>
    <row r="248" ht="14.25" customHeight="1">
      <c r="A248" s="9" t="s">
        <v>518</v>
      </c>
      <c r="B248" s="9" t="s">
        <v>529</v>
      </c>
      <c r="C248" s="9" t="str">
        <f t="array" ref="C248">INDEX(Funciones!$G$2:$G$372,MATCH($A248,Funciones!$B$2:$B$372,0))</f>
        <v>Transmitir la fuerza a zapatas con juego de 5 a 7 mm</v>
      </c>
      <c r="D248" s="9" t="s">
        <v>3586</v>
      </c>
      <c r="E248" s="9" t="s">
        <v>1751</v>
      </c>
      <c r="F248" s="9" t="s">
        <v>3587</v>
      </c>
      <c r="G248" s="9" t="s">
        <v>3588</v>
      </c>
      <c r="H248" s="18" t="str">
        <f t="array" ref="H248">_xlfn.XLOOKUP(E:E,'Calificación consecuencia'!B:B,'Calificación consecuencia'!K:K,"No encontrada",2)</f>
        <v>Baja</v>
      </c>
      <c r="I248" s="9" t="s">
        <v>1351</v>
      </c>
      <c r="J248" s="20" t="s">
        <v>116</v>
      </c>
      <c r="K248" s="21"/>
      <c r="L248" s="21"/>
      <c r="M248" s="20" t="s">
        <v>116</v>
      </c>
      <c r="N248" s="20" t="s">
        <v>116</v>
      </c>
      <c r="O248" s="21"/>
      <c r="P248" s="21"/>
      <c r="Q248" s="21"/>
      <c r="R248" s="21"/>
      <c r="S248" s="21"/>
      <c r="T248" s="21"/>
      <c r="U248" s="9" t="s">
        <v>195</v>
      </c>
      <c r="V248" s="9" t="s">
        <v>196</v>
      </c>
    </row>
    <row r="249" ht="14.25" customHeight="1">
      <c r="A249" s="9" t="s">
        <v>518</v>
      </c>
      <c r="B249" s="9" t="s">
        <v>529</v>
      </c>
      <c r="C249" s="9" t="str">
        <f t="array" ref="C249">INDEX(Funciones!$G$2:$G$372,MATCH($A249,Funciones!$B$2:$B$372,0))</f>
        <v>Transmitir la fuerza a zapatas con juego de 5 a 7 mm</v>
      </c>
      <c r="D249" s="9" t="s">
        <v>3586</v>
      </c>
      <c r="E249" s="9" t="s">
        <v>1753</v>
      </c>
      <c r="F249" s="9" t="s">
        <v>3589</v>
      </c>
      <c r="G249" s="9" t="s">
        <v>940</v>
      </c>
      <c r="H249" s="18" t="str">
        <f t="array" ref="H249">_xlfn.XLOOKUP(E:E,'Calificación consecuencia'!B:B,'Calificación consecuencia'!K:K,"No encontrada",2)</f>
        <v>Baja</v>
      </c>
      <c r="I249" s="9" t="s">
        <v>425</v>
      </c>
      <c r="J249" s="20" t="s">
        <v>116</v>
      </c>
      <c r="K249" s="21"/>
      <c r="L249" s="21"/>
      <c r="M249" s="20" t="s">
        <v>116</v>
      </c>
      <c r="N249" s="20" t="s">
        <v>116</v>
      </c>
      <c r="O249" s="21"/>
      <c r="P249" s="21"/>
      <c r="Q249" s="21"/>
      <c r="R249" s="21"/>
      <c r="S249" s="21"/>
      <c r="T249" s="21"/>
      <c r="U249" s="9" t="s">
        <v>195</v>
      </c>
      <c r="V249" s="9" t="s">
        <v>196</v>
      </c>
    </row>
    <row r="250" ht="14.25" customHeight="1">
      <c r="A250" s="9" t="s">
        <v>518</v>
      </c>
      <c r="B250" s="9" t="s">
        <v>529</v>
      </c>
      <c r="C250" s="9" t="str">
        <f t="array" ref="C250">INDEX(Funciones!$G$2:$G$372,MATCH($A250,Funciones!$B$2:$B$372,0))</f>
        <v>Transmitir la fuerza a zapatas con juego de 5 a 7 mm</v>
      </c>
      <c r="D250" s="9" t="s">
        <v>3586</v>
      </c>
      <c r="E250" s="9" t="s">
        <v>1755</v>
      </c>
      <c r="F250" s="9" t="s">
        <v>3590</v>
      </c>
      <c r="G250" s="9" t="s">
        <v>3591</v>
      </c>
      <c r="H250" s="18" t="str">
        <f t="array" ref="H250">_xlfn.XLOOKUP(E:E,'Calificación consecuencia'!B:B,'Calificación consecuencia'!K:K,"No encontrada",2)</f>
        <v>Media</v>
      </c>
      <c r="I250" s="9" t="s">
        <v>425</v>
      </c>
      <c r="J250" s="20" t="s">
        <v>116</v>
      </c>
      <c r="K250" s="21"/>
      <c r="L250" s="21"/>
      <c r="M250" s="20" t="s">
        <v>116</v>
      </c>
      <c r="N250" s="20" t="s">
        <v>116</v>
      </c>
      <c r="O250" s="21"/>
      <c r="P250" s="21"/>
      <c r="Q250" s="21"/>
      <c r="R250" s="21"/>
      <c r="S250" s="21"/>
      <c r="T250" s="21"/>
      <c r="U250" s="9" t="s">
        <v>195</v>
      </c>
      <c r="V250" s="9" t="s">
        <v>196</v>
      </c>
    </row>
    <row r="251" ht="14.25" customHeight="1">
      <c r="A251" s="27" t="s">
        <v>540</v>
      </c>
      <c r="B251" s="27" t="s">
        <v>539</v>
      </c>
      <c r="C251" s="27" t="str">
        <f t="array" ref="C251">INDEX(Funciones!$G$2:$G$372,MATCH($A251,Funciones!$B$2:$B$372,0))</f>
        <v>Tensar la cuerda de medición con una fuerza de 98 a 105 N</v>
      </c>
      <c r="D251" s="27" t="s">
        <v>3592</v>
      </c>
      <c r="E251" s="27" t="s">
        <v>1759</v>
      </c>
      <c r="F251" s="27" t="s">
        <v>3593</v>
      </c>
      <c r="G251" s="27" t="s">
        <v>3594</v>
      </c>
      <c r="H251" s="18" t="str">
        <f t="array" ref="H251">_xlfn.XLOOKUP(E:E,'Calificación consecuencia'!B:B,'Calificación consecuencia'!K:K,"No encontrada",2)</f>
        <v>Baja</v>
      </c>
      <c r="I251" s="27" t="s">
        <v>2106</v>
      </c>
      <c r="J251" s="29" t="s">
        <v>120</v>
      </c>
      <c r="K251" s="30" t="s">
        <v>116</v>
      </c>
      <c r="L251" s="21"/>
      <c r="M251" s="21"/>
      <c r="N251" s="21"/>
      <c r="O251" s="21"/>
      <c r="P251" s="21"/>
      <c r="Q251" s="21"/>
      <c r="R251" s="21"/>
      <c r="S251" s="21"/>
      <c r="T251" s="21"/>
      <c r="U251" s="27" t="s">
        <v>439</v>
      </c>
      <c r="V251" s="27" t="s">
        <v>440</v>
      </c>
    </row>
    <row r="252" ht="14.25" customHeight="1">
      <c r="A252" s="27" t="s">
        <v>540</v>
      </c>
      <c r="B252" s="27" t="s">
        <v>539</v>
      </c>
      <c r="C252" s="27" t="str">
        <f t="array" ref="C252">INDEX(Funciones!$G$2:$G$372,MATCH($A252,Funciones!$B$2:$B$372,0))</f>
        <v>Tensar la cuerda de medición con una fuerza de 98 a 105 N</v>
      </c>
      <c r="D252" s="27" t="s">
        <v>3595</v>
      </c>
      <c r="E252" s="27" t="s">
        <v>1762</v>
      </c>
      <c r="F252" s="27" t="s">
        <v>3596</v>
      </c>
      <c r="G252" s="27" t="s">
        <v>3597</v>
      </c>
      <c r="H252" s="18" t="str">
        <f t="array" ref="H252">_xlfn.XLOOKUP(E:E,'Calificación consecuencia'!B:B,'Calificación consecuencia'!K:K,"No encontrada",2)</f>
        <v>Baja</v>
      </c>
      <c r="I252" s="27" t="s">
        <v>2106</v>
      </c>
      <c r="J252" s="29" t="s">
        <v>120</v>
      </c>
      <c r="K252" s="30" t="s">
        <v>116</v>
      </c>
      <c r="L252" s="21"/>
      <c r="M252" s="21"/>
      <c r="N252" s="21"/>
      <c r="O252" s="21"/>
      <c r="P252" s="21"/>
      <c r="Q252" s="21"/>
      <c r="R252" s="21"/>
      <c r="S252" s="21"/>
      <c r="T252" s="21"/>
      <c r="U252" s="27" t="s">
        <v>439</v>
      </c>
      <c r="V252" s="27" t="s">
        <v>440</v>
      </c>
    </row>
    <row r="253" ht="14.25" customHeight="1">
      <c r="A253" s="27" t="s">
        <v>540</v>
      </c>
      <c r="B253" s="27" t="s">
        <v>539</v>
      </c>
      <c r="C253" s="27" t="str">
        <f t="array" ref="C253">INDEX(Funciones!$G$2:$G$372,MATCH($A253,Funciones!$B$2:$B$372,0))</f>
        <v>Tensar la cuerda de medición con una fuerza de 98 a 105 N</v>
      </c>
      <c r="D253" s="27" t="s">
        <v>3595</v>
      </c>
      <c r="E253" s="27" t="s">
        <v>1766</v>
      </c>
      <c r="F253" s="27" t="s">
        <v>3598</v>
      </c>
      <c r="G253" s="27" t="s">
        <v>3599</v>
      </c>
      <c r="H253" s="18" t="str">
        <f t="array" ref="H253">_xlfn.XLOOKUP(E:E,'Calificación consecuencia'!B:B,'Calificación consecuencia'!K:K,"No encontrada",2)</f>
        <v>Baja</v>
      </c>
      <c r="I253" s="27" t="s">
        <v>2106</v>
      </c>
      <c r="J253" s="29" t="s">
        <v>120</v>
      </c>
      <c r="K253" s="30" t="s">
        <v>116</v>
      </c>
      <c r="L253" s="21"/>
      <c r="M253" s="21"/>
      <c r="N253" s="21"/>
      <c r="O253" s="21"/>
      <c r="P253" s="21"/>
      <c r="Q253" s="21"/>
      <c r="R253" s="21"/>
      <c r="S253" s="21"/>
      <c r="T253" s="21"/>
      <c r="U253" s="27" t="s">
        <v>439</v>
      </c>
      <c r="V253" s="27" t="s">
        <v>440</v>
      </c>
    </row>
    <row r="254" ht="14.25" customHeight="1">
      <c r="A254" s="9" t="s">
        <v>553</v>
      </c>
      <c r="B254" s="9" t="s">
        <v>552</v>
      </c>
      <c r="C254" s="9" t="str">
        <f t="array" ref="C254">INDEX(Funciones!$G$2:$G$372,MATCH($A254,Funciones!$B$2:$B$372,0))</f>
        <v>Distribuir el par entre ejes hasta 1.780 N.m</v>
      </c>
      <c r="D254" s="9" t="s">
        <v>3600</v>
      </c>
      <c r="E254" s="9" t="s">
        <v>1770</v>
      </c>
      <c r="F254" s="9" t="s">
        <v>3601</v>
      </c>
      <c r="G254" s="9" t="s">
        <v>3602</v>
      </c>
      <c r="H254" s="18" t="str">
        <f t="array" ref="H254">_xlfn.XLOOKUP(E:E,'Calificación consecuencia'!B:B,'Calificación consecuencia'!K:K,"No encontrada",2)</f>
        <v>Baja</v>
      </c>
      <c r="I254" s="9" t="s">
        <v>1800</v>
      </c>
      <c r="J254" s="20" t="s">
        <v>116</v>
      </c>
      <c r="K254" s="21"/>
      <c r="L254" s="21"/>
      <c r="M254" s="22" t="s">
        <v>120</v>
      </c>
      <c r="N254" s="21"/>
      <c r="O254" s="20" t="s">
        <v>116</v>
      </c>
      <c r="P254" s="20" t="s">
        <v>116</v>
      </c>
      <c r="Q254" s="21"/>
      <c r="R254" s="21"/>
      <c r="S254" s="21"/>
      <c r="T254" s="21"/>
      <c r="U254" s="9" t="s">
        <v>345</v>
      </c>
      <c r="V254" s="9" t="s">
        <v>196</v>
      </c>
    </row>
    <row r="255" ht="14.25" customHeight="1">
      <c r="A255" s="9" t="s">
        <v>553</v>
      </c>
      <c r="B255" s="9" t="s">
        <v>552</v>
      </c>
      <c r="C255" s="9" t="str">
        <f t="array" ref="C255">INDEX(Funciones!$G$2:$G$372,MATCH($A255,Funciones!$B$2:$B$372,0))</f>
        <v>Distribuir el par entre ejes hasta 1.780 N.m</v>
      </c>
      <c r="D255" s="9" t="s">
        <v>3603</v>
      </c>
      <c r="E255" s="9" t="s">
        <v>1775</v>
      </c>
      <c r="F255" s="9" t="s">
        <v>3604</v>
      </c>
      <c r="G255" s="9" t="s">
        <v>3605</v>
      </c>
      <c r="H255" s="18" t="str">
        <f t="array" ref="H255">_xlfn.XLOOKUP(E:E,'Calificación consecuencia'!B:B,'Calificación consecuencia'!K:K,"No encontrada",2)</f>
        <v>Baja</v>
      </c>
      <c r="I255" s="9" t="s">
        <v>1800</v>
      </c>
      <c r="J255" s="20" t="s">
        <v>116</v>
      </c>
      <c r="K255" s="21"/>
      <c r="L255" s="21"/>
      <c r="M255" s="22" t="s">
        <v>120</v>
      </c>
      <c r="N255" s="21"/>
      <c r="O255" s="20" t="s">
        <v>116</v>
      </c>
      <c r="P255" s="20" t="s">
        <v>116</v>
      </c>
      <c r="Q255" s="21"/>
      <c r="R255" s="21"/>
      <c r="S255" s="21"/>
      <c r="T255" s="21"/>
      <c r="U255" s="9" t="s">
        <v>345</v>
      </c>
      <c r="V255" s="9" t="s">
        <v>196</v>
      </c>
    </row>
    <row r="256" ht="14.25" customHeight="1">
      <c r="A256" s="9" t="s">
        <v>553</v>
      </c>
      <c r="B256" s="9" t="s">
        <v>552</v>
      </c>
      <c r="C256" s="9" t="str">
        <f t="array" ref="C256">INDEX(Funciones!$G$2:$G$372,MATCH($A256,Funciones!$B$2:$B$372,0))</f>
        <v>Distribuir el par entre ejes hasta 1.780 N.m</v>
      </c>
      <c r="D256" s="9" t="s">
        <v>3603</v>
      </c>
      <c r="E256" s="9" t="s">
        <v>1779</v>
      </c>
      <c r="F256" s="9" t="s">
        <v>3606</v>
      </c>
      <c r="G256" s="9" t="s">
        <v>3607</v>
      </c>
      <c r="H256" s="18" t="str">
        <f t="array" ref="H256">_xlfn.XLOOKUP(E:E,'Calificación consecuencia'!B:B,'Calificación consecuencia'!K:K,"No encontrada",2)</f>
        <v>Baja</v>
      </c>
      <c r="I256" s="9" t="s">
        <v>1800</v>
      </c>
      <c r="J256" s="20" t="s">
        <v>116</v>
      </c>
      <c r="K256" s="21"/>
      <c r="L256" s="21"/>
      <c r="M256" s="22" t="s">
        <v>120</v>
      </c>
      <c r="N256" s="21"/>
      <c r="O256" s="20" t="s">
        <v>116</v>
      </c>
      <c r="P256" s="20" t="s">
        <v>116</v>
      </c>
      <c r="Q256" s="21"/>
      <c r="R256" s="21"/>
      <c r="S256" s="21"/>
      <c r="T256" s="21"/>
      <c r="U256" s="9" t="s">
        <v>345</v>
      </c>
      <c r="V256" s="9" t="s">
        <v>196</v>
      </c>
    </row>
    <row r="257" ht="14.25" customHeight="1">
      <c r="A257" s="27" t="s">
        <v>567</v>
      </c>
      <c r="B257" s="27" t="s">
        <v>566</v>
      </c>
      <c r="C257" s="27" t="str">
        <f t="array" ref="C257">INDEX(Funciones!$G$2:$G$372,MATCH($A257,Funciones!$B$2:$B$372,0))</f>
        <v>Entregar potencia mecánica hasta 300 kW</v>
      </c>
      <c r="D257" s="27" t="s">
        <v>3608</v>
      </c>
      <c r="E257" s="27" t="s">
        <v>1339</v>
      </c>
      <c r="F257" s="27" t="s">
        <v>3609</v>
      </c>
      <c r="G257" s="27" t="s">
        <v>3374</v>
      </c>
      <c r="H257" s="18" t="str">
        <f t="array" ref="H257">_xlfn.XLOOKUP(E:E,'Calificación consecuencia'!B:B,'Calificación consecuencia'!K:K,"No encontrada",2)</f>
        <v>Media</v>
      </c>
      <c r="I257" s="27" t="s">
        <v>1800</v>
      </c>
      <c r="J257" s="30" t="s">
        <v>116</v>
      </c>
      <c r="K257" s="21"/>
      <c r="L257" s="21"/>
      <c r="M257" s="29" t="s">
        <v>120</v>
      </c>
      <c r="N257" s="21"/>
      <c r="O257" s="30" t="s">
        <v>116</v>
      </c>
      <c r="P257" s="30" t="s">
        <v>116</v>
      </c>
      <c r="Q257" s="21"/>
      <c r="R257" s="21"/>
      <c r="S257" s="21"/>
      <c r="T257" s="21"/>
      <c r="U257" s="27" t="s">
        <v>345</v>
      </c>
      <c r="V257" s="27" t="s">
        <v>196</v>
      </c>
    </row>
    <row r="258" ht="14.25" customHeight="1">
      <c r="A258" s="27" t="s">
        <v>567</v>
      </c>
      <c r="B258" s="27" t="s">
        <v>566</v>
      </c>
      <c r="C258" s="27" t="str">
        <f t="array" ref="C258">INDEX(Funciones!$G$2:$G$372,MATCH($A258,Funciones!$B$2:$B$372,0))</f>
        <v>Entregar potencia mecánica hasta 300 kW</v>
      </c>
      <c r="D258" s="27" t="s">
        <v>3608</v>
      </c>
      <c r="E258" s="27" t="s">
        <v>1786</v>
      </c>
      <c r="F258" s="27" t="s">
        <v>3610</v>
      </c>
      <c r="G258" s="27" t="s">
        <v>3378</v>
      </c>
      <c r="H258" s="18" t="str">
        <f t="array" ref="H258">_xlfn.XLOOKUP(E:E,'Calificación consecuencia'!B:B,'Calificación consecuencia'!K:K,"No encontrada",2)</f>
        <v>Baja</v>
      </c>
      <c r="I258" s="27" t="s">
        <v>2106</v>
      </c>
      <c r="J258" s="30" t="s">
        <v>116</v>
      </c>
      <c r="K258" s="21"/>
      <c r="L258" s="21"/>
      <c r="M258" s="29" t="s">
        <v>120</v>
      </c>
      <c r="N258" s="21"/>
      <c r="O258" s="29" t="s">
        <v>120</v>
      </c>
      <c r="P258" s="21"/>
      <c r="Q258" s="21"/>
      <c r="R258" s="21"/>
      <c r="S258" s="29" t="s">
        <v>120</v>
      </c>
      <c r="T258" s="21"/>
      <c r="U258" s="27" t="s">
        <v>1680</v>
      </c>
      <c r="V258" s="27" t="s">
        <v>1408</v>
      </c>
    </row>
    <row r="259" ht="14.25" customHeight="1">
      <c r="A259" s="27" t="s">
        <v>567</v>
      </c>
      <c r="B259" s="27" t="s">
        <v>566</v>
      </c>
      <c r="C259" s="27" t="str">
        <f t="array" ref="C259">INDEX(Funciones!$G$2:$G$372,MATCH($A259,Funciones!$B$2:$B$372,0))</f>
        <v>Entregar potencia mecánica hasta 300 kW</v>
      </c>
      <c r="D259" s="27" t="s">
        <v>3611</v>
      </c>
      <c r="E259" s="27" t="s">
        <v>1350</v>
      </c>
      <c r="F259" s="27" t="s">
        <v>3612</v>
      </c>
      <c r="G259" s="27" t="s">
        <v>3382</v>
      </c>
      <c r="H259" s="18" t="str">
        <f t="array" ref="H259">_xlfn.XLOOKUP(E:E,'Calificación consecuencia'!B:B,'Calificación consecuencia'!K:K,"No encontrada",2)</f>
        <v>Baja</v>
      </c>
      <c r="I259" s="27" t="s">
        <v>2106</v>
      </c>
      <c r="J259" s="30" t="s">
        <v>116</v>
      </c>
      <c r="K259" s="21"/>
      <c r="L259" s="21"/>
      <c r="M259" s="29" t="s">
        <v>120</v>
      </c>
      <c r="N259" s="21"/>
      <c r="O259" s="29" t="s">
        <v>120</v>
      </c>
      <c r="P259" s="21"/>
      <c r="Q259" s="21"/>
      <c r="R259" s="21"/>
      <c r="S259" s="29" t="s">
        <v>120</v>
      </c>
      <c r="T259" s="21"/>
      <c r="U259" s="27" t="s">
        <v>1680</v>
      </c>
      <c r="V259" s="27" t="s">
        <v>1408</v>
      </c>
    </row>
    <row r="260" ht="14.25" customHeight="1">
      <c r="A260" s="27" t="s">
        <v>567</v>
      </c>
      <c r="B260" s="27" t="s">
        <v>566</v>
      </c>
      <c r="C260" s="27" t="str">
        <f t="array" ref="C260">INDEX(Funciones!$G$2:$G$372,MATCH($A260,Funciones!$B$2:$B$372,0))</f>
        <v>Entregar potencia mecánica hasta 300 kW</v>
      </c>
      <c r="D260" s="27" t="s">
        <v>3611</v>
      </c>
      <c r="E260" s="27" t="s">
        <v>1794</v>
      </c>
      <c r="F260" s="27" t="s">
        <v>3613</v>
      </c>
      <c r="G260" s="27" t="s">
        <v>3614</v>
      </c>
      <c r="H260" s="18" t="str">
        <f t="array" ref="H260">_xlfn.XLOOKUP(E:E,'Calificación consecuencia'!B:B,'Calificación consecuencia'!K:K,"No encontrada",2)</f>
        <v>Baja</v>
      </c>
      <c r="I260" s="27" t="s">
        <v>1800</v>
      </c>
      <c r="J260" s="30" t="s">
        <v>116</v>
      </c>
      <c r="K260" s="21"/>
      <c r="L260" s="21"/>
      <c r="M260" s="29" t="s">
        <v>120</v>
      </c>
      <c r="N260" s="21"/>
      <c r="O260" s="30" t="s">
        <v>116</v>
      </c>
      <c r="P260" s="30" t="s">
        <v>116</v>
      </c>
      <c r="Q260" s="21"/>
      <c r="R260" s="21"/>
      <c r="S260" s="21"/>
      <c r="T260" s="21"/>
      <c r="U260" s="27" t="s">
        <v>345</v>
      </c>
      <c r="V260" s="27" t="s">
        <v>196</v>
      </c>
    </row>
    <row r="261" ht="14.25" customHeight="1">
      <c r="A261" s="27" t="s">
        <v>567</v>
      </c>
      <c r="B261" s="27" t="s">
        <v>566</v>
      </c>
      <c r="C261" s="27" t="str">
        <f t="array" ref="C261">INDEX(Funciones!$G$2:$G$372,MATCH($A261,Funciones!$B$2:$B$372,0))</f>
        <v>Entregar potencia mecánica hasta 300 kW</v>
      </c>
      <c r="D261" s="27" t="s">
        <v>3611</v>
      </c>
      <c r="E261" s="27" t="s">
        <v>1799</v>
      </c>
      <c r="F261" s="27" t="s">
        <v>3615</v>
      </c>
      <c r="G261" s="27" t="s">
        <v>3616</v>
      </c>
      <c r="H261" s="18" t="str">
        <f t="array" ref="H261">_xlfn.XLOOKUP(E:E,'Calificación consecuencia'!B:B,'Calificación consecuencia'!K:K,"No encontrada",2)</f>
        <v>Media</v>
      </c>
      <c r="I261" s="27" t="s">
        <v>2106</v>
      </c>
      <c r="J261" s="30" t="s">
        <v>116</v>
      </c>
      <c r="K261" s="21"/>
      <c r="L261" s="21"/>
      <c r="M261" s="29" t="s">
        <v>120</v>
      </c>
      <c r="N261" s="21"/>
      <c r="O261" s="30" t="s">
        <v>116</v>
      </c>
      <c r="P261" s="30" t="s">
        <v>116</v>
      </c>
      <c r="Q261" s="21"/>
      <c r="R261" s="21"/>
      <c r="S261" s="21"/>
      <c r="T261" s="21"/>
      <c r="U261" s="27" t="s">
        <v>345</v>
      </c>
      <c r="V261" s="27" t="s">
        <v>196</v>
      </c>
    </row>
    <row r="262" ht="14.25" customHeight="1">
      <c r="A262" s="9" t="s">
        <v>575</v>
      </c>
      <c r="B262" s="9" t="s">
        <v>566</v>
      </c>
      <c r="C262" s="9" t="str">
        <f t="array" ref="C262">INDEX(Funciones!$G$2:$G$372,MATCH($A262,Funciones!$B$2:$B$372,0))</f>
        <v>Mover Eje de 0 a 1.200 rpm</v>
      </c>
      <c r="D262" s="9" t="s">
        <v>3617</v>
      </c>
      <c r="E262" s="9" t="s">
        <v>1803</v>
      </c>
      <c r="F262" s="9" t="s">
        <v>3618</v>
      </c>
      <c r="G262" s="9" t="s">
        <v>3620</v>
      </c>
      <c r="H262" s="18" t="str">
        <f t="array" ref="H262">_xlfn.XLOOKUP(E:E,'Calificación consecuencia'!B:B,'Calificación consecuencia'!K:K,"No encontrada",2)</f>
        <v>Media</v>
      </c>
      <c r="I262" s="9" t="s">
        <v>1800</v>
      </c>
      <c r="J262" s="20" t="s">
        <v>116</v>
      </c>
      <c r="K262" s="21"/>
      <c r="L262" s="21"/>
      <c r="M262" s="22" t="s">
        <v>120</v>
      </c>
      <c r="N262" s="21"/>
      <c r="O262" s="20" t="s">
        <v>116</v>
      </c>
      <c r="P262" s="20" t="s">
        <v>116</v>
      </c>
      <c r="Q262" s="21"/>
      <c r="R262" s="21"/>
      <c r="S262" s="21"/>
      <c r="T262" s="21"/>
      <c r="U262" s="9" t="s">
        <v>345</v>
      </c>
      <c r="V262" s="9" t="s">
        <v>196</v>
      </c>
    </row>
    <row r="263" ht="14.25" customHeight="1">
      <c r="A263" s="9" t="s">
        <v>575</v>
      </c>
      <c r="B263" s="9" t="s">
        <v>566</v>
      </c>
      <c r="C263" s="9" t="str">
        <f t="array" ref="C263">INDEX(Funciones!$G$2:$G$372,MATCH($A263,Funciones!$B$2:$B$372,0))</f>
        <v>Mover Eje de 0 a 1.200 rpm</v>
      </c>
      <c r="D263" s="9" t="s">
        <v>3622</v>
      </c>
      <c r="E263" s="9" t="s">
        <v>1359</v>
      </c>
      <c r="F263" s="9" t="s">
        <v>3623</v>
      </c>
      <c r="G263" s="9" t="s">
        <v>3389</v>
      </c>
      <c r="H263" s="18" t="str">
        <f t="array" ref="H263">_xlfn.XLOOKUP(E:E,'Calificación consecuencia'!B:B,'Calificación consecuencia'!K:K,"No encontrada",2)</f>
        <v>Baja</v>
      </c>
      <c r="I263" s="9" t="s">
        <v>1800</v>
      </c>
      <c r="J263" s="20" t="s">
        <v>116</v>
      </c>
      <c r="K263" s="21"/>
      <c r="L263" s="21"/>
      <c r="M263" s="22" t="s">
        <v>120</v>
      </c>
      <c r="N263" s="21"/>
      <c r="O263" s="20" t="s">
        <v>116</v>
      </c>
      <c r="P263" s="20" t="s">
        <v>116</v>
      </c>
      <c r="Q263" s="21"/>
      <c r="R263" s="21"/>
      <c r="S263" s="21"/>
      <c r="T263" s="21"/>
      <c r="U263" s="9" t="s">
        <v>345</v>
      </c>
      <c r="V263" s="9" t="s">
        <v>196</v>
      </c>
    </row>
    <row r="264" ht="14.25" customHeight="1">
      <c r="A264" s="9" t="s">
        <v>575</v>
      </c>
      <c r="B264" s="9" t="s">
        <v>566</v>
      </c>
      <c r="C264" s="9" t="str">
        <f t="array" ref="C264">INDEX(Funciones!$G$2:$G$372,MATCH($A264,Funciones!$B$2:$B$372,0))</f>
        <v>Mover Eje de 0 a 1.200 rpm</v>
      </c>
      <c r="D264" s="9" t="s">
        <v>3622</v>
      </c>
      <c r="E264" s="9" t="s">
        <v>1350</v>
      </c>
      <c r="F264" s="9" t="s">
        <v>3625</v>
      </c>
      <c r="G264" s="9" t="s">
        <v>3382</v>
      </c>
      <c r="H264" s="18" t="str">
        <f t="array" ref="H264">_xlfn.XLOOKUP(E:E,'Calificación consecuencia'!B:B,'Calificación consecuencia'!K:K,"No encontrada",2)</f>
        <v>Baja</v>
      </c>
      <c r="I264" s="9" t="s">
        <v>2106</v>
      </c>
      <c r="J264" s="20" t="s">
        <v>116</v>
      </c>
      <c r="K264" s="21"/>
      <c r="L264" s="21"/>
      <c r="M264" s="22" t="s">
        <v>120</v>
      </c>
      <c r="N264" s="21"/>
      <c r="O264" s="22" t="s">
        <v>120</v>
      </c>
      <c r="P264" s="21"/>
      <c r="Q264" s="21"/>
      <c r="R264" s="21"/>
      <c r="S264" s="22" t="s">
        <v>120</v>
      </c>
      <c r="T264" s="21"/>
      <c r="U264" s="9" t="s">
        <v>1680</v>
      </c>
      <c r="V264" s="9" t="s">
        <v>1408</v>
      </c>
    </row>
    <row r="265" ht="14.25" customHeight="1">
      <c r="A265" s="27" t="s">
        <v>586</v>
      </c>
      <c r="B265" s="27" t="s">
        <v>585</v>
      </c>
      <c r="C265" s="27" t="str">
        <f t="array" ref="C265">INDEX(Funciones!$G$2:$G$372,MATCH($A265,Funciones!$B$2:$B$372,0))</f>
        <v>Remolcar vehículos hasta 300 toneladas en sistema de rieles</v>
      </c>
      <c r="D265" s="27" t="s">
        <v>3626</v>
      </c>
      <c r="E265" s="27" t="s">
        <v>1813</v>
      </c>
      <c r="F265" s="27" t="s">
        <v>3627</v>
      </c>
      <c r="G265" s="27" t="s">
        <v>3628</v>
      </c>
      <c r="H265" s="18" t="str">
        <f t="array" ref="H265">_xlfn.XLOOKUP(E:E,'Calificación consecuencia'!B:B,'Calificación consecuencia'!K:K,"No encontrada",2)</f>
        <v>Baja</v>
      </c>
      <c r="I265" s="27" t="s">
        <v>425</v>
      </c>
      <c r="J265" s="30" t="s">
        <v>116</v>
      </c>
      <c r="K265" s="21"/>
      <c r="L265" s="21"/>
      <c r="M265" s="30" t="s">
        <v>116</v>
      </c>
      <c r="N265" s="30" t="s">
        <v>116</v>
      </c>
      <c r="O265" s="21"/>
      <c r="P265" s="21"/>
      <c r="Q265" s="21"/>
      <c r="R265" s="21"/>
      <c r="S265" s="21"/>
      <c r="T265" s="21"/>
      <c r="U265" s="27" t="s">
        <v>195</v>
      </c>
      <c r="V265" s="27" t="s">
        <v>196</v>
      </c>
    </row>
    <row r="266" ht="14.25" customHeight="1">
      <c r="A266" s="27" t="s">
        <v>586</v>
      </c>
      <c r="B266" s="27" t="s">
        <v>585</v>
      </c>
      <c r="C266" s="27" t="str">
        <f t="array" ref="C266">INDEX(Funciones!$G$2:$G$372,MATCH($A266,Funciones!$B$2:$B$372,0))</f>
        <v>Remolcar vehículos hasta 300 toneladas en sistema de rieles</v>
      </c>
      <c r="D266" s="27" t="s">
        <v>3626</v>
      </c>
      <c r="E266" s="27" t="s">
        <v>1818</v>
      </c>
      <c r="F266" s="27" t="s">
        <v>3629</v>
      </c>
      <c r="G266" s="27" t="s">
        <v>3630</v>
      </c>
      <c r="H266" s="18" t="str">
        <f t="array" ref="H266">_xlfn.XLOOKUP(E:E,'Calificación consecuencia'!B:B,'Calificación consecuencia'!K:K,"No encontrada",2)</f>
        <v>Media</v>
      </c>
      <c r="I266" s="27" t="s">
        <v>425</v>
      </c>
      <c r="J266" s="30" t="s">
        <v>116</v>
      </c>
      <c r="K266" s="21"/>
      <c r="L266" s="21"/>
      <c r="M266" s="30" t="s">
        <v>116</v>
      </c>
      <c r="N266" s="30" t="s">
        <v>116</v>
      </c>
      <c r="O266" s="21"/>
      <c r="P266" s="21"/>
      <c r="Q266" s="21"/>
      <c r="R266" s="21"/>
      <c r="S266" s="21"/>
      <c r="T266" s="21"/>
      <c r="U266" s="27" t="s">
        <v>195</v>
      </c>
      <c r="V266" s="27" t="s">
        <v>196</v>
      </c>
    </row>
    <row r="267" ht="14.25" customHeight="1">
      <c r="A267" s="27" t="s">
        <v>586</v>
      </c>
      <c r="B267" s="27" t="s">
        <v>585</v>
      </c>
      <c r="C267" s="27" t="str">
        <f t="array" ref="C267">INDEX(Funciones!$G$2:$G$372,MATCH($A267,Funciones!$B$2:$B$372,0))</f>
        <v>Remolcar vehículos hasta 300 toneladas en sistema de rieles</v>
      </c>
      <c r="D267" s="27" t="s">
        <v>3632</v>
      </c>
      <c r="E267" s="27" t="s">
        <v>1822</v>
      </c>
      <c r="F267" s="27" t="s">
        <v>3633</v>
      </c>
      <c r="G267" s="27" t="s">
        <v>3634</v>
      </c>
      <c r="H267" s="18" t="str">
        <f t="array" ref="H267">_xlfn.XLOOKUP(E:E,'Calificación consecuencia'!B:B,'Calificación consecuencia'!K:K,"No encontrada",2)</f>
        <v>Media</v>
      </c>
      <c r="I267" s="27" t="s">
        <v>425</v>
      </c>
      <c r="J267" s="30" t="s">
        <v>116</v>
      </c>
      <c r="K267" s="21"/>
      <c r="L267" s="21"/>
      <c r="M267" s="30" t="s">
        <v>116</v>
      </c>
      <c r="N267" s="30" t="s">
        <v>116</v>
      </c>
      <c r="O267" s="21"/>
      <c r="P267" s="21"/>
      <c r="Q267" s="21"/>
      <c r="R267" s="21"/>
      <c r="S267" s="21"/>
      <c r="T267" s="21"/>
      <c r="U267" s="27" t="s">
        <v>195</v>
      </c>
      <c r="V267" s="27" t="s">
        <v>196</v>
      </c>
    </row>
    <row r="268" ht="14.25" customHeight="1">
      <c r="A268" s="27" t="s">
        <v>586</v>
      </c>
      <c r="B268" s="27" t="s">
        <v>585</v>
      </c>
      <c r="C268" s="27" t="str">
        <f t="array" ref="C268">INDEX(Funciones!$G$2:$G$372,MATCH($A268,Funciones!$B$2:$B$372,0))</f>
        <v>Remolcar vehículos hasta 300 toneladas en sistema de rieles</v>
      </c>
      <c r="D268" s="27" t="s">
        <v>3632</v>
      </c>
      <c r="E268" s="27" t="s">
        <v>1325</v>
      </c>
      <c r="F268" s="27" t="s">
        <v>3639</v>
      </c>
      <c r="G268" s="27" t="s">
        <v>3369</v>
      </c>
      <c r="H268" s="18" t="str">
        <f t="array" ref="H268">_xlfn.XLOOKUP(E:E,'Calificación consecuencia'!B:B,'Calificación consecuencia'!K:K,"No encontrada",2)</f>
        <v>Baja</v>
      </c>
      <c r="I268" s="27" t="s">
        <v>1351</v>
      </c>
      <c r="J268" s="30" t="s">
        <v>116</v>
      </c>
      <c r="K268" s="21"/>
      <c r="L268" s="21"/>
      <c r="M268" s="30" t="s">
        <v>116</v>
      </c>
      <c r="N268" s="30" t="s">
        <v>116</v>
      </c>
      <c r="O268" s="21"/>
      <c r="P268" s="21"/>
      <c r="Q268" s="21"/>
      <c r="R268" s="21"/>
      <c r="S268" s="21"/>
      <c r="T268" s="21"/>
      <c r="U268" s="27" t="s">
        <v>195</v>
      </c>
      <c r="V268" s="27" t="s">
        <v>196</v>
      </c>
    </row>
    <row r="269" ht="14.25" customHeight="1">
      <c r="A269" s="9" t="s">
        <v>597</v>
      </c>
      <c r="B269" s="9" t="s">
        <v>596</v>
      </c>
      <c r="C269" s="9" t="str">
        <f t="array" ref="C269">INDEX(Funciones!$G$2:$G$372,MATCH($A269,Funciones!$B$2:$B$372,0))</f>
        <v>Suministrar caudal de aceite entre 23 y 27 L/min</v>
      </c>
      <c r="D269" s="9" t="s">
        <v>3640</v>
      </c>
      <c r="E269" s="9" t="s">
        <v>854</v>
      </c>
      <c r="F269" s="9" t="s">
        <v>2165</v>
      </c>
      <c r="G269" s="9" t="s">
        <v>2166</v>
      </c>
      <c r="H269" s="18" t="str">
        <f t="array" ref="H269">_xlfn.XLOOKUP(E:E,'Calificación consecuencia'!B:B,'Calificación consecuencia'!K:K,"No encontrada",2)</f>
        <v>Media</v>
      </c>
      <c r="I269" s="9" t="s">
        <v>1800</v>
      </c>
      <c r="J269" s="20" t="s">
        <v>116</v>
      </c>
      <c r="K269" s="21"/>
      <c r="L269" s="21"/>
      <c r="M269" s="22" t="s">
        <v>120</v>
      </c>
      <c r="N269" s="21"/>
      <c r="O269" s="20" t="s">
        <v>116</v>
      </c>
      <c r="P269" s="20" t="s">
        <v>116</v>
      </c>
      <c r="Q269" s="21"/>
      <c r="R269" s="21"/>
      <c r="S269" s="21"/>
      <c r="T269" s="21"/>
      <c r="U269" s="9" t="s">
        <v>345</v>
      </c>
      <c r="V269" s="9" t="s">
        <v>196</v>
      </c>
    </row>
    <row r="270" ht="14.25" customHeight="1">
      <c r="A270" s="9" t="s">
        <v>597</v>
      </c>
      <c r="B270" s="9" t="s">
        <v>596</v>
      </c>
      <c r="C270" s="9" t="str">
        <f t="array" ref="C270">INDEX(Funciones!$G$2:$G$372,MATCH($A270,Funciones!$B$2:$B$372,0))</f>
        <v>Suministrar caudal de aceite entre 23 y 27 L/min</v>
      </c>
      <c r="D270" s="9" t="s">
        <v>3640</v>
      </c>
      <c r="E270" s="9" t="s">
        <v>855</v>
      </c>
      <c r="F270" s="9" t="s">
        <v>2194</v>
      </c>
      <c r="G270" s="9" t="s">
        <v>2195</v>
      </c>
      <c r="H270" s="18" t="str">
        <f t="array" ref="H270">_xlfn.XLOOKUP(E:E,'Calificación consecuencia'!B:B,'Calificación consecuencia'!K:K,"No encontrada",2)</f>
        <v>Baja</v>
      </c>
      <c r="I270" s="9" t="s">
        <v>1800</v>
      </c>
      <c r="J270" s="20" t="s">
        <v>116</v>
      </c>
      <c r="K270" s="21"/>
      <c r="L270" s="21"/>
      <c r="M270" s="22" t="s">
        <v>120</v>
      </c>
      <c r="N270" s="21"/>
      <c r="O270" s="20" t="s">
        <v>116</v>
      </c>
      <c r="P270" s="20" t="s">
        <v>116</v>
      </c>
      <c r="Q270" s="21"/>
      <c r="R270" s="21"/>
      <c r="S270" s="21"/>
      <c r="T270" s="21"/>
      <c r="U270" s="9" t="s">
        <v>345</v>
      </c>
      <c r="V270" s="9" t="s">
        <v>196</v>
      </c>
    </row>
    <row r="271" ht="14.25" customHeight="1">
      <c r="A271" s="9" t="s">
        <v>597</v>
      </c>
      <c r="B271" s="9" t="s">
        <v>596</v>
      </c>
      <c r="C271" s="9" t="str">
        <f t="array" ref="C271">INDEX(Funciones!$G$2:$G$372,MATCH($A271,Funciones!$B$2:$B$372,0))</f>
        <v>Suministrar caudal de aceite entre 23 y 27 L/min</v>
      </c>
      <c r="D271" s="9" t="s">
        <v>3640</v>
      </c>
      <c r="E271" s="9" t="s">
        <v>865</v>
      </c>
      <c r="F271" s="9" t="s">
        <v>2222</v>
      </c>
      <c r="G271" s="9" t="s">
        <v>2225</v>
      </c>
      <c r="H271" s="18" t="str">
        <f t="array" ref="H271">_xlfn.XLOOKUP(E:E,'Calificación consecuencia'!B:B,'Calificación consecuencia'!K:K,"No encontrada",2)</f>
        <v>Baja</v>
      </c>
      <c r="I271" s="9" t="s">
        <v>2106</v>
      </c>
      <c r="J271" s="20" t="s">
        <v>116</v>
      </c>
      <c r="K271" s="21"/>
      <c r="L271" s="21"/>
      <c r="M271" s="22" t="s">
        <v>120</v>
      </c>
      <c r="N271" s="21"/>
      <c r="O271" s="22" t="s">
        <v>120</v>
      </c>
      <c r="P271" s="21"/>
      <c r="Q271" s="21"/>
      <c r="R271" s="21"/>
      <c r="S271" s="22" t="s">
        <v>120</v>
      </c>
      <c r="T271" s="21"/>
      <c r="U271" s="9" t="s">
        <v>1680</v>
      </c>
      <c r="V271" s="9" t="s">
        <v>1408</v>
      </c>
    </row>
    <row r="272" ht="14.25" customHeight="1">
      <c r="A272" s="9" t="s">
        <v>597</v>
      </c>
      <c r="B272" s="9" t="s">
        <v>596</v>
      </c>
      <c r="C272" s="9" t="str">
        <f t="array" ref="C272">INDEX(Funciones!$G$2:$G$372,MATCH($A272,Funciones!$B$2:$B$372,0))</f>
        <v>Suministrar caudal de aceite entre 23 y 27 L/min</v>
      </c>
      <c r="D272" s="9" t="s">
        <v>3641</v>
      </c>
      <c r="E272" s="9" t="s">
        <v>874</v>
      </c>
      <c r="F272" s="9" t="s">
        <v>2254</v>
      </c>
      <c r="G272" s="9" t="s">
        <v>2255</v>
      </c>
      <c r="H272" s="18" t="str">
        <f t="array" ref="H272">_xlfn.XLOOKUP(E:E,'Calificación consecuencia'!B:B,'Calificación consecuencia'!K:K,"No encontrada",2)</f>
        <v>Baja</v>
      </c>
      <c r="I272" s="9" t="s">
        <v>1800</v>
      </c>
      <c r="J272" s="20" t="s">
        <v>116</v>
      </c>
      <c r="K272" s="21"/>
      <c r="L272" s="21"/>
      <c r="M272" s="22" t="s">
        <v>120</v>
      </c>
      <c r="N272" s="21"/>
      <c r="O272" s="20" t="s">
        <v>116</v>
      </c>
      <c r="P272" s="20" t="s">
        <v>116</v>
      </c>
      <c r="Q272" s="21"/>
      <c r="R272" s="21"/>
      <c r="S272" s="21"/>
      <c r="T272" s="21"/>
      <c r="U272" s="9" t="s">
        <v>345</v>
      </c>
      <c r="V272" s="9" t="s">
        <v>196</v>
      </c>
    </row>
    <row r="273" ht="14.25" customHeight="1">
      <c r="A273" s="9" t="s">
        <v>597</v>
      </c>
      <c r="B273" s="9" t="s">
        <v>596</v>
      </c>
      <c r="C273" s="9" t="str">
        <f t="array" ref="C273">INDEX(Funciones!$G$2:$G$372,MATCH($A273,Funciones!$B$2:$B$372,0))</f>
        <v>Suministrar caudal de aceite entre 23 y 27 L/min</v>
      </c>
      <c r="D273" s="9" t="s">
        <v>3641</v>
      </c>
      <c r="E273" s="9" t="s">
        <v>882</v>
      </c>
      <c r="F273" s="9" t="s">
        <v>2270</v>
      </c>
      <c r="G273" s="9" t="s">
        <v>2271</v>
      </c>
      <c r="H273" s="18" t="str">
        <f t="array" ref="H273">_xlfn.XLOOKUP(E:E,'Calificación consecuencia'!B:B,'Calificación consecuencia'!K:K,"No encontrada",2)</f>
        <v>Baja</v>
      </c>
      <c r="I273" s="9" t="s">
        <v>2106</v>
      </c>
      <c r="J273" s="20" t="s">
        <v>116</v>
      </c>
      <c r="K273" s="21"/>
      <c r="L273" s="21"/>
      <c r="M273" s="22" t="s">
        <v>120</v>
      </c>
      <c r="N273" s="21"/>
      <c r="O273" s="22" t="s">
        <v>120</v>
      </c>
      <c r="P273" s="21"/>
      <c r="Q273" s="21"/>
      <c r="R273" s="21"/>
      <c r="S273" s="22" t="s">
        <v>120</v>
      </c>
      <c r="T273" s="21"/>
      <c r="U273" s="9" t="s">
        <v>1680</v>
      </c>
      <c r="V273" s="9" t="s">
        <v>1408</v>
      </c>
    </row>
    <row r="274" ht="14.25" customHeight="1">
      <c r="A274" s="9" t="s">
        <v>597</v>
      </c>
      <c r="B274" s="9" t="s">
        <v>596</v>
      </c>
      <c r="C274" s="9" t="str">
        <f t="array" ref="C274">INDEX(Funciones!$G$2:$G$372,MATCH($A274,Funciones!$B$2:$B$372,0))</f>
        <v>Suministrar caudal de aceite entre 23 y 27 L/min</v>
      </c>
      <c r="D274" s="9" t="s">
        <v>3641</v>
      </c>
      <c r="E274" s="9" t="s">
        <v>887</v>
      </c>
      <c r="F274" s="9" t="s">
        <v>2296</v>
      </c>
      <c r="G274" s="9" t="s">
        <v>2225</v>
      </c>
      <c r="H274" s="18" t="str">
        <f t="array" ref="H274">_xlfn.XLOOKUP(E:E,'Calificación consecuencia'!B:B,'Calificación consecuencia'!K:K,"No encontrada",2)</f>
        <v>Baja</v>
      </c>
      <c r="I274" s="9" t="s">
        <v>2106</v>
      </c>
      <c r="J274" s="20" t="s">
        <v>116</v>
      </c>
      <c r="K274" s="21"/>
      <c r="L274" s="21"/>
      <c r="M274" s="22" t="s">
        <v>120</v>
      </c>
      <c r="N274" s="21"/>
      <c r="O274" s="22" t="s">
        <v>120</v>
      </c>
      <c r="P274" s="21"/>
      <c r="Q274" s="21"/>
      <c r="R274" s="21"/>
      <c r="S274" s="22" t="s">
        <v>120</v>
      </c>
      <c r="T274" s="21"/>
      <c r="U274" s="9" t="s">
        <v>1680</v>
      </c>
      <c r="V274" s="9" t="s">
        <v>1408</v>
      </c>
    </row>
    <row r="275" ht="14.25" customHeight="1">
      <c r="A275" s="9" t="s">
        <v>597</v>
      </c>
      <c r="B275" s="9" t="s">
        <v>596</v>
      </c>
      <c r="C275" s="9" t="str">
        <f t="array" ref="C275">INDEX(Funciones!$G$2:$G$372,MATCH($A275,Funciones!$B$2:$B$372,0))</f>
        <v>Suministrar caudal de aceite entre 23 y 27 L/min</v>
      </c>
      <c r="D275" s="9" t="s">
        <v>3641</v>
      </c>
      <c r="E275" s="9" t="s">
        <v>898</v>
      </c>
      <c r="F275" s="9" t="s">
        <v>2322</v>
      </c>
      <c r="G275" s="9" t="s">
        <v>2323</v>
      </c>
      <c r="H275" s="18" t="str">
        <f t="array" ref="H275">_xlfn.XLOOKUP(E:E,'Calificación consecuencia'!B:B,'Calificación consecuencia'!K:K,"No encontrada",2)</f>
        <v>Media</v>
      </c>
      <c r="I275" s="9" t="s">
        <v>1800</v>
      </c>
      <c r="J275" s="20" t="s">
        <v>116</v>
      </c>
      <c r="K275" s="21"/>
      <c r="L275" s="21"/>
      <c r="M275" s="22" t="s">
        <v>120</v>
      </c>
      <c r="N275" s="21"/>
      <c r="O275" s="20" t="s">
        <v>116</v>
      </c>
      <c r="P275" s="20" t="s">
        <v>116</v>
      </c>
      <c r="Q275" s="21"/>
      <c r="R275" s="21"/>
      <c r="S275" s="21"/>
      <c r="T275" s="21"/>
      <c r="U275" s="9" t="s">
        <v>345</v>
      </c>
      <c r="V275" s="9" t="s">
        <v>196</v>
      </c>
    </row>
    <row r="276" ht="14.25" customHeight="1">
      <c r="A276" s="9" t="s">
        <v>597</v>
      </c>
      <c r="B276" s="9" t="s">
        <v>596</v>
      </c>
      <c r="C276" s="9" t="str">
        <f t="array" ref="C276">INDEX(Funciones!$G$2:$G$372,MATCH($A276,Funciones!$B$2:$B$372,0))</f>
        <v>Suministrar caudal de aceite entre 23 y 27 L/min</v>
      </c>
      <c r="D276" s="9" t="s">
        <v>3641</v>
      </c>
      <c r="E276" s="9" t="s">
        <v>902</v>
      </c>
      <c r="F276" s="9" t="s">
        <v>2351</v>
      </c>
      <c r="G276" s="9" t="s">
        <v>2353</v>
      </c>
      <c r="H276" s="18" t="str">
        <f t="array" ref="H276">_xlfn.XLOOKUP(E:E,'Calificación consecuencia'!B:B,'Calificación consecuencia'!K:K,"No encontrada",2)</f>
        <v>Baja</v>
      </c>
      <c r="I276" s="9" t="s">
        <v>2106</v>
      </c>
      <c r="J276" s="20" t="s">
        <v>116</v>
      </c>
      <c r="K276" s="21"/>
      <c r="L276" s="21"/>
      <c r="M276" s="22" t="s">
        <v>120</v>
      </c>
      <c r="N276" s="21"/>
      <c r="O276" s="22" t="s">
        <v>120</v>
      </c>
      <c r="P276" s="21"/>
      <c r="Q276" s="21"/>
      <c r="R276" s="21"/>
      <c r="S276" s="22" t="s">
        <v>120</v>
      </c>
      <c r="T276" s="21"/>
      <c r="U276" s="9" t="s">
        <v>1680</v>
      </c>
      <c r="V276" s="9" t="s">
        <v>1408</v>
      </c>
    </row>
    <row r="277" ht="14.25" customHeight="1">
      <c r="A277" s="27" t="s">
        <v>605</v>
      </c>
      <c r="B277" s="27" t="s">
        <v>596</v>
      </c>
      <c r="C277" s="27" t="str">
        <f t="array" ref="C277">INDEX(Funciones!$G$2:$G$372,MATCH($A277,Funciones!$B$2:$B$372,0))</f>
        <v>Incrementar presión hidráulica hasta 150 bar</v>
      </c>
      <c r="D277" s="27" t="s">
        <v>3642</v>
      </c>
      <c r="E277" s="27" t="s">
        <v>910</v>
      </c>
      <c r="F277" s="27" t="s">
        <v>2386</v>
      </c>
      <c r="G277" s="27" t="s">
        <v>2389</v>
      </c>
      <c r="H277" s="18" t="str">
        <f t="array" ref="H277">_xlfn.XLOOKUP(E:E,'Calificación consecuencia'!B:B,'Calificación consecuencia'!K:K,"No encontrada",2)</f>
        <v>Baja</v>
      </c>
      <c r="I277" s="27" t="s">
        <v>2106</v>
      </c>
      <c r="J277" s="30" t="s">
        <v>116</v>
      </c>
      <c r="K277" s="21"/>
      <c r="L277" s="21"/>
      <c r="M277" s="29" t="s">
        <v>120</v>
      </c>
      <c r="N277" s="21"/>
      <c r="O277" s="29" t="s">
        <v>120</v>
      </c>
      <c r="P277" s="21"/>
      <c r="Q277" s="21"/>
      <c r="R277" s="21"/>
      <c r="S277" s="29" t="s">
        <v>120</v>
      </c>
      <c r="T277" s="21"/>
      <c r="U277" s="27" t="s">
        <v>1680</v>
      </c>
      <c r="V277" s="27" t="s">
        <v>1408</v>
      </c>
    </row>
    <row r="278" ht="14.25" customHeight="1">
      <c r="A278" s="27" t="s">
        <v>605</v>
      </c>
      <c r="B278" s="27" t="s">
        <v>596</v>
      </c>
      <c r="C278" s="27" t="str">
        <f t="array" ref="C278">INDEX(Funciones!$G$2:$G$372,MATCH($A278,Funciones!$B$2:$B$372,0))</f>
        <v>Incrementar presión hidráulica hasta 150 bar</v>
      </c>
      <c r="D278" s="27" t="s">
        <v>3642</v>
      </c>
      <c r="E278" s="27" t="s">
        <v>854</v>
      </c>
      <c r="F278" s="27" t="s">
        <v>2408</v>
      </c>
      <c r="G278" s="27" t="s">
        <v>2166</v>
      </c>
      <c r="H278" s="18" t="str">
        <f t="array" ref="H278">_xlfn.XLOOKUP(E:E,'Calificación consecuencia'!B:B,'Calificación consecuencia'!K:K,"No encontrada",2)</f>
        <v>Media</v>
      </c>
      <c r="I278" s="27" t="s">
        <v>1800</v>
      </c>
      <c r="J278" s="30" t="s">
        <v>116</v>
      </c>
      <c r="K278" s="21"/>
      <c r="L278" s="21"/>
      <c r="M278" s="29" t="s">
        <v>120</v>
      </c>
      <c r="N278" s="21"/>
      <c r="O278" s="30" t="s">
        <v>116</v>
      </c>
      <c r="P278" s="30" t="s">
        <v>116</v>
      </c>
      <c r="Q278" s="21"/>
      <c r="R278" s="21"/>
      <c r="S278" s="21"/>
      <c r="T278" s="21"/>
      <c r="U278" s="27" t="s">
        <v>345</v>
      </c>
      <c r="V278" s="27" t="s">
        <v>196</v>
      </c>
    </row>
    <row r="279" ht="14.25" customHeight="1">
      <c r="A279" s="27" t="s">
        <v>605</v>
      </c>
      <c r="B279" s="27" t="s">
        <v>596</v>
      </c>
      <c r="C279" s="27" t="str">
        <f t="array" ref="C279">INDEX(Funciones!$G$2:$G$372,MATCH($A279,Funciones!$B$2:$B$372,0))</f>
        <v>Incrementar presión hidráulica hasta 150 bar</v>
      </c>
      <c r="D279" s="27" t="s">
        <v>3642</v>
      </c>
      <c r="E279" s="27" t="s">
        <v>930</v>
      </c>
      <c r="F279" s="27" t="s">
        <v>2418</v>
      </c>
      <c r="G279" s="27" t="s">
        <v>2419</v>
      </c>
      <c r="H279" s="18" t="str">
        <f t="array" ref="H279">_xlfn.XLOOKUP(E:E,'Calificación consecuencia'!B:B,'Calificación consecuencia'!K:K,"No encontrada",2)</f>
        <v>Baja</v>
      </c>
      <c r="I279" s="27" t="s">
        <v>2106</v>
      </c>
      <c r="J279" s="30" t="s">
        <v>116</v>
      </c>
      <c r="K279" s="21"/>
      <c r="L279" s="21"/>
      <c r="M279" s="29" t="s">
        <v>120</v>
      </c>
      <c r="N279" s="21"/>
      <c r="O279" s="29" t="s">
        <v>120</v>
      </c>
      <c r="P279" s="21"/>
      <c r="Q279" s="21"/>
      <c r="R279" s="21"/>
      <c r="S279" s="29" t="s">
        <v>120</v>
      </c>
      <c r="T279" s="21"/>
      <c r="U279" s="27" t="s">
        <v>1680</v>
      </c>
      <c r="V279" s="27" t="s">
        <v>1408</v>
      </c>
    </row>
    <row r="280" ht="14.25" customHeight="1">
      <c r="A280" s="27" t="s">
        <v>605</v>
      </c>
      <c r="B280" s="27" t="s">
        <v>596</v>
      </c>
      <c r="C280" s="27" t="str">
        <f t="array" ref="C280">INDEX(Funciones!$G$2:$G$372,MATCH($A280,Funciones!$B$2:$B$372,0))</f>
        <v>Incrementar presión hidráulica hasta 150 bar</v>
      </c>
      <c r="D280" s="27" t="s">
        <v>3645</v>
      </c>
      <c r="E280" s="27" t="s">
        <v>874</v>
      </c>
      <c r="F280" s="27" t="s">
        <v>2426</v>
      </c>
      <c r="G280" s="27" t="s">
        <v>2255</v>
      </c>
      <c r="H280" s="18" t="str">
        <f t="array" ref="H280">_xlfn.XLOOKUP(E:E,'Calificación consecuencia'!B:B,'Calificación consecuencia'!K:K,"No encontrada",2)</f>
        <v>Baja</v>
      </c>
      <c r="I280" s="27" t="s">
        <v>1800</v>
      </c>
      <c r="J280" s="30" t="s">
        <v>116</v>
      </c>
      <c r="K280" s="21"/>
      <c r="L280" s="21"/>
      <c r="M280" s="29" t="s">
        <v>120</v>
      </c>
      <c r="N280" s="21"/>
      <c r="O280" s="30" t="s">
        <v>116</v>
      </c>
      <c r="P280" s="30" t="s">
        <v>116</v>
      </c>
      <c r="Q280" s="21"/>
      <c r="R280" s="21"/>
      <c r="S280" s="21"/>
      <c r="T280" s="21"/>
      <c r="U280" s="27" t="s">
        <v>345</v>
      </c>
      <c r="V280" s="27" t="s">
        <v>196</v>
      </c>
    </row>
    <row r="281" ht="14.25" customHeight="1">
      <c r="A281" s="27" t="s">
        <v>605</v>
      </c>
      <c r="B281" s="27" t="s">
        <v>596</v>
      </c>
      <c r="C281" s="27" t="str">
        <f t="array" ref="C281">INDEX(Funciones!$G$2:$G$372,MATCH($A281,Funciones!$B$2:$B$372,0))</f>
        <v>Incrementar presión hidráulica hasta 150 bar</v>
      </c>
      <c r="D281" s="27" t="s">
        <v>3645</v>
      </c>
      <c r="E281" s="27" t="s">
        <v>948</v>
      </c>
      <c r="F281" s="27" t="s">
        <v>2447</v>
      </c>
      <c r="G281" s="27" t="s">
        <v>2448</v>
      </c>
      <c r="H281" s="18" t="str">
        <f t="array" ref="H281">_xlfn.XLOOKUP(E:E,'Calificación consecuencia'!B:B,'Calificación consecuencia'!K:K,"No encontrada",2)</f>
        <v>Baja</v>
      </c>
      <c r="I281" s="27" t="s">
        <v>2106</v>
      </c>
      <c r="J281" s="30" t="s">
        <v>116</v>
      </c>
      <c r="K281" s="21"/>
      <c r="L281" s="21"/>
      <c r="M281" s="29" t="s">
        <v>120</v>
      </c>
      <c r="N281" s="21"/>
      <c r="O281" s="29" t="s">
        <v>120</v>
      </c>
      <c r="P281" s="21"/>
      <c r="Q281" s="21"/>
      <c r="R281" s="21"/>
      <c r="S281" s="29" t="s">
        <v>120</v>
      </c>
      <c r="T281" s="21"/>
      <c r="U281" s="27" t="s">
        <v>1680</v>
      </c>
      <c r="V281" s="27" t="s">
        <v>1408</v>
      </c>
    </row>
    <row r="282" ht="14.25" customHeight="1">
      <c r="A282" s="27" t="s">
        <v>605</v>
      </c>
      <c r="B282" s="27" t="s">
        <v>596</v>
      </c>
      <c r="C282" s="27" t="str">
        <f t="array" ref="C282">INDEX(Funciones!$G$2:$G$372,MATCH($A282,Funciones!$B$2:$B$372,0))</f>
        <v>Incrementar presión hidráulica hasta 150 bar</v>
      </c>
      <c r="D282" s="27" t="s">
        <v>3645</v>
      </c>
      <c r="E282" s="27" t="s">
        <v>955</v>
      </c>
      <c r="F282" s="27" t="s">
        <v>2471</v>
      </c>
      <c r="G282" s="27" t="s">
        <v>2473</v>
      </c>
      <c r="H282" s="18" t="str">
        <f t="array" ref="H282">_xlfn.XLOOKUP(E:E,'Calificación consecuencia'!B:B,'Calificación consecuencia'!K:K,"No encontrada",2)</f>
        <v>Baja</v>
      </c>
      <c r="I282" s="27" t="s">
        <v>2106</v>
      </c>
      <c r="J282" s="30" t="s">
        <v>116</v>
      </c>
      <c r="K282" s="21"/>
      <c r="L282" s="21"/>
      <c r="M282" s="29" t="s">
        <v>120</v>
      </c>
      <c r="N282" s="21"/>
      <c r="O282" s="29" t="s">
        <v>120</v>
      </c>
      <c r="P282" s="21"/>
      <c r="Q282" s="21"/>
      <c r="R282" s="21"/>
      <c r="S282" s="29" t="s">
        <v>120</v>
      </c>
      <c r="T282" s="21"/>
      <c r="U282" s="27" t="s">
        <v>1680</v>
      </c>
      <c r="V282" s="27" t="s">
        <v>1408</v>
      </c>
    </row>
    <row r="283" ht="14.25" customHeight="1">
      <c r="A283" s="27" t="s">
        <v>605</v>
      </c>
      <c r="B283" s="27" t="s">
        <v>596</v>
      </c>
      <c r="C283" s="27" t="str">
        <f t="array" ref="C283">INDEX(Funciones!$G$2:$G$372,MATCH($A283,Funciones!$B$2:$B$372,0))</f>
        <v>Incrementar presión hidráulica hasta 150 bar</v>
      </c>
      <c r="D283" s="27" t="s">
        <v>3648</v>
      </c>
      <c r="E283" s="27" t="s">
        <v>966</v>
      </c>
      <c r="F283" s="27" t="s">
        <v>2495</v>
      </c>
      <c r="G283" s="27" t="s">
        <v>2498</v>
      </c>
      <c r="H283" s="18" t="str">
        <f t="array" ref="H283">_xlfn.XLOOKUP(E:E,'Calificación consecuencia'!B:B,'Calificación consecuencia'!K:K,"No encontrada",2)</f>
        <v>Baja</v>
      </c>
      <c r="I283" s="27" t="s">
        <v>2106</v>
      </c>
      <c r="J283" s="30" t="s">
        <v>116</v>
      </c>
      <c r="K283" s="21"/>
      <c r="L283" s="21"/>
      <c r="M283" s="29" t="s">
        <v>120</v>
      </c>
      <c r="N283" s="21"/>
      <c r="O283" s="29" t="s">
        <v>120</v>
      </c>
      <c r="P283" s="21"/>
      <c r="Q283" s="21"/>
      <c r="R283" s="21"/>
      <c r="S283" s="29" t="s">
        <v>120</v>
      </c>
      <c r="T283" s="21"/>
      <c r="U283" s="27" t="s">
        <v>1680</v>
      </c>
      <c r="V283" s="27" t="s">
        <v>1408</v>
      </c>
    </row>
    <row r="284" ht="14.25" customHeight="1">
      <c r="A284" s="9" t="s">
        <v>610</v>
      </c>
      <c r="B284" s="9" t="s">
        <v>609</v>
      </c>
      <c r="C284" s="9" t="str">
        <f t="array" ref="C284">INDEX(Funciones!$G$2:$G$372,MATCH($A284,Funciones!$B$2:$B$372,0))</f>
        <v>Sellar la cabina con 0 filtraciones en prueba de agua</v>
      </c>
      <c r="D284" s="9" t="s">
        <v>3649</v>
      </c>
      <c r="E284" s="9" t="s">
        <v>1157</v>
      </c>
      <c r="F284" s="9" t="s">
        <v>3650</v>
      </c>
      <c r="G284" s="9" t="s">
        <v>3279</v>
      </c>
      <c r="H284" s="18" t="str">
        <f t="array" ref="H284">_xlfn.XLOOKUP(E:E,'Calificación consecuencia'!B:B,'Calificación consecuencia'!K:K,"No encontrada",2)</f>
        <v>Baja</v>
      </c>
      <c r="I284" s="9" t="s">
        <v>2106</v>
      </c>
      <c r="J284" s="20" t="s">
        <v>116</v>
      </c>
      <c r="K284" s="21"/>
      <c r="L284" s="21"/>
      <c r="M284" s="22" t="s">
        <v>120</v>
      </c>
      <c r="N284" s="21"/>
      <c r="O284" s="20" t="s">
        <v>116</v>
      </c>
      <c r="P284" s="20" t="s">
        <v>116</v>
      </c>
      <c r="Q284" s="21"/>
      <c r="R284" s="21"/>
      <c r="S284" s="21"/>
      <c r="T284" s="21"/>
      <c r="U284" s="9" t="s">
        <v>345</v>
      </c>
      <c r="V284" s="9" t="s">
        <v>196</v>
      </c>
    </row>
    <row r="285" ht="14.25" customHeight="1">
      <c r="A285" s="9" t="s">
        <v>610</v>
      </c>
      <c r="B285" s="9" t="s">
        <v>609</v>
      </c>
      <c r="C285" s="9" t="str">
        <f t="array" ref="C285">INDEX(Funciones!$G$2:$G$372,MATCH($A285,Funciones!$B$2:$B$372,0))</f>
        <v>Sellar la cabina con 0 filtraciones en prueba de agua</v>
      </c>
      <c r="D285" s="9" t="s">
        <v>3651</v>
      </c>
      <c r="E285" s="9" t="s">
        <v>1167</v>
      </c>
      <c r="F285" s="9" t="s">
        <v>3652</v>
      </c>
      <c r="G285" s="9" t="s">
        <v>3282</v>
      </c>
      <c r="H285" s="18" t="str">
        <f t="array" ref="H285">_xlfn.XLOOKUP(E:E,'Calificación consecuencia'!B:B,'Calificación consecuencia'!K:K,"No encontrada",2)</f>
        <v>Baja</v>
      </c>
      <c r="I285" s="9" t="s">
        <v>2106</v>
      </c>
      <c r="J285" s="20" t="s">
        <v>116</v>
      </c>
      <c r="K285" s="21"/>
      <c r="L285" s="21"/>
      <c r="M285" s="22" t="s">
        <v>120</v>
      </c>
      <c r="N285" s="21"/>
      <c r="O285" s="22" t="s">
        <v>120</v>
      </c>
      <c r="P285" s="21"/>
      <c r="Q285" s="21"/>
      <c r="R285" s="21"/>
      <c r="S285" s="22" t="s">
        <v>120</v>
      </c>
      <c r="T285" s="21"/>
      <c r="U285" s="9" t="s">
        <v>1680</v>
      </c>
      <c r="V285" s="9" t="s">
        <v>1408</v>
      </c>
    </row>
    <row r="286" ht="14.25" customHeight="1">
      <c r="A286" s="9" t="s">
        <v>610</v>
      </c>
      <c r="B286" s="9" t="s">
        <v>609</v>
      </c>
      <c r="C286" s="9" t="str">
        <f t="array" ref="C286">INDEX(Funciones!$G$2:$G$372,MATCH($A286,Funciones!$B$2:$B$372,0))</f>
        <v>Sellar la cabina con 0 filtraciones en prueba de agua</v>
      </c>
      <c r="D286" s="9" t="s">
        <v>3651</v>
      </c>
      <c r="E286" s="9" t="s">
        <v>1176</v>
      </c>
      <c r="F286" s="9" t="s">
        <v>3653</v>
      </c>
      <c r="G286" s="9" t="s">
        <v>3284</v>
      </c>
      <c r="H286" s="18" t="str">
        <f t="array" ref="H286">_xlfn.XLOOKUP(E:E,'Calificación consecuencia'!B:B,'Calificación consecuencia'!K:K,"No encontrada",2)</f>
        <v>Baja</v>
      </c>
      <c r="I286" s="9" t="s">
        <v>2106</v>
      </c>
      <c r="J286" s="20" t="s">
        <v>116</v>
      </c>
      <c r="K286" s="21"/>
      <c r="L286" s="21"/>
      <c r="M286" s="22" t="s">
        <v>120</v>
      </c>
      <c r="N286" s="21"/>
      <c r="O286" s="22" t="s">
        <v>120</v>
      </c>
      <c r="P286" s="21"/>
      <c r="Q286" s="21"/>
      <c r="R286" s="21"/>
      <c r="S286" s="22" t="s">
        <v>120</v>
      </c>
      <c r="T286" s="21"/>
      <c r="U286" s="9" t="s">
        <v>1680</v>
      </c>
      <c r="V286" s="9" t="s">
        <v>1408</v>
      </c>
    </row>
    <row r="287" ht="14.25" customHeight="1">
      <c r="A287" s="9" t="s">
        <v>610</v>
      </c>
      <c r="B287" s="9" t="s">
        <v>609</v>
      </c>
      <c r="C287" s="9" t="str">
        <f t="array" ref="C287">INDEX(Funciones!$G$2:$G$372,MATCH($A287,Funciones!$B$2:$B$372,0))</f>
        <v>Sellar la cabina con 0 filtraciones en prueba de agua</v>
      </c>
      <c r="D287" s="9" t="s">
        <v>3651</v>
      </c>
      <c r="E287" s="9" t="s">
        <v>1184</v>
      </c>
      <c r="F287" s="9" t="s">
        <v>3654</v>
      </c>
      <c r="G287" s="9" t="s">
        <v>3286</v>
      </c>
      <c r="H287" s="18" t="str">
        <f t="array" ref="H287">_xlfn.XLOOKUP(E:E,'Calificación consecuencia'!B:B,'Calificación consecuencia'!K:K,"No encontrada",2)</f>
        <v>Baja</v>
      </c>
      <c r="I287" s="9" t="s">
        <v>2106</v>
      </c>
      <c r="J287" s="20" t="s">
        <v>116</v>
      </c>
      <c r="K287" s="21"/>
      <c r="L287" s="21"/>
      <c r="M287" s="22" t="s">
        <v>120</v>
      </c>
      <c r="N287" s="21"/>
      <c r="O287" s="22" t="s">
        <v>120</v>
      </c>
      <c r="P287" s="21"/>
      <c r="Q287" s="21"/>
      <c r="R287" s="21"/>
      <c r="S287" s="22" t="s">
        <v>120</v>
      </c>
      <c r="T287" s="21"/>
      <c r="U287" s="9" t="s">
        <v>1680</v>
      </c>
      <c r="V287" s="9" t="s">
        <v>1408</v>
      </c>
    </row>
    <row r="288" ht="14.25" customHeight="1">
      <c r="A288" s="27" t="s">
        <v>565</v>
      </c>
      <c r="B288" s="27" t="s">
        <v>621</v>
      </c>
      <c r="C288" s="27" t="str">
        <f t="array" ref="C288">INDEX(Funciones!$G$2:$G$372,MATCH($A288,Funciones!$B$2:$B$372,0))</f>
        <v>Suministrar energía de 78 a 82 V en corriente directa</v>
      </c>
      <c r="D288" s="27" t="s">
        <v>3655</v>
      </c>
      <c r="E288" s="27" t="s">
        <v>1897</v>
      </c>
      <c r="F288" s="27" t="s">
        <v>3656</v>
      </c>
      <c r="G288" s="27" t="s">
        <v>3657</v>
      </c>
      <c r="H288" s="18" t="str">
        <f t="array" ref="H288">_xlfn.XLOOKUP(E:E,'Calificación consecuencia'!B:B,'Calificación consecuencia'!K:K,"No encontrada",2)</f>
        <v>Baja</v>
      </c>
      <c r="I288" s="27" t="s">
        <v>339</v>
      </c>
      <c r="J288" s="30" t="s">
        <v>116</v>
      </c>
      <c r="K288" s="21"/>
      <c r="L288" s="21"/>
      <c r="M288" s="29" t="s">
        <v>120</v>
      </c>
      <c r="N288" s="21"/>
      <c r="O288" s="30" t="s">
        <v>116</v>
      </c>
      <c r="P288" s="29" t="s">
        <v>120</v>
      </c>
      <c r="Q288" s="29" t="s">
        <v>120</v>
      </c>
      <c r="R288" s="30" t="s">
        <v>116</v>
      </c>
      <c r="S288" s="21"/>
      <c r="T288" s="21"/>
      <c r="U288" s="27" t="s">
        <v>1680</v>
      </c>
      <c r="V288" s="27" t="s">
        <v>1408</v>
      </c>
    </row>
    <row r="289" ht="14.25" customHeight="1">
      <c r="A289" s="27" t="s">
        <v>565</v>
      </c>
      <c r="B289" s="27" t="s">
        <v>621</v>
      </c>
      <c r="C289" s="27" t="str">
        <f t="array" ref="C289">INDEX(Funciones!$G$2:$G$372,MATCH($A289,Funciones!$B$2:$B$372,0))</f>
        <v>Suministrar energía de 78 a 82 V en corriente directa</v>
      </c>
      <c r="D289" s="27" t="s">
        <v>3655</v>
      </c>
      <c r="E289" s="27" t="s">
        <v>1905</v>
      </c>
      <c r="F289" s="27" t="s">
        <v>3658</v>
      </c>
      <c r="G289" s="27" t="s">
        <v>3659</v>
      </c>
      <c r="H289" s="18" t="str">
        <f t="array" ref="H289">_xlfn.XLOOKUP(E:E,'Calificación consecuencia'!B:B,'Calificación consecuencia'!K:K,"No encontrada",2)</f>
        <v>Baja</v>
      </c>
      <c r="I289" s="27" t="s">
        <v>339</v>
      </c>
      <c r="J289" s="30" t="s">
        <v>116</v>
      </c>
      <c r="K289" s="21"/>
      <c r="L289" s="21"/>
      <c r="M289" s="29" t="s">
        <v>120</v>
      </c>
      <c r="N289" s="21"/>
      <c r="O289" s="30" t="s">
        <v>116</v>
      </c>
      <c r="P289" s="30" t="s">
        <v>116</v>
      </c>
      <c r="Q289" s="21"/>
      <c r="R289" s="21"/>
      <c r="S289" s="21"/>
      <c r="T289" s="21"/>
      <c r="U289" s="27" t="s">
        <v>345</v>
      </c>
      <c r="V289" s="27" t="s">
        <v>196</v>
      </c>
    </row>
    <row r="290" ht="14.25" customHeight="1">
      <c r="A290" s="27" t="s">
        <v>565</v>
      </c>
      <c r="B290" s="27" t="s">
        <v>621</v>
      </c>
      <c r="C290" s="27" t="str">
        <f t="array" ref="C290">INDEX(Funciones!$G$2:$G$372,MATCH($A290,Funciones!$B$2:$B$372,0))</f>
        <v>Suministrar energía de 78 a 82 V en corriente directa</v>
      </c>
      <c r="D290" s="27" t="s">
        <v>3663</v>
      </c>
      <c r="E290" s="27" t="s">
        <v>1911</v>
      </c>
      <c r="F290" s="27" t="s">
        <v>3664</v>
      </c>
      <c r="G290" s="27" t="s">
        <v>3665</v>
      </c>
      <c r="H290" s="18" t="str">
        <f t="array" ref="H290">_xlfn.XLOOKUP(E:E,'Calificación consecuencia'!B:B,'Calificación consecuencia'!K:K,"No encontrada",2)</f>
        <v>Baja</v>
      </c>
      <c r="I290" s="27" t="s">
        <v>2106</v>
      </c>
      <c r="J290" s="30" t="s">
        <v>116</v>
      </c>
      <c r="K290" s="21"/>
      <c r="L290" s="21"/>
      <c r="M290" s="29" t="s">
        <v>120</v>
      </c>
      <c r="N290" s="21"/>
      <c r="O290" s="30" t="s">
        <v>116</v>
      </c>
      <c r="P290" s="30" t="s">
        <v>116</v>
      </c>
      <c r="Q290" s="21"/>
      <c r="R290" s="21"/>
      <c r="S290" s="21"/>
      <c r="T290" s="21"/>
      <c r="U290" s="27" t="s">
        <v>345</v>
      </c>
      <c r="V290" s="27" t="s">
        <v>196</v>
      </c>
    </row>
    <row r="291" ht="14.25" customHeight="1">
      <c r="A291" s="27" t="s">
        <v>565</v>
      </c>
      <c r="B291" s="27" t="s">
        <v>621</v>
      </c>
      <c r="C291" s="27" t="str">
        <f t="array" ref="C291">INDEX(Funciones!$G$2:$G$372,MATCH($A291,Funciones!$B$2:$B$372,0))</f>
        <v>Suministrar energía de 78 a 82 V en corriente directa</v>
      </c>
      <c r="D291" s="27" t="s">
        <v>3663</v>
      </c>
      <c r="E291" s="27" t="s">
        <v>1918</v>
      </c>
      <c r="F291" s="27" t="s">
        <v>3666</v>
      </c>
      <c r="G291" s="27" t="s">
        <v>3667</v>
      </c>
      <c r="H291" s="18" t="str">
        <f t="array" ref="H291">_xlfn.XLOOKUP(E:E,'Calificación consecuencia'!B:B,'Calificación consecuencia'!K:K,"No encontrada",2)</f>
        <v>Baja</v>
      </c>
      <c r="I291" s="27" t="s">
        <v>2106</v>
      </c>
      <c r="J291" s="30" t="s">
        <v>116</v>
      </c>
      <c r="K291" s="21"/>
      <c r="L291" s="21"/>
      <c r="M291" s="29" t="s">
        <v>120</v>
      </c>
      <c r="N291" s="21"/>
      <c r="O291" s="29" t="s">
        <v>120</v>
      </c>
      <c r="P291" s="21"/>
      <c r="Q291" s="21"/>
      <c r="R291" s="21"/>
      <c r="S291" s="29" t="s">
        <v>120</v>
      </c>
      <c r="T291" s="21"/>
      <c r="U291" s="27" t="s">
        <v>1680</v>
      </c>
      <c r="V291" s="27" t="s">
        <v>1408</v>
      </c>
    </row>
    <row r="292" ht="14.25" customHeight="1">
      <c r="A292" s="9" t="s">
        <v>633</v>
      </c>
      <c r="B292" s="9" t="s">
        <v>621</v>
      </c>
      <c r="C292" s="9" t="str">
        <f t="array" ref="C292">INDEX(Funciones!$G$2:$G$372,MATCH($A292,Funciones!$B$2:$B$372,0))</f>
        <v>Almacenar energía eléctrica con tensión de 78 a 82 V en corriente directa</v>
      </c>
      <c r="D292" s="9" t="s">
        <v>3668</v>
      </c>
      <c r="E292" s="9" t="s">
        <v>1905</v>
      </c>
      <c r="F292" s="9" t="s">
        <v>3658</v>
      </c>
      <c r="G292" s="9" t="s">
        <v>3659</v>
      </c>
      <c r="H292" s="18" t="str">
        <f t="array" ref="H292">_xlfn.XLOOKUP(E:E,'Calificación consecuencia'!B:B,'Calificación consecuencia'!K:K,"No encontrada",2)</f>
        <v>Baja</v>
      </c>
      <c r="I292" s="9" t="s">
        <v>339</v>
      </c>
      <c r="J292" s="20" t="s">
        <v>116</v>
      </c>
      <c r="K292" s="21"/>
      <c r="L292" s="21"/>
      <c r="M292" s="22" t="s">
        <v>120</v>
      </c>
      <c r="N292" s="21"/>
      <c r="O292" s="20" t="s">
        <v>116</v>
      </c>
      <c r="P292" s="20" t="s">
        <v>116</v>
      </c>
      <c r="Q292" s="21"/>
      <c r="R292" s="21"/>
      <c r="S292" s="21"/>
      <c r="T292" s="21"/>
      <c r="U292" s="9" t="s">
        <v>345</v>
      </c>
      <c r="V292" s="9" t="s">
        <v>196</v>
      </c>
    </row>
    <row r="293" ht="14.25" customHeight="1">
      <c r="A293" s="9" t="s">
        <v>633</v>
      </c>
      <c r="B293" s="9" t="s">
        <v>621</v>
      </c>
      <c r="C293" s="9" t="str">
        <f t="array" ref="C293">INDEX(Funciones!$G$2:$G$372,MATCH($A293,Funciones!$B$2:$B$372,0))</f>
        <v>Almacenar energía eléctrica con tensión de 78 a 82 V en corriente directa</v>
      </c>
      <c r="D293" s="9" t="s">
        <v>3669</v>
      </c>
      <c r="E293" s="9" t="s">
        <v>1911</v>
      </c>
      <c r="F293" s="9" t="s">
        <v>3664</v>
      </c>
      <c r="G293" s="9" t="s">
        <v>3665</v>
      </c>
      <c r="H293" s="18" t="str">
        <f t="array" ref="H293">_xlfn.XLOOKUP(E:E,'Calificación consecuencia'!B:B,'Calificación consecuencia'!K:K,"No encontrada",2)</f>
        <v>Baja</v>
      </c>
      <c r="I293" s="9" t="s">
        <v>2106</v>
      </c>
      <c r="J293" s="20" t="s">
        <v>116</v>
      </c>
      <c r="K293" s="21"/>
      <c r="L293" s="21"/>
      <c r="M293" s="22" t="s">
        <v>120</v>
      </c>
      <c r="N293" s="21"/>
      <c r="O293" s="20" t="s">
        <v>116</v>
      </c>
      <c r="P293" s="20" t="s">
        <v>116</v>
      </c>
      <c r="Q293" s="21"/>
      <c r="R293" s="21"/>
      <c r="S293" s="21"/>
      <c r="T293" s="21"/>
      <c r="U293" s="9" t="s">
        <v>345</v>
      </c>
      <c r="V293" s="9" t="s">
        <v>196</v>
      </c>
    </row>
    <row r="294" ht="14.25" customHeight="1">
      <c r="A294" s="27" t="s">
        <v>636</v>
      </c>
      <c r="B294" s="27" t="s">
        <v>621</v>
      </c>
      <c r="C294" s="27" t="str">
        <f t="array" ref="C294">INDEX(Funciones!$G$2:$G$372,MATCH($A294,Funciones!$B$2:$B$372,0))</f>
        <v>Almacenar energía eléctrica con capacidad de 800 Ah</v>
      </c>
      <c r="D294" s="27" t="s">
        <v>3670</v>
      </c>
      <c r="E294" s="27" t="s">
        <v>1928</v>
      </c>
      <c r="F294" s="27" t="s">
        <v>3671</v>
      </c>
      <c r="G294" s="27" t="s">
        <v>3672</v>
      </c>
      <c r="H294" s="18" t="str">
        <f t="array" ref="H294">_xlfn.XLOOKUP(E:E,'Calificación consecuencia'!B:B,'Calificación consecuencia'!K:K,"No encontrada",2)</f>
        <v>Baja</v>
      </c>
      <c r="I294" s="27" t="s">
        <v>1800</v>
      </c>
      <c r="J294" s="30" t="s">
        <v>116</v>
      </c>
      <c r="K294" s="21"/>
      <c r="L294" s="21"/>
      <c r="M294" s="29" t="s">
        <v>120</v>
      </c>
      <c r="N294" s="21"/>
      <c r="O294" s="30" t="s">
        <v>116</v>
      </c>
      <c r="P294" s="30" t="s">
        <v>116</v>
      </c>
      <c r="Q294" s="21"/>
      <c r="R294" s="21"/>
      <c r="S294" s="21"/>
      <c r="T294" s="21"/>
      <c r="U294" s="27" t="s">
        <v>345</v>
      </c>
      <c r="V294" s="27" t="s">
        <v>196</v>
      </c>
    </row>
    <row r="295" ht="14.25" customHeight="1">
      <c r="A295" s="27" t="s">
        <v>636</v>
      </c>
      <c r="B295" s="27" t="s">
        <v>621</v>
      </c>
      <c r="C295" s="27" t="str">
        <f t="array" ref="C295">INDEX(Funciones!$G$2:$G$372,MATCH($A295,Funciones!$B$2:$B$372,0))</f>
        <v>Almacenar energía eléctrica con capacidad de 800 Ah</v>
      </c>
      <c r="D295" s="27" t="s">
        <v>3670</v>
      </c>
      <c r="E295" s="27" t="s">
        <v>1932</v>
      </c>
      <c r="F295" s="27" t="s">
        <v>3674</v>
      </c>
      <c r="G295" s="27" t="s">
        <v>3675</v>
      </c>
      <c r="H295" s="18" t="str">
        <f t="array" ref="H295">_xlfn.XLOOKUP(E:E,'Calificación consecuencia'!B:B,'Calificación consecuencia'!K:K,"No encontrada",2)</f>
        <v>Baja</v>
      </c>
      <c r="I295" s="27" t="s">
        <v>2106</v>
      </c>
      <c r="J295" s="30" t="s">
        <v>116</v>
      </c>
      <c r="K295" s="21"/>
      <c r="L295" s="21"/>
      <c r="M295" s="29" t="s">
        <v>120</v>
      </c>
      <c r="N295" s="21"/>
      <c r="O295" s="30" t="s">
        <v>116</v>
      </c>
      <c r="P295" s="29" t="s">
        <v>120</v>
      </c>
      <c r="Q295" s="29" t="s">
        <v>120</v>
      </c>
      <c r="R295" s="29" t="s">
        <v>120</v>
      </c>
      <c r="S295" s="21"/>
      <c r="T295" s="21"/>
      <c r="U295" s="27" t="s">
        <v>230</v>
      </c>
      <c r="V295" s="27" t="s">
        <v>230</v>
      </c>
    </row>
    <row r="296" ht="14.25" customHeight="1">
      <c r="A296" s="27" t="s">
        <v>636</v>
      </c>
      <c r="B296" s="27" t="s">
        <v>621</v>
      </c>
      <c r="C296" s="27" t="str">
        <f t="array" ref="C296">INDEX(Funciones!$G$2:$G$372,MATCH($A296,Funciones!$B$2:$B$372,0))</f>
        <v>Almacenar energía eléctrica con capacidad de 800 Ah</v>
      </c>
      <c r="D296" s="27" t="s">
        <v>3682</v>
      </c>
      <c r="E296" s="27" t="s">
        <v>1911</v>
      </c>
      <c r="F296" s="27" t="s">
        <v>3683</v>
      </c>
      <c r="G296" s="27" t="s">
        <v>3665</v>
      </c>
      <c r="H296" s="18" t="str">
        <f t="array" ref="H296">_xlfn.XLOOKUP(E:E,'Calificación consecuencia'!B:B,'Calificación consecuencia'!K:K,"No encontrada",2)</f>
        <v>Baja</v>
      </c>
      <c r="I296" s="27" t="s">
        <v>2106</v>
      </c>
      <c r="J296" s="30" t="s">
        <v>116</v>
      </c>
      <c r="K296" s="21"/>
      <c r="L296" s="21"/>
      <c r="M296" s="29" t="s">
        <v>120</v>
      </c>
      <c r="N296" s="21"/>
      <c r="O296" s="30" t="s">
        <v>116</v>
      </c>
      <c r="P296" s="30" t="s">
        <v>116</v>
      </c>
      <c r="Q296" s="21"/>
      <c r="R296" s="21"/>
      <c r="S296" s="21"/>
      <c r="T296" s="21"/>
      <c r="U296" s="27" t="s">
        <v>345</v>
      </c>
      <c r="V296" s="27" t="s">
        <v>196</v>
      </c>
    </row>
    <row r="297" ht="14.25" customHeight="1">
      <c r="A297" s="27" t="s">
        <v>636</v>
      </c>
      <c r="B297" s="27" t="s">
        <v>621</v>
      </c>
      <c r="C297" s="27" t="str">
        <f t="array" ref="C297">INDEX(Funciones!$G$2:$G$372,MATCH($A297,Funciones!$B$2:$B$372,0))</f>
        <v>Almacenar energía eléctrica con capacidad de 800 Ah</v>
      </c>
      <c r="D297" s="27" t="s">
        <v>3682</v>
      </c>
      <c r="E297" s="27" t="s">
        <v>1918</v>
      </c>
      <c r="F297" s="27" t="s">
        <v>3684</v>
      </c>
      <c r="G297" s="27" t="s">
        <v>3667</v>
      </c>
      <c r="H297" s="18" t="str">
        <f t="array" ref="H297">_xlfn.XLOOKUP(E:E,'Calificación consecuencia'!B:B,'Calificación consecuencia'!K:K,"No encontrada",2)</f>
        <v>Baja</v>
      </c>
      <c r="I297" s="27" t="s">
        <v>2106</v>
      </c>
      <c r="J297" s="30" t="s">
        <v>116</v>
      </c>
      <c r="K297" s="21"/>
      <c r="L297" s="21"/>
      <c r="M297" s="29" t="s">
        <v>120</v>
      </c>
      <c r="N297" s="21"/>
      <c r="O297" s="29" t="s">
        <v>120</v>
      </c>
      <c r="P297" s="21"/>
      <c r="Q297" s="21"/>
      <c r="R297" s="21"/>
      <c r="S297" s="29" t="s">
        <v>120</v>
      </c>
      <c r="T297" s="21"/>
      <c r="U297" s="27" t="s">
        <v>1680</v>
      </c>
      <c r="V297" s="27" t="s">
        <v>1408</v>
      </c>
    </row>
    <row r="298" ht="14.25" customHeight="1">
      <c r="A298" s="9" t="s">
        <v>643</v>
      </c>
      <c r="B298" s="9" t="s">
        <v>642</v>
      </c>
      <c r="C298" s="9" t="str">
        <f t="array" ref="C298">INDEX(Funciones!$G$2:$G$372,MATCH($A298,Funciones!$B$2:$B$372,0))</f>
        <v>Presurizar los cilindros de freno entre 3,7 y 3,9 bar</v>
      </c>
      <c r="D298" s="9" t="s">
        <v>3311</v>
      </c>
      <c r="E298" s="9" t="s">
        <v>1246</v>
      </c>
      <c r="F298" s="9" t="s">
        <v>3312</v>
      </c>
      <c r="G298" s="9" t="s">
        <v>3313</v>
      </c>
      <c r="H298" s="18" t="str">
        <f t="array" ref="H298">_xlfn.XLOOKUP(E:E,'Calificación consecuencia'!B:B,'Calificación consecuencia'!K:K,"No encontrada",2)</f>
        <v>Media</v>
      </c>
      <c r="I298" s="9" t="s">
        <v>425</v>
      </c>
      <c r="J298" s="20" t="s">
        <v>116</v>
      </c>
      <c r="K298" s="21"/>
      <c r="L298" s="21"/>
      <c r="M298" s="20" t="s">
        <v>116</v>
      </c>
      <c r="N298" s="20" t="s">
        <v>116</v>
      </c>
      <c r="O298" s="21"/>
      <c r="P298" s="21"/>
      <c r="Q298" s="21"/>
      <c r="R298" s="21"/>
      <c r="S298" s="21"/>
      <c r="T298" s="21"/>
      <c r="U298" s="9" t="s">
        <v>195</v>
      </c>
      <c r="V298" s="9" t="s">
        <v>196</v>
      </c>
    </row>
    <row r="299" ht="14.25" customHeight="1">
      <c r="A299" s="9" t="s">
        <v>643</v>
      </c>
      <c r="B299" s="9" t="s">
        <v>642</v>
      </c>
      <c r="C299" s="9" t="str">
        <f t="array" ref="C299">INDEX(Funciones!$G$2:$G$372,MATCH($A299,Funciones!$B$2:$B$372,0))</f>
        <v>Presurizar los cilindros de freno entre 3,7 y 3,9 bar</v>
      </c>
      <c r="D299" s="9" t="s">
        <v>3311</v>
      </c>
      <c r="E299" s="9" t="s">
        <v>1248</v>
      </c>
      <c r="F299" s="9" t="s">
        <v>3314</v>
      </c>
      <c r="G299" s="9" t="s">
        <v>3315</v>
      </c>
      <c r="H299" s="18" t="str">
        <f t="array" ref="H299">_xlfn.XLOOKUP(E:E,'Calificación consecuencia'!B:B,'Calificación consecuencia'!K:K,"No encontrada",2)</f>
        <v>Media</v>
      </c>
      <c r="I299" s="9" t="s">
        <v>425</v>
      </c>
      <c r="J299" s="20" t="s">
        <v>116</v>
      </c>
      <c r="K299" s="21"/>
      <c r="L299" s="21"/>
      <c r="M299" s="20" t="s">
        <v>116</v>
      </c>
      <c r="N299" s="20" t="s">
        <v>116</v>
      </c>
      <c r="O299" s="21"/>
      <c r="P299" s="21"/>
      <c r="Q299" s="21"/>
      <c r="R299" s="21"/>
      <c r="S299" s="21"/>
      <c r="T299" s="21"/>
      <c r="U299" s="9" t="s">
        <v>195</v>
      </c>
      <c r="V299" s="9" t="s">
        <v>196</v>
      </c>
    </row>
    <row r="300" ht="14.25" customHeight="1">
      <c r="A300" s="9" t="s">
        <v>643</v>
      </c>
      <c r="B300" s="9" t="s">
        <v>642</v>
      </c>
      <c r="C300" s="9" t="str">
        <f t="array" ref="C300">INDEX(Funciones!$G$2:$G$372,MATCH($A300,Funciones!$B$2:$B$372,0))</f>
        <v>Presurizar los cilindros de freno entre 3,7 y 3,9 bar</v>
      </c>
      <c r="D300" s="9" t="s">
        <v>3316</v>
      </c>
      <c r="E300" s="9" t="s">
        <v>1255</v>
      </c>
      <c r="F300" s="9" t="s">
        <v>3318</v>
      </c>
      <c r="G300" s="9" t="s">
        <v>3319</v>
      </c>
      <c r="H300" s="18" t="str">
        <f t="array" ref="H300">_xlfn.XLOOKUP(E:E,'Calificación consecuencia'!B:B,'Calificación consecuencia'!K:K,"No encontrada",2)</f>
        <v>Baja</v>
      </c>
      <c r="I300" s="9" t="s">
        <v>425</v>
      </c>
      <c r="J300" s="20" t="s">
        <v>116</v>
      </c>
      <c r="K300" s="21"/>
      <c r="L300" s="21"/>
      <c r="M300" s="20" t="s">
        <v>116</v>
      </c>
      <c r="N300" s="20" t="s">
        <v>116</v>
      </c>
      <c r="O300" s="21"/>
      <c r="P300" s="21"/>
      <c r="Q300" s="21"/>
      <c r="R300" s="21"/>
      <c r="S300" s="21"/>
      <c r="T300" s="21"/>
      <c r="U300" s="9" t="s">
        <v>195</v>
      </c>
      <c r="V300" s="9" t="s">
        <v>196</v>
      </c>
    </row>
    <row r="301" ht="14.25" customHeight="1">
      <c r="A301" s="9" t="s">
        <v>643</v>
      </c>
      <c r="B301" s="9" t="s">
        <v>642</v>
      </c>
      <c r="C301" s="9" t="str">
        <f t="array" ref="C301">INDEX(Funciones!$G$2:$G$372,MATCH($A301,Funciones!$B$2:$B$372,0))</f>
        <v>Presurizar los cilindros de freno entre 3,7 y 3,9 bar</v>
      </c>
      <c r="D301" s="9" t="s">
        <v>3316</v>
      </c>
      <c r="E301" s="9" t="s">
        <v>1259</v>
      </c>
      <c r="F301" s="9" t="s">
        <v>3322</v>
      </c>
      <c r="G301" s="9" t="s">
        <v>3323</v>
      </c>
      <c r="H301" s="18" t="str">
        <f t="array" ref="H301">_xlfn.XLOOKUP(E:E,'Calificación consecuencia'!B:B,'Calificación consecuencia'!K:K,"No encontrada",2)</f>
        <v>Baja</v>
      </c>
      <c r="I301" s="9" t="s">
        <v>425</v>
      </c>
      <c r="J301" s="20" t="s">
        <v>116</v>
      </c>
      <c r="K301" s="21"/>
      <c r="L301" s="21"/>
      <c r="M301" s="20" t="s">
        <v>116</v>
      </c>
      <c r="N301" s="20" t="s">
        <v>116</v>
      </c>
      <c r="O301" s="21"/>
      <c r="P301" s="21"/>
      <c r="Q301" s="21"/>
      <c r="R301" s="21"/>
      <c r="S301" s="21"/>
      <c r="T301" s="21"/>
      <c r="U301" s="9" t="s">
        <v>195</v>
      </c>
      <c r="V301" s="9" t="s">
        <v>196</v>
      </c>
    </row>
    <row r="302" ht="14.25" customHeight="1">
      <c r="A302" s="9" t="s">
        <v>643</v>
      </c>
      <c r="B302" s="9" t="s">
        <v>642</v>
      </c>
      <c r="C302" s="9" t="str">
        <f t="array" ref="C302">INDEX(Funciones!$G$2:$G$372,MATCH($A302,Funciones!$B$2:$B$372,0))</f>
        <v>Presurizar los cilindros de freno entre 3,7 y 3,9 bar</v>
      </c>
      <c r="D302" s="9" t="s">
        <v>3324</v>
      </c>
      <c r="E302" s="9" t="s">
        <v>1265</v>
      </c>
      <c r="F302" s="9" t="s">
        <v>3325</v>
      </c>
      <c r="G302" s="9" t="s">
        <v>3326</v>
      </c>
      <c r="H302" s="18" t="str">
        <f t="array" ref="H302">_xlfn.XLOOKUP(E:E,'Calificación consecuencia'!B:B,'Calificación consecuencia'!K:K,"No encontrada",2)</f>
        <v>Media</v>
      </c>
      <c r="I302" s="9" t="s">
        <v>425</v>
      </c>
      <c r="J302" s="20" t="s">
        <v>116</v>
      </c>
      <c r="K302" s="21"/>
      <c r="L302" s="21"/>
      <c r="M302" s="20" t="s">
        <v>116</v>
      </c>
      <c r="N302" s="20" t="s">
        <v>116</v>
      </c>
      <c r="O302" s="21"/>
      <c r="P302" s="21"/>
      <c r="Q302" s="21"/>
      <c r="R302" s="21"/>
      <c r="S302" s="21"/>
      <c r="T302" s="21"/>
      <c r="U302" s="9" t="s">
        <v>195</v>
      </c>
      <c r="V302" s="9" t="s">
        <v>196</v>
      </c>
    </row>
    <row r="303" ht="14.25" customHeight="1">
      <c r="A303" s="9" t="s">
        <v>643</v>
      </c>
      <c r="B303" s="9" t="s">
        <v>642</v>
      </c>
      <c r="C303" s="9" t="str">
        <f t="array" ref="C303">INDEX(Funciones!$G$2:$G$372,MATCH($A303,Funciones!$B$2:$B$372,0))</f>
        <v>Presurizar los cilindros de freno entre 3,7 y 3,9 bar</v>
      </c>
      <c r="D303" s="9" t="s">
        <v>3329</v>
      </c>
      <c r="E303" s="9" t="s">
        <v>1275</v>
      </c>
      <c r="F303" s="9" t="s">
        <v>3330</v>
      </c>
      <c r="G303" s="9" t="s">
        <v>2473</v>
      </c>
      <c r="H303" s="18" t="str">
        <f t="array" ref="H303">_xlfn.XLOOKUP(E:E,'Calificación consecuencia'!B:B,'Calificación consecuencia'!K:K,"No encontrada",2)</f>
        <v>Baja</v>
      </c>
      <c r="I303" s="9" t="s">
        <v>425</v>
      </c>
      <c r="J303" s="20" t="s">
        <v>116</v>
      </c>
      <c r="K303" s="21"/>
      <c r="L303" s="21"/>
      <c r="M303" s="20" t="s">
        <v>116</v>
      </c>
      <c r="N303" s="20" t="s">
        <v>116</v>
      </c>
      <c r="O303" s="21"/>
      <c r="P303" s="21"/>
      <c r="Q303" s="21"/>
      <c r="R303" s="21"/>
      <c r="S303" s="21"/>
      <c r="T303" s="21"/>
      <c r="U303" s="9" t="s">
        <v>195</v>
      </c>
      <c r="V303" s="9" t="s">
        <v>196</v>
      </c>
    </row>
    <row r="304" ht="14.25" customHeight="1">
      <c r="A304" s="27" t="s">
        <v>650</v>
      </c>
      <c r="B304" s="27" t="s">
        <v>649</v>
      </c>
      <c r="C304" s="27" t="str">
        <f t="array" ref="C304">INDEX(Funciones!$G$2:$G$372,MATCH($A304,Funciones!$B$2:$B$372,0))</f>
        <v>Transmitir la fuerza a zapatas con holgura de 5 a 8 mm</v>
      </c>
      <c r="D304" s="27" t="s">
        <v>3701</v>
      </c>
      <c r="E304" s="27" t="s">
        <v>1744</v>
      </c>
      <c r="F304" s="27" t="s">
        <v>3581</v>
      </c>
      <c r="G304" s="27" t="s">
        <v>3582</v>
      </c>
      <c r="H304" s="18" t="str">
        <f t="array" ref="H304">_xlfn.XLOOKUP(E:E,'Calificación consecuencia'!B:B,'Calificación consecuencia'!K:K,"No encontrada",2)</f>
        <v>Baja</v>
      </c>
      <c r="I304" s="27" t="s">
        <v>425</v>
      </c>
      <c r="J304" s="30" t="s">
        <v>116</v>
      </c>
      <c r="K304" s="21"/>
      <c r="L304" s="21"/>
      <c r="M304" s="30" t="s">
        <v>116</v>
      </c>
      <c r="N304" s="30" t="s">
        <v>116</v>
      </c>
      <c r="O304" s="21"/>
      <c r="P304" s="21"/>
      <c r="Q304" s="21"/>
      <c r="R304" s="21"/>
      <c r="S304" s="21"/>
      <c r="T304" s="21"/>
      <c r="U304" s="27" t="s">
        <v>195</v>
      </c>
      <c r="V304" s="27" t="s">
        <v>196</v>
      </c>
    </row>
    <row r="305" ht="14.25" customHeight="1">
      <c r="A305" s="27" t="s">
        <v>650</v>
      </c>
      <c r="B305" s="27" t="s">
        <v>649</v>
      </c>
      <c r="C305" s="27" t="str">
        <f t="array" ref="C305">INDEX(Funciones!$G$2:$G$372,MATCH($A305,Funciones!$B$2:$B$372,0))</f>
        <v>Transmitir la fuerza a zapatas con holgura de 5 a 8 mm</v>
      </c>
      <c r="D305" s="27" t="s">
        <v>3707</v>
      </c>
      <c r="E305" s="27" t="s">
        <v>1964</v>
      </c>
      <c r="F305" s="27" t="s">
        <v>3709</v>
      </c>
      <c r="G305" s="27" t="s">
        <v>3588</v>
      </c>
      <c r="H305" s="18" t="str">
        <f t="array" ref="H305">_xlfn.XLOOKUP(E:E,'Calificación consecuencia'!B:B,'Calificación consecuencia'!K:K,"No encontrada",2)</f>
        <v>Baja</v>
      </c>
      <c r="I305" s="27" t="s">
        <v>1351</v>
      </c>
      <c r="J305" s="30" t="s">
        <v>116</v>
      </c>
      <c r="K305" s="21"/>
      <c r="L305" s="21"/>
      <c r="M305" s="30" t="s">
        <v>116</v>
      </c>
      <c r="N305" s="30" t="s">
        <v>116</v>
      </c>
      <c r="O305" s="21"/>
      <c r="P305" s="21"/>
      <c r="Q305" s="21"/>
      <c r="R305" s="21"/>
      <c r="S305" s="21"/>
      <c r="T305" s="21"/>
      <c r="U305" s="27" t="s">
        <v>195</v>
      </c>
      <c r="V305" s="27" t="s">
        <v>196</v>
      </c>
    </row>
    <row r="306" ht="14.25" customHeight="1">
      <c r="A306" s="27" t="s">
        <v>650</v>
      </c>
      <c r="B306" s="27" t="s">
        <v>649</v>
      </c>
      <c r="C306" s="27" t="str">
        <f t="array" ref="C306">INDEX(Funciones!$G$2:$G$372,MATCH($A306,Funciones!$B$2:$B$372,0))</f>
        <v>Transmitir la fuerza a zapatas con holgura de 5 a 8 mm</v>
      </c>
      <c r="D306" s="27" t="s">
        <v>3707</v>
      </c>
      <c r="E306" s="27" t="s">
        <v>1749</v>
      </c>
      <c r="F306" s="27" t="s">
        <v>3717</v>
      </c>
      <c r="G306" s="27" t="s">
        <v>3585</v>
      </c>
      <c r="H306" s="18" t="str">
        <f t="array" ref="H306">_xlfn.XLOOKUP(E:E,'Calificación consecuencia'!B:B,'Calificación consecuencia'!K:K,"No encontrada",2)</f>
        <v>Baja</v>
      </c>
      <c r="I306" s="27" t="s">
        <v>425</v>
      </c>
      <c r="J306" s="30" t="s">
        <v>116</v>
      </c>
      <c r="K306" s="21"/>
      <c r="L306" s="21"/>
      <c r="M306" s="30" t="s">
        <v>116</v>
      </c>
      <c r="N306" s="30" t="s">
        <v>116</v>
      </c>
      <c r="O306" s="21"/>
      <c r="P306" s="21"/>
      <c r="Q306" s="21"/>
      <c r="R306" s="21"/>
      <c r="S306" s="21"/>
      <c r="T306" s="21"/>
      <c r="U306" s="27" t="s">
        <v>195</v>
      </c>
      <c r="V306" s="27" t="s">
        <v>196</v>
      </c>
    </row>
    <row r="307" ht="14.25" customHeight="1">
      <c r="A307" s="9" t="s">
        <v>660</v>
      </c>
      <c r="B307" s="9" t="s">
        <v>659</v>
      </c>
      <c r="C307" s="9" t="str">
        <f t="array" ref="C307">INDEX(Funciones!$G$2:$G$372,MATCH($A307,Funciones!$B$2:$B$372,0))</f>
        <v>Entregar potencia de 18 a 22 kW</v>
      </c>
      <c r="D307" s="9" t="s">
        <v>3724</v>
      </c>
      <c r="E307" s="9" t="s">
        <v>1979</v>
      </c>
      <c r="F307" s="9" t="s">
        <v>3725</v>
      </c>
      <c r="G307" s="9" t="s">
        <v>3726</v>
      </c>
      <c r="H307" s="18" t="str">
        <f t="array" ref="H307">_xlfn.XLOOKUP(E:E,'Calificación consecuencia'!B:B,'Calificación consecuencia'!K:K,"No encontrada",2)</f>
        <v>Baja</v>
      </c>
      <c r="I307" s="9" t="s">
        <v>1800</v>
      </c>
      <c r="J307" s="20" t="s">
        <v>116</v>
      </c>
      <c r="K307" s="21"/>
      <c r="L307" s="21"/>
      <c r="M307" s="22" t="s">
        <v>120</v>
      </c>
      <c r="N307" s="21"/>
      <c r="O307" s="20" t="s">
        <v>116</v>
      </c>
      <c r="P307" s="20" t="s">
        <v>116</v>
      </c>
      <c r="Q307" s="21"/>
      <c r="R307" s="21"/>
      <c r="S307" s="21"/>
      <c r="T307" s="21"/>
      <c r="U307" s="9" t="s">
        <v>345</v>
      </c>
      <c r="V307" s="9" t="s">
        <v>196</v>
      </c>
    </row>
    <row r="308" ht="14.25" customHeight="1">
      <c r="A308" s="9" t="s">
        <v>660</v>
      </c>
      <c r="B308" s="9" t="s">
        <v>659</v>
      </c>
      <c r="C308" s="9" t="str">
        <f t="array" ref="C308">INDEX(Funciones!$G$2:$G$372,MATCH($A308,Funciones!$B$2:$B$372,0))</f>
        <v>Entregar potencia de 18 a 22 kW</v>
      </c>
      <c r="D308" s="9" t="s">
        <v>3729</v>
      </c>
      <c r="E308" s="9" t="s">
        <v>1984</v>
      </c>
      <c r="F308" s="9" t="s">
        <v>3730</v>
      </c>
      <c r="G308" s="9" t="s">
        <v>3731</v>
      </c>
      <c r="H308" s="18" t="str">
        <f t="array" ref="H308">_xlfn.XLOOKUP(E:E,'Calificación consecuencia'!B:B,'Calificación consecuencia'!K:K,"No encontrada",2)</f>
        <v>Baja</v>
      </c>
      <c r="I308" s="9" t="s">
        <v>1800</v>
      </c>
      <c r="J308" s="20" t="s">
        <v>116</v>
      </c>
      <c r="K308" s="21"/>
      <c r="L308" s="21"/>
      <c r="M308" s="22" t="s">
        <v>120</v>
      </c>
      <c r="N308" s="21"/>
      <c r="O308" s="22" t="s">
        <v>120</v>
      </c>
      <c r="P308" s="21"/>
      <c r="Q308" s="21"/>
      <c r="R308" s="21"/>
      <c r="S308" s="20" t="s">
        <v>116</v>
      </c>
      <c r="T308" s="20" t="s">
        <v>116</v>
      </c>
      <c r="U308" s="9" t="s">
        <v>3471</v>
      </c>
      <c r="V308" s="9" t="s">
        <v>196</v>
      </c>
    </row>
    <row r="309" ht="14.25" customHeight="1">
      <c r="A309" s="9" t="s">
        <v>660</v>
      </c>
      <c r="B309" s="9" t="s">
        <v>659</v>
      </c>
      <c r="C309" s="9" t="str">
        <f t="array" ref="C309">INDEX(Funciones!$G$2:$G$372,MATCH($A309,Funciones!$B$2:$B$372,0))</f>
        <v>Entregar potencia de 18 a 22 kW</v>
      </c>
      <c r="D309" s="9" t="s">
        <v>3729</v>
      </c>
      <c r="E309" s="9" t="s">
        <v>1988</v>
      </c>
      <c r="F309" s="9" t="s">
        <v>3736</v>
      </c>
      <c r="G309" s="9" t="s">
        <v>3737</v>
      </c>
      <c r="H309" s="18" t="str">
        <f t="array" ref="H309">_xlfn.XLOOKUP(E:E,'Calificación consecuencia'!B:B,'Calificación consecuencia'!K:K,"No encontrada",2)</f>
        <v>Baja</v>
      </c>
      <c r="I309" s="9" t="s">
        <v>1800</v>
      </c>
      <c r="J309" s="20" t="s">
        <v>116</v>
      </c>
      <c r="K309" s="21"/>
      <c r="L309" s="21"/>
      <c r="M309" s="22" t="s">
        <v>120</v>
      </c>
      <c r="N309" s="21"/>
      <c r="O309" s="20" t="s">
        <v>116</v>
      </c>
      <c r="P309" s="20" t="s">
        <v>116</v>
      </c>
      <c r="Q309" s="21"/>
      <c r="R309" s="21"/>
      <c r="S309" s="21"/>
      <c r="T309" s="21"/>
      <c r="U309" s="9" t="s">
        <v>345</v>
      </c>
      <c r="V309" s="9" t="s">
        <v>196</v>
      </c>
    </row>
    <row r="310" ht="14.25" customHeight="1">
      <c r="A310" s="9" t="s">
        <v>660</v>
      </c>
      <c r="B310" s="9" t="s">
        <v>659</v>
      </c>
      <c r="C310" s="9" t="str">
        <f t="array" ref="C310">INDEX(Funciones!$G$2:$G$372,MATCH($A310,Funciones!$B$2:$B$372,0))</f>
        <v>Entregar potencia de 18 a 22 kW</v>
      </c>
      <c r="D310" s="9" t="s">
        <v>3729</v>
      </c>
      <c r="E310" s="9" t="s">
        <v>1994</v>
      </c>
      <c r="F310" s="9" t="s">
        <v>3739</v>
      </c>
      <c r="G310" s="9" t="s">
        <v>3740</v>
      </c>
      <c r="H310" s="18" t="str">
        <f t="array" ref="H310">_xlfn.XLOOKUP(E:E,'Calificación consecuencia'!B:B,'Calificación consecuencia'!K:K,"No encontrada",2)</f>
        <v>Media</v>
      </c>
      <c r="I310" s="9" t="s">
        <v>1800</v>
      </c>
      <c r="J310" s="20" t="s">
        <v>116</v>
      </c>
      <c r="K310" s="21"/>
      <c r="L310" s="21"/>
      <c r="M310" s="22" t="s">
        <v>120</v>
      </c>
      <c r="N310" s="21"/>
      <c r="O310" s="20" t="s">
        <v>116</v>
      </c>
      <c r="P310" s="20" t="s">
        <v>116</v>
      </c>
      <c r="Q310" s="21"/>
      <c r="R310" s="21"/>
      <c r="S310" s="21"/>
      <c r="T310" s="21"/>
      <c r="U310" s="9" t="s">
        <v>345</v>
      </c>
      <c r="V310" s="9" t="s">
        <v>196</v>
      </c>
    </row>
    <row r="311" ht="14.25" customHeight="1">
      <c r="A311" s="27" t="s">
        <v>671</v>
      </c>
      <c r="B311" s="27" t="s">
        <v>670</v>
      </c>
      <c r="C311" s="27" t="str">
        <f t="array" ref="C311">INDEX(Funciones!$G$2:$G$372,MATCH($A311,Funciones!$B$2:$B$372,0))</f>
        <v>Distribuir el par entre ejes hasta 4.300 N.m</v>
      </c>
      <c r="D311" s="27" t="s">
        <v>3745</v>
      </c>
      <c r="E311" s="27" t="s">
        <v>1770</v>
      </c>
      <c r="F311" s="27" t="s">
        <v>3601</v>
      </c>
      <c r="G311" s="27" t="s">
        <v>3602</v>
      </c>
      <c r="H311" s="18" t="str">
        <f t="array" ref="H311">_xlfn.XLOOKUP(E:E,'Calificación consecuencia'!B:B,'Calificación consecuencia'!K:K,"No encontrada",2)</f>
        <v>Baja</v>
      </c>
      <c r="I311" s="27" t="s">
        <v>1800</v>
      </c>
      <c r="J311" s="30" t="s">
        <v>116</v>
      </c>
      <c r="K311" s="21"/>
      <c r="L311" s="21"/>
      <c r="M311" s="29" t="s">
        <v>120</v>
      </c>
      <c r="N311" s="21"/>
      <c r="O311" s="30" t="s">
        <v>116</v>
      </c>
      <c r="P311" s="30" t="s">
        <v>116</v>
      </c>
      <c r="Q311" s="21"/>
      <c r="R311" s="21"/>
      <c r="S311" s="21"/>
      <c r="T311" s="21"/>
      <c r="U311" s="27" t="s">
        <v>345</v>
      </c>
      <c r="V311" s="27" t="s">
        <v>196</v>
      </c>
    </row>
    <row r="312" ht="14.25" customHeight="1">
      <c r="A312" s="27" t="s">
        <v>671</v>
      </c>
      <c r="B312" s="27" t="s">
        <v>670</v>
      </c>
      <c r="C312" s="27" t="str">
        <f t="array" ref="C312">INDEX(Funciones!$G$2:$G$372,MATCH($A312,Funciones!$B$2:$B$372,0))</f>
        <v>Distribuir el par entre ejes hasta 4.300 N.m</v>
      </c>
      <c r="D312" s="27" t="s">
        <v>3752</v>
      </c>
      <c r="E312" s="27" t="s">
        <v>1775</v>
      </c>
      <c r="F312" s="27" t="s">
        <v>3604</v>
      </c>
      <c r="G312" s="27" t="s">
        <v>3605</v>
      </c>
      <c r="H312" s="18" t="str">
        <f t="array" ref="H312">_xlfn.XLOOKUP(E:E,'Calificación consecuencia'!B:B,'Calificación consecuencia'!K:K,"No encontrada",2)</f>
        <v>Baja</v>
      </c>
      <c r="I312" s="27" t="s">
        <v>1800</v>
      </c>
      <c r="J312" s="30" t="s">
        <v>116</v>
      </c>
      <c r="K312" s="21"/>
      <c r="L312" s="21"/>
      <c r="M312" s="29" t="s">
        <v>120</v>
      </c>
      <c r="N312" s="21"/>
      <c r="O312" s="30" t="s">
        <v>116</v>
      </c>
      <c r="P312" s="30" t="s">
        <v>116</v>
      </c>
      <c r="Q312" s="21"/>
      <c r="R312" s="21"/>
      <c r="S312" s="21"/>
      <c r="T312" s="21"/>
      <c r="U312" s="27" t="s">
        <v>345</v>
      </c>
      <c r="V312" s="27" t="s">
        <v>196</v>
      </c>
    </row>
    <row r="313" ht="14.25" customHeight="1">
      <c r="A313" s="27" t="s">
        <v>671</v>
      </c>
      <c r="B313" s="27" t="s">
        <v>670</v>
      </c>
      <c r="C313" s="27" t="str">
        <f t="array" ref="C313">INDEX(Funciones!$G$2:$G$372,MATCH($A313,Funciones!$B$2:$B$372,0))</f>
        <v>Distribuir el par entre ejes hasta 4.300 N.m</v>
      </c>
      <c r="D313" s="27" t="s">
        <v>3752</v>
      </c>
      <c r="E313" s="27" t="s">
        <v>1779</v>
      </c>
      <c r="F313" s="27" t="s">
        <v>3606</v>
      </c>
      <c r="G313" s="27" t="s">
        <v>3607</v>
      </c>
      <c r="H313" s="18" t="str">
        <f t="array" ref="H313">_xlfn.XLOOKUP(E:E,'Calificación consecuencia'!B:B,'Calificación consecuencia'!K:K,"No encontrada",2)</f>
        <v>Baja</v>
      </c>
      <c r="I313" s="27" t="s">
        <v>1800</v>
      </c>
      <c r="J313" s="30" t="s">
        <v>116</v>
      </c>
      <c r="K313" s="21"/>
      <c r="L313" s="21"/>
      <c r="M313" s="29" t="s">
        <v>120</v>
      </c>
      <c r="N313" s="21"/>
      <c r="O313" s="30" t="s">
        <v>116</v>
      </c>
      <c r="P313" s="30" t="s">
        <v>116</v>
      </c>
      <c r="Q313" s="21"/>
      <c r="R313" s="21"/>
      <c r="S313" s="21"/>
      <c r="T313" s="21"/>
      <c r="U313" s="27" t="s">
        <v>345</v>
      </c>
      <c r="V313" s="27" t="s">
        <v>196</v>
      </c>
    </row>
    <row r="314" ht="14.25" customHeight="1">
      <c r="A314" s="9" t="s">
        <v>682</v>
      </c>
      <c r="B314" s="9" t="s">
        <v>681</v>
      </c>
      <c r="C314" s="9" t="str">
        <f t="array" ref="C314">INDEX(Funciones!$G$2:$G$372,MATCH($A314,Funciones!$B$2:$B$372,0))</f>
        <v>Remolcar trenes de trabajo hasta 500 toneladas</v>
      </c>
      <c r="D314" s="9" t="s">
        <v>3761</v>
      </c>
      <c r="E314" s="9" t="s">
        <v>1813</v>
      </c>
      <c r="F314" s="9" t="s">
        <v>3762</v>
      </c>
      <c r="G314" s="9" t="s">
        <v>3628</v>
      </c>
      <c r="H314" s="18" t="str">
        <f t="array" ref="H314">_xlfn.XLOOKUP(E:E,'Calificación consecuencia'!B:B,'Calificación consecuencia'!K:K,"No encontrada",2)</f>
        <v>Baja</v>
      </c>
      <c r="I314" s="9" t="s">
        <v>425</v>
      </c>
      <c r="J314" s="20" t="s">
        <v>116</v>
      </c>
      <c r="K314" s="21"/>
      <c r="L314" s="21"/>
      <c r="M314" s="20" t="s">
        <v>116</v>
      </c>
      <c r="N314" s="20" t="s">
        <v>116</v>
      </c>
      <c r="O314" s="21"/>
      <c r="P314" s="21"/>
      <c r="Q314" s="21"/>
      <c r="R314" s="21"/>
      <c r="S314" s="21"/>
      <c r="T314" s="21"/>
      <c r="U314" s="9" t="s">
        <v>195</v>
      </c>
      <c r="V314" s="9" t="s">
        <v>196</v>
      </c>
    </row>
    <row r="315" ht="14.25" customHeight="1">
      <c r="A315" s="9" t="s">
        <v>682</v>
      </c>
      <c r="B315" s="9" t="s">
        <v>681</v>
      </c>
      <c r="C315" s="9" t="str">
        <f t="array" ref="C315">INDEX(Funciones!$G$2:$G$372,MATCH($A315,Funciones!$B$2:$B$372,0))</f>
        <v>Remolcar trenes de trabajo hasta 500 toneladas</v>
      </c>
      <c r="D315" s="9" t="s">
        <v>3761</v>
      </c>
      <c r="E315" s="9" t="s">
        <v>2009</v>
      </c>
      <c r="F315" s="9" t="s">
        <v>3763</v>
      </c>
      <c r="G315" s="9" t="s">
        <v>3764</v>
      </c>
      <c r="H315" s="18" t="str">
        <f t="array" ref="H315">_xlfn.XLOOKUP(E:E,'Calificación consecuencia'!B:B,'Calificación consecuencia'!K:K,"No encontrada",2)</f>
        <v>Baja</v>
      </c>
      <c r="I315" s="9" t="s">
        <v>2694</v>
      </c>
      <c r="J315" s="20" t="s">
        <v>116</v>
      </c>
      <c r="K315" s="21"/>
      <c r="L315" s="21"/>
      <c r="M315" s="20" t="s">
        <v>116</v>
      </c>
      <c r="N315" s="20" t="s">
        <v>116</v>
      </c>
      <c r="O315" s="21"/>
      <c r="P315" s="21"/>
      <c r="Q315" s="21"/>
      <c r="R315" s="21"/>
      <c r="S315" s="21"/>
      <c r="T315" s="21"/>
      <c r="U315" s="9" t="s">
        <v>195</v>
      </c>
      <c r="V315" s="9" t="s">
        <v>196</v>
      </c>
    </row>
    <row r="316" ht="14.25" customHeight="1">
      <c r="A316" s="9" t="s">
        <v>682</v>
      </c>
      <c r="B316" s="9" t="s">
        <v>681</v>
      </c>
      <c r="C316" s="9" t="str">
        <f t="array" ref="C316">INDEX(Funciones!$G$2:$G$372,MATCH($A316,Funciones!$B$2:$B$372,0))</f>
        <v>Remolcar trenes de trabajo hasta 500 toneladas</v>
      </c>
      <c r="D316" s="9" t="s">
        <v>3765</v>
      </c>
      <c r="E316" s="9" t="s">
        <v>1822</v>
      </c>
      <c r="F316" s="9" t="s">
        <v>3766</v>
      </c>
      <c r="G316" s="9" t="s">
        <v>3634</v>
      </c>
      <c r="H316" s="18" t="str">
        <f t="array" ref="H316">_xlfn.XLOOKUP(E:E,'Calificación consecuencia'!B:B,'Calificación consecuencia'!K:K,"No encontrada",2)</f>
        <v>Media</v>
      </c>
      <c r="I316" s="9" t="s">
        <v>425</v>
      </c>
      <c r="J316" s="20" t="s">
        <v>116</v>
      </c>
      <c r="K316" s="21"/>
      <c r="L316" s="21"/>
      <c r="M316" s="20" t="s">
        <v>116</v>
      </c>
      <c r="N316" s="20" t="s">
        <v>116</v>
      </c>
      <c r="O316" s="21"/>
      <c r="P316" s="21"/>
      <c r="Q316" s="21"/>
      <c r="R316" s="21"/>
      <c r="S316" s="21"/>
      <c r="T316" s="21"/>
      <c r="U316" s="9" t="s">
        <v>195</v>
      </c>
      <c r="V316" s="9" t="s">
        <v>196</v>
      </c>
    </row>
    <row r="317" ht="14.25" customHeight="1">
      <c r="A317" s="9" t="s">
        <v>682</v>
      </c>
      <c r="B317" s="9" t="s">
        <v>681</v>
      </c>
      <c r="C317" s="9" t="str">
        <f t="array" ref="C317">INDEX(Funciones!$G$2:$G$372,MATCH($A317,Funciones!$B$2:$B$372,0))</f>
        <v>Remolcar trenes de trabajo hasta 500 toneladas</v>
      </c>
      <c r="D317" s="9" t="s">
        <v>3765</v>
      </c>
      <c r="E317" s="9" t="s">
        <v>2011</v>
      </c>
      <c r="F317" s="9" t="s">
        <v>3767</v>
      </c>
      <c r="G317" s="9" t="s">
        <v>3630</v>
      </c>
      <c r="H317" s="18" t="str">
        <f t="array" ref="H317">_xlfn.XLOOKUP(E:E,'Calificación consecuencia'!B:B,'Calificación consecuencia'!K:K,"No encontrada",2)</f>
        <v>Media</v>
      </c>
      <c r="I317" s="9" t="s">
        <v>1351</v>
      </c>
      <c r="J317" s="20" t="s">
        <v>116</v>
      </c>
      <c r="K317" s="21"/>
      <c r="L317" s="21"/>
      <c r="M317" s="20" t="s">
        <v>116</v>
      </c>
      <c r="N317" s="20" t="s">
        <v>116</v>
      </c>
      <c r="O317" s="21"/>
      <c r="P317" s="21"/>
      <c r="Q317" s="21"/>
      <c r="R317" s="21"/>
      <c r="S317" s="21"/>
      <c r="T317" s="21"/>
      <c r="U317" s="9" t="s">
        <v>195</v>
      </c>
      <c r="V317" s="9" t="s">
        <v>196</v>
      </c>
    </row>
    <row r="318" ht="14.25" customHeight="1">
      <c r="A318" s="27" t="s">
        <v>690</v>
      </c>
      <c r="B318" s="27" t="s">
        <v>689</v>
      </c>
      <c r="C318" s="27" t="str">
        <f t="array" ref="C318">INDEX(Funciones!$G$2:$G$372,MATCH($A318,Funciones!$B$2:$B$372,0))</f>
        <v>Comprimir el aire a una presión de _____ bar</v>
      </c>
      <c r="D318" s="27" t="s">
        <v>3403</v>
      </c>
      <c r="E318" s="27" t="s">
        <v>999</v>
      </c>
      <c r="F318" s="27" t="s">
        <v>2657</v>
      </c>
      <c r="G318" s="27" t="s">
        <v>2658</v>
      </c>
      <c r="H318" s="18" t="str">
        <f t="array" ref="H318">_xlfn.XLOOKUP(E:E,'Calificación consecuencia'!B:B,'Calificación consecuencia'!K:K,"No encontrada",2)</f>
        <v>Media</v>
      </c>
      <c r="I318" s="27" t="s">
        <v>1800</v>
      </c>
      <c r="J318" s="30" t="s">
        <v>116</v>
      </c>
      <c r="K318" s="21"/>
      <c r="L318" s="21"/>
      <c r="M318" s="30" t="s">
        <v>116</v>
      </c>
      <c r="N318" s="30" t="s">
        <v>116</v>
      </c>
      <c r="O318" s="21"/>
      <c r="P318" s="21"/>
      <c r="Q318" s="21"/>
      <c r="R318" s="21"/>
      <c r="S318" s="21"/>
      <c r="T318" s="21"/>
      <c r="U318" s="27" t="s">
        <v>195</v>
      </c>
      <c r="V318" s="27" t="s">
        <v>196</v>
      </c>
    </row>
    <row r="319" ht="14.25" customHeight="1">
      <c r="A319" s="27" t="s">
        <v>690</v>
      </c>
      <c r="B319" s="27" t="s">
        <v>689</v>
      </c>
      <c r="C319" s="27" t="str">
        <f t="array" ref="C319">INDEX(Funciones!$G$2:$G$372,MATCH($A319,Funciones!$B$2:$B$372,0))</f>
        <v>Comprimir el aire a una presión de _____ bar</v>
      </c>
      <c r="D319" s="27" t="s">
        <v>3403</v>
      </c>
      <c r="E319" s="27" t="s">
        <v>1005</v>
      </c>
      <c r="F319" s="27" t="s">
        <v>2677</v>
      </c>
      <c r="G319" s="27" t="s">
        <v>2679</v>
      </c>
      <c r="H319" s="18" t="str">
        <f t="array" ref="H319">_xlfn.XLOOKUP(E:E,'Calificación consecuencia'!B:B,'Calificación consecuencia'!K:K,"No encontrada",2)</f>
        <v>Baja</v>
      </c>
      <c r="I319" s="27" t="s">
        <v>2694</v>
      </c>
      <c r="J319" s="30" t="s">
        <v>116</v>
      </c>
      <c r="K319" s="21"/>
      <c r="L319" s="21"/>
      <c r="M319" s="30" t="s">
        <v>116</v>
      </c>
      <c r="N319" s="30" t="s">
        <v>116</v>
      </c>
      <c r="O319" s="21"/>
      <c r="P319" s="21"/>
      <c r="Q319" s="21"/>
      <c r="R319" s="21"/>
      <c r="S319" s="21"/>
      <c r="T319" s="21"/>
      <c r="U319" s="27" t="s">
        <v>195</v>
      </c>
      <c r="V319" s="27" t="s">
        <v>196</v>
      </c>
    </row>
    <row r="320" ht="14.25" customHeight="1">
      <c r="A320" s="27" t="s">
        <v>690</v>
      </c>
      <c r="B320" s="27" t="s">
        <v>689</v>
      </c>
      <c r="C320" s="27" t="str">
        <f t="array" ref="C320">INDEX(Funciones!$G$2:$G$372,MATCH($A320,Funciones!$B$2:$B$372,0))</f>
        <v>Comprimir el aire a una presión de _____ bar</v>
      </c>
      <c r="D320" s="27" t="s">
        <v>3403</v>
      </c>
      <c r="E320" s="27" t="s">
        <v>1017</v>
      </c>
      <c r="F320" s="27" t="s">
        <v>2709</v>
      </c>
      <c r="G320" s="27" t="s">
        <v>2710</v>
      </c>
      <c r="H320" s="18" t="str">
        <f t="array" ref="H320">_xlfn.XLOOKUP(E:E,'Calificación consecuencia'!B:B,'Calificación consecuencia'!K:K,"No encontrada",2)</f>
        <v>Media</v>
      </c>
      <c r="I320" s="27" t="s">
        <v>1800</v>
      </c>
      <c r="J320" s="30" t="s">
        <v>116</v>
      </c>
      <c r="K320" s="21"/>
      <c r="L320" s="21"/>
      <c r="M320" s="30" t="s">
        <v>116</v>
      </c>
      <c r="N320" s="30" t="s">
        <v>116</v>
      </c>
      <c r="O320" s="21"/>
      <c r="P320" s="21"/>
      <c r="Q320" s="21"/>
      <c r="R320" s="21"/>
      <c r="S320" s="21"/>
      <c r="T320" s="21"/>
      <c r="U320" s="27" t="s">
        <v>195</v>
      </c>
      <c r="V320" s="27" t="s">
        <v>196</v>
      </c>
    </row>
    <row r="321" ht="14.25" customHeight="1">
      <c r="A321" s="27" t="s">
        <v>690</v>
      </c>
      <c r="B321" s="27" t="s">
        <v>689</v>
      </c>
      <c r="C321" s="27" t="str">
        <f t="array" ref="C321">INDEX(Funciones!$G$2:$G$372,MATCH($A321,Funciones!$B$2:$B$372,0))</f>
        <v>Comprimir el aire a una presión de _____ bar</v>
      </c>
      <c r="D321" s="27" t="s">
        <v>3404</v>
      </c>
      <c r="E321" s="27" t="s">
        <v>727</v>
      </c>
      <c r="F321" s="27" t="s">
        <v>3405</v>
      </c>
      <c r="G321" s="27" t="s">
        <v>1792</v>
      </c>
      <c r="H321" s="18" t="str">
        <f t="array" ref="H321">_xlfn.XLOOKUP(E:E,'Calificación consecuencia'!B:B,'Calificación consecuencia'!K:K,"No encontrada",2)</f>
        <v>Baja</v>
      </c>
      <c r="I321" s="27" t="s">
        <v>1800</v>
      </c>
      <c r="J321" s="30" t="s">
        <v>116</v>
      </c>
      <c r="K321" s="21"/>
      <c r="L321" s="21"/>
      <c r="M321" s="29" t="s">
        <v>120</v>
      </c>
      <c r="N321" s="21"/>
      <c r="O321" s="30" t="s">
        <v>116</v>
      </c>
      <c r="P321" s="30" t="s">
        <v>116</v>
      </c>
      <c r="Q321" s="21"/>
      <c r="R321" s="21"/>
      <c r="S321" s="21"/>
      <c r="T321" s="21"/>
      <c r="U321" s="27" t="s">
        <v>345</v>
      </c>
      <c r="V321" s="27" t="s">
        <v>196</v>
      </c>
    </row>
    <row r="322" ht="14.25" customHeight="1">
      <c r="A322" s="27" t="s">
        <v>690</v>
      </c>
      <c r="B322" s="27" t="s">
        <v>689</v>
      </c>
      <c r="C322" s="27" t="str">
        <f t="array" ref="C322">INDEX(Funciones!$G$2:$G$372,MATCH($A322,Funciones!$B$2:$B$372,0))</f>
        <v>Comprimir el aire a una presión de _____ bar</v>
      </c>
      <c r="D322" s="27" t="s">
        <v>3404</v>
      </c>
      <c r="E322" s="27" t="s">
        <v>1036</v>
      </c>
      <c r="F322" s="27" t="s">
        <v>3406</v>
      </c>
      <c r="G322" s="27" t="s">
        <v>2810</v>
      </c>
      <c r="H322" s="18" t="str">
        <f t="array" ref="H322">_xlfn.XLOOKUP(E:E,'Calificación consecuencia'!B:B,'Calificación consecuencia'!K:K,"No encontrada",2)</f>
        <v>Baja</v>
      </c>
      <c r="I322" s="27" t="s">
        <v>2106</v>
      </c>
      <c r="J322" s="30" t="s">
        <v>116</v>
      </c>
      <c r="K322" s="21"/>
      <c r="L322" s="21"/>
      <c r="M322" s="29" t="s">
        <v>120</v>
      </c>
      <c r="N322" s="21"/>
      <c r="O322" s="30" t="s">
        <v>116</v>
      </c>
      <c r="P322" s="30" t="s">
        <v>116</v>
      </c>
      <c r="Q322" s="21"/>
      <c r="R322" s="21"/>
      <c r="S322" s="21"/>
      <c r="T322" s="21"/>
      <c r="U322" s="27" t="s">
        <v>345</v>
      </c>
      <c r="V322" s="27" t="s">
        <v>196</v>
      </c>
    </row>
    <row r="323" ht="14.25" customHeight="1">
      <c r="A323" s="27" t="s">
        <v>690</v>
      </c>
      <c r="B323" s="27" t="s">
        <v>689</v>
      </c>
      <c r="C323" s="27" t="str">
        <f t="array" ref="C323">INDEX(Funciones!$G$2:$G$372,MATCH($A323,Funciones!$B$2:$B$372,0))</f>
        <v>Comprimir el aire a una presión de _____ bar</v>
      </c>
      <c r="D323" s="27" t="s">
        <v>3409</v>
      </c>
      <c r="E323" s="27" t="s">
        <v>1421</v>
      </c>
      <c r="F323" s="27" t="s">
        <v>3410</v>
      </c>
      <c r="G323" s="27" t="s">
        <v>2841</v>
      </c>
      <c r="H323" s="18" t="str">
        <f t="array" ref="H323">_xlfn.XLOOKUP(E:E,'Calificación consecuencia'!B:B,'Calificación consecuencia'!K:K,"No encontrada",2)</f>
        <v>Baja</v>
      </c>
      <c r="I323" s="27" t="s">
        <v>2106</v>
      </c>
      <c r="J323" s="30" t="s">
        <v>116</v>
      </c>
      <c r="K323" s="21"/>
      <c r="L323" s="21"/>
      <c r="M323" s="29" t="s">
        <v>120</v>
      </c>
      <c r="N323" s="21"/>
      <c r="O323" s="29" t="s">
        <v>120</v>
      </c>
      <c r="P323" s="21"/>
      <c r="Q323" s="21"/>
      <c r="R323" s="21"/>
      <c r="S323" s="29" t="s">
        <v>120</v>
      </c>
      <c r="T323" s="21"/>
      <c r="U323" s="27" t="s">
        <v>1680</v>
      </c>
      <c r="V323" s="27" t="s">
        <v>1408</v>
      </c>
    </row>
    <row r="324" ht="14.25" customHeight="1">
      <c r="A324" s="27" t="s">
        <v>690</v>
      </c>
      <c r="B324" s="27" t="s">
        <v>689</v>
      </c>
      <c r="C324" s="27" t="str">
        <f t="array" ref="C324">INDEX(Funciones!$G$2:$G$372,MATCH($A324,Funciones!$B$2:$B$372,0))</f>
        <v>Comprimir el aire a una presión de _____ bar</v>
      </c>
      <c r="D324" s="27" t="s">
        <v>3409</v>
      </c>
      <c r="E324" s="27" t="s">
        <v>1426</v>
      </c>
      <c r="F324" s="27" t="s">
        <v>3411</v>
      </c>
      <c r="G324" s="27" t="s">
        <v>1888</v>
      </c>
      <c r="H324" s="18" t="str">
        <f t="array" ref="H324">_xlfn.XLOOKUP(E:E,'Calificación consecuencia'!B:B,'Calificación consecuencia'!K:K,"No encontrada",2)</f>
        <v>Baja</v>
      </c>
      <c r="I324" s="27" t="s">
        <v>2106</v>
      </c>
      <c r="J324" s="30" t="s">
        <v>116</v>
      </c>
      <c r="K324" s="21"/>
      <c r="L324" s="21"/>
      <c r="M324" s="29" t="s">
        <v>120</v>
      </c>
      <c r="N324" s="21"/>
      <c r="O324" s="29" t="s">
        <v>120</v>
      </c>
      <c r="P324" s="21"/>
      <c r="Q324" s="21"/>
      <c r="R324" s="21"/>
      <c r="S324" s="29" t="s">
        <v>120</v>
      </c>
      <c r="T324" s="21"/>
      <c r="U324" s="27" t="s">
        <v>1680</v>
      </c>
      <c r="V324" s="27" t="s">
        <v>1408</v>
      </c>
    </row>
    <row r="325" ht="14.25" customHeight="1">
      <c r="A325" s="9" t="s">
        <v>695</v>
      </c>
      <c r="B325" s="9" t="s">
        <v>689</v>
      </c>
      <c r="C325" s="9" t="str">
        <f t="array" ref="C325">INDEX(Funciones!$G$2:$G$372,MATCH($A325,Funciones!$B$2:$B$372,0))</f>
        <v>Suministrar caudal de aire [ESTÁNDAR POR CONFIRMAR]</v>
      </c>
      <c r="D325" s="9" t="s">
        <v>2656</v>
      </c>
      <c r="E325" s="9" t="s">
        <v>999</v>
      </c>
      <c r="F325" s="9" t="s">
        <v>2657</v>
      </c>
      <c r="G325" s="9" t="s">
        <v>2658</v>
      </c>
      <c r="H325" s="18" t="str">
        <f t="array" ref="H325">_xlfn.XLOOKUP(E:E,'Calificación consecuencia'!B:B,'Calificación consecuencia'!K:K,"No encontrada",2)</f>
        <v>Media</v>
      </c>
      <c r="I325" s="9" t="s">
        <v>1800</v>
      </c>
      <c r="J325" s="20" t="s">
        <v>116</v>
      </c>
      <c r="K325" s="21"/>
      <c r="L325" s="21"/>
      <c r="M325" s="20" t="s">
        <v>116</v>
      </c>
      <c r="N325" s="20" t="s">
        <v>116</v>
      </c>
      <c r="O325" s="21"/>
      <c r="P325" s="21"/>
      <c r="Q325" s="21"/>
      <c r="R325" s="21"/>
      <c r="S325" s="21"/>
      <c r="T325" s="21"/>
      <c r="U325" s="9" t="s">
        <v>195</v>
      </c>
      <c r="V325" s="9" t="s">
        <v>196</v>
      </c>
    </row>
    <row r="326" ht="14.25" customHeight="1">
      <c r="A326" s="9" t="s">
        <v>695</v>
      </c>
      <c r="B326" s="9" t="s">
        <v>689</v>
      </c>
      <c r="C326" s="9" t="str">
        <f t="array" ref="C326">INDEX(Funciones!$G$2:$G$372,MATCH($A326,Funciones!$B$2:$B$372,0))</f>
        <v>Suministrar caudal de aire [ESTÁNDAR POR CONFIRMAR]</v>
      </c>
      <c r="D326" s="9" t="s">
        <v>2656</v>
      </c>
      <c r="E326" s="9" t="s">
        <v>1005</v>
      </c>
      <c r="F326" s="9" t="s">
        <v>2677</v>
      </c>
      <c r="G326" s="9" t="s">
        <v>2679</v>
      </c>
      <c r="H326" s="18" t="str">
        <f t="array" ref="H326">_xlfn.XLOOKUP(E:E,'Calificación consecuencia'!B:B,'Calificación consecuencia'!K:K,"No encontrada",2)</f>
        <v>Baja</v>
      </c>
      <c r="I326" s="9" t="s">
        <v>2694</v>
      </c>
      <c r="J326" s="20" t="s">
        <v>116</v>
      </c>
      <c r="K326" s="21"/>
      <c r="L326" s="21"/>
      <c r="M326" s="20" t="s">
        <v>116</v>
      </c>
      <c r="N326" s="20" t="s">
        <v>116</v>
      </c>
      <c r="O326" s="21"/>
      <c r="P326" s="21"/>
      <c r="Q326" s="21"/>
      <c r="R326" s="21"/>
      <c r="S326" s="21"/>
      <c r="T326" s="21"/>
      <c r="U326" s="9" t="s">
        <v>195</v>
      </c>
      <c r="V326" s="9" t="s">
        <v>196</v>
      </c>
    </row>
    <row r="327" ht="14.25" customHeight="1">
      <c r="A327" s="9" t="s">
        <v>695</v>
      </c>
      <c r="B327" s="9" t="s">
        <v>689</v>
      </c>
      <c r="C327" s="9" t="str">
        <f t="array" ref="C327">INDEX(Funciones!$G$2:$G$372,MATCH($A327,Funciones!$B$2:$B$372,0))</f>
        <v>Suministrar caudal de aire [ESTÁNDAR POR CONFIRMAR]</v>
      </c>
      <c r="D327" s="9" t="s">
        <v>2656</v>
      </c>
      <c r="E327" s="9" t="s">
        <v>1017</v>
      </c>
      <c r="F327" s="9" t="s">
        <v>2709</v>
      </c>
      <c r="G327" s="9" t="s">
        <v>2710</v>
      </c>
      <c r="H327" s="18" t="str">
        <f t="array" ref="H327">_xlfn.XLOOKUP(E:E,'Calificación consecuencia'!B:B,'Calificación consecuencia'!K:K,"No encontrada",2)</f>
        <v>Media</v>
      </c>
      <c r="I327" s="9" t="s">
        <v>1800</v>
      </c>
      <c r="J327" s="20" t="s">
        <v>116</v>
      </c>
      <c r="K327" s="21"/>
      <c r="L327" s="21"/>
      <c r="M327" s="20" t="s">
        <v>116</v>
      </c>
      <c r="N327" s="20" t="s">
        <v>116</v>
      </c>
      <c r="O327" s="21"/>
      <c r="P327" s="21"/>
      <c r="Q327" s="21"/>
      <c r="R327" s="21"/>
      <c r="S327" s="21"/>
      <c r="T327" s="21"/>
      <c r="U327" s="9" t="s">
        <v>195</v>
      </c>
      <c r="V327" s="9" t="s">
        <v>196</v>
      </c>
    </row>
    <row r="328" ht="14.25" customHeight="1">
      <c r="A328" s="9" t="s">
        <v>695</v>
      </c>
      <c r="B328" s="9" t="s">
        <v>689</v>
      </c>
      <c r="C328" s="9" t="str">
        <f t="array" ref="C328">INDEX(Funciones!$G$2:$G$372,MATCH($A328,Funciones!$B$2:$B$372,0))</f>
        <v>Suministrar caudal de aire [ESTÁNDAR POR CONFIRMAR]</v>
      </c>
      <c r="D328" s="9" t="s">
        <v>2740</v>
      </c>
      <c r="E328" s="9" t="s">
        <v>727</v>
      </c>
      <c r="F328" s="9" t="s">
        <v>2744</v>
      </c>
      <c r="G328" s="9" t="s">
        <v>1792</v>
      </c>
      <c r="H328" s="18" t="str">
        <f t="array" ref="H328">_xlfn.XLOOKUP(E:E,'Calificación consecuencia'!B:B,'Calificación consecuencia'!K:K,"No encontrada",2)</f>
        <v>Baja</v>
      </c>
      <c r="I328" s="9" t="s">
        <v>1800</v>
      </c>
      <c r="J328" s="20" t="s">
        <v>116</v>
      </c>
      <c r="K328" s="21"/>
      <c r="L328" s="21"/>
      <c r="M328" s="22" t="s">
        <v>120</v>
      </c>
      <c r="N328" s="21"/>
      <c r="O328" s="20" t="s">
        <v>116</v>
      </c>
      <c r="P328" s="20" t="s">
        <v>116</v>
      </c>
      <c r="Q328" s="21"/>
      <c r="R328" s="21"/>
      <c r="S328" s="21"/>
      <c r="T328" s="21"/>
      <c r="U328" s="9" t="s">
        <v>345</v>
      </c>
      <c r="V328" s="9" t="s">
        <v>196</v>
      </c>
    </row>
    <row r="329" ht="14.25" customHeight="1">
      <c r="A329" s="9" t="s">
        <v>695</v>
      </c>
      <c r="B329" s="9" t="s">
        <v>689</v>
      </c>
      <c r="C329" s="9" t="str">
        <f t="array" ref="C329">INDEX(Funciones!$G$2:$G$372,MATCH($A329,Funciones!$B$2:$B$372,0))</f>
        <v>Suministrar caudal de aire [ESTÁNDAR POR CONFIRMAR]</v>
      </c>
      <c r="D329" s="9" t="s">
        <v>2740</v>
      </c>
      <c r="E329" s="9" t="s">
        <v>1031</v>
      </c>
      <c r="F329" s="9" t="s">
        <v>2776</v>
      </c>
      <c r="G329" s="9" t="s">
        <v>2777</v>
      </c>
      <c r="H329" s="18" t="str">
        <f t="array" ref="H329">_xlfn.XLOOKUP(E:E,'Calificación consecuencia'!B:B,'Calificación consecuencia'!K:K,"No encontrada",2)</f>
        <v>Baja</v>
      </c>
      <c r="I329" s="9" t="s">
        <v>2106</v>
      </c>
      <c r="J329" s="20" t="s">
        <v>116</v>
      </c>
      <c r="K329" s="21"/>
      <c r="L329" s="21"/>
      <c r="M329" s="22" t="s">
        <v>120</v>
      </c>
      <c r="N329" s="21"/>
      <c r="O329" s="22" t="s">
        <v>120</v>
      </c>
      <c r="P329" s="21"/>
      <c r="Q329" s="21"/>
      <c r="R329" s="21"/>
      <c r="S329" s="22" t="s">
        <v>120</v>
      </c>
      <c r="T329" s="21"/>
      <c r="U329" s="9" t="s">
        <v>1680</v>
      </c>
      <c r="V329" s="9" t="s">
        <v>1408</v>
      </c>
    </row>
    <row r="330" ht="14.25" customHeight="1">
      <c r="A330" s="9" t="s">
        <v>695</v>
      </c>
      <c r="B330" s="9" t="s">
        <v>689</v>
      </c>
      <c r="C330" s="9" t="str">
        <f t="array" ref="C330">INDEX(Funciones!$G$2:$G$372,MATCH($A330,Funciones!$B$2:$B$372,0))</f>
        <v>Suministrar caudal de aire [ESTÁNDAR POR CONFIRMAR]</v>
      </c>
      <c r="D330" s="9" t="s">
        <v>2740</v>
      </c>
      <c r="E330" s="9" t="s">
        <v>1036</v>
      </c>
      <c r="F330" s="9" t="s">
        <v>2808</v>
      </c>
      <c r="G330" s="9" t="s">
        <v>2810</v>
      </c>
      <c r="H330" s="18" t="str">
        <f t="array" ref="H330">_xlfn.XLOOKUP(E:E,'Calificación consecuencia'!B:B,'Calificación consecuencia'!K:K,"No encontrada",2)</f>
        <v>Baja</v>
      </c>
      <c r="I330" s="9" t="s">
        <v>2106</v>
      </c>
      <c r="J330" s="20" t="s">
        <v>116</v>
      </c>
      <c r="K330" s="21"/>
      <c r="L330" s="21"/>
      <c r="M330" s="22" t="s">
        <v>120</v>
      </c>
      <c r="N330" s="21"/>
      <c r="O330" s="20" t="s">
        <v>116</v>
      </c>
      <c r="P330" s="20" t="s">
        <v>116</v>
      </c>
      <c r="Q330" s="21"/>
      <c r="R330" s="21"/>
      <c r="S330" s="21"/>
      <c r="T330" s="21"/>
      <c r="U330" s="9" t="s">
        <v>345</v>
      </c>
      <c r="V330" s="9" t="s">
        <v>196</v>
      </c>
    </row>
    <row r="331" ht="14.25" customHeight="1">
      <c r="A331" s="9" t="s">
        <v>695</v>
      </c>
      <c r="B331" s="9" t="s">
        <v>689</v>
      </c>
      <c r="C331" s="9" t="str">
        <f t="array" ref="C331">INDEX(Funciones!$G$2:$G$372,MATCH($A331,Funciones!$B$2:$B$372,0))</f>
        <v>Suministrar caudal de aire [ESTÁNDAR POR CONFIRMAR]</v>
      </c>
      <c r="D331" s="9" t="s">
        <v>2740</v>
      </c>
      <c r="E331" s="9" t="s">
        <v>1041</v>
      </c>
      <c r="F331" s="9" t="s">
        <v>2838</v>
      </c>
      <c r="G331" s="9" t="s">
        <v>2841</v>
      </c>
      <c r="H331" s="18" t="str">
        <f t="array" ref="H331">_xlfn.XLOOKUP(E:E,'Calificación consecuencia'!B:B,'Calificación consecuencia'!K:K,"No encontrada",2)</f>
        <v>Baja</v>
      </c>
      <c r="I331" s="9" t="s">
        <v>2106</v>
      </c>
      <c r="J331" s="20" t="s">
        <v>116</v>
      </c>
      <c r="K331" s="21"/>
      <c r="L331" s="21"/>
      <c r="M331" s="22" t="s">
        <v>120</v>
      </c>
      <c r="N331" s="21"/>
      <c r="O331" s="22" t="s">
        <v>120</v>
      </c>
      <c r="P331" s="21"/>
      <c r="Q331" s="21"/>
      <c r="R331" s="21"/>
      <c r="S331" s="22" t="s">
        <v>120</v>
      </c>
      <c r="T331" s="21"/>
      <c r="U331" s="9" t="s">
        <v>1680</v>
      </c>
      <c r="V331" s="9" t="s">
        <v>1408</v>
      </c>
    </row>
    <row r="332" ht="14.25" customHeight="1">
      <c r="A332" s="9" t="s">
        <v>695</v>
      </c>
      <c r="B332" s="9" t="s">
        <v>689</v>
      </c>
      <c r="C332" s="9" t="str">
        <f t="array" ref="C332">INDEX(Funciones!$G$2:$G$372,MATCH($A332,Funciones!$B$2:$B$372,0))</f>
        <v>Suministrar caudal de aire [ESTÁNDAR POR CONFIRMAR]</v>
      </c>
      <c r="D332" s="9" t="s">
        <v>2740</v>
      </c>
      <c r="E332" s="9" t="s">
        <v>1047</v>
      </c>
      <c r="F332" s="9" t="s">
        <v>2875</v>
      </c>
      <c r="G332" s="9" t="s">
        <v>1888</v>
      </c>
      <c r="H332" s="18" t="str">
        <f t="array" ref="H332">_xlfn.XLOOKUP(E:E,'Calificación consecuencia'!B:B,'Calificación consecuencia'!K:K,"No encontrada",2)</f>
        <v>Baja</v>
      </c>
      <c r="I332" s="9" t="s">
        <v>2106</v>
      </c>
      <c r="J332" s="20" t="s">
        <v>116</v>
      </c>
      <c r="K332" s="21"/>
      <c r="L332" s="21"/>
      <c r="M332" s="22" t="s">
        <v>120</v>
      </c>
      <c r="N332" s="21"/>
      <c r="O332" s="22" t="s">
        <v>120</v>
      </c>
      <c r="P332" s="21"/>
      <c r="Q332" s="21"/>
      <c r="R332" s="21"/>
      <c r="S332" s="22" t="s">
        <v>120</v>
      </c>
      <c r="T332" s="21"/>
      <c r="U332" s="9" t="s">
        <v>1680</v>
      </c>
      <c r="V332" s="9" t="s">
        <v>1408</v>
      </c>
    </row>
    <row r="333" ht="14.25" customHeight="1">
      <c r="A333" s="27" t="s">
        <v>703</v>
      </c>
      <c r="B333" s="27" t="s">
        <v>701</v>
      </c>
      <c r="C333" s="27" t="str">
        <f t="array" ref="C333">INDEX(Funciones!$G$2:$G$372,MATCH($A333,Funciones!$B$2:$B$372,0))</f>
        <v>Entregar torque hasta _____ N.m</v>
      </c>
      <c r="D333" s="27" t="s">
        <v>3854</v>
      </c>
      <c r="E333" s="27" t="s">
        <v>1570</v>
      </c>
      <c r="F333" s="27" t="s">
        <v>3467</v>
      </c>
      <c r="G333" s="27" t="s">
        <v>3468</v>
      </c>
      <c r="H333" s="18" t="str">
        <f t="array" ref="H333">_xlfn.XLOOKUP(E:E,'Calificación consecuencia'!B:B,'Calificación consecuencia'!K:K,"No encontrada",2)</f>
        <v>Media</v>
      </c>
      <c r="I333" s="27" t="s">
        <v>1800</v>
      </c>
      <c r="J333" s="30" t="s">
        <v>116</v>
      </c>
      <c r="K333" s="21"/>
      <c r="L333" s="21"/>
      <c r="M333" s="29" t="s">
        <v>120</v>
      </c>
      <c r="N333" s="21"/>
      <c r="O333" s="30" t="s">
        <v>116</v>
      </c>
      <c r="P333" s="30" t="s">
        <v>116</v>
      </c>
      <c r="Q333" s="21"/>
      <c r="R333" s="21"/>
      <c r="S333" s="21"/>
      <c r="T333" s="21"/>
      <c r="U333" s="27" t="s">
        <v>345</v>
      </c>
      <c r="V333" s="27" t="s">
        <v>196</v>
      </c>
    </row>
    <row r="334" ht="14.25" customHeight="1">
      <c r="A334" s="27" t="s">
        <v>703</v>
      </c>
      <c r="B334" s="27" t="s">
        <v>701</v>
      </c>
      <c r="C334" s="27" t="str">
        <f t="array" ref="C334">INDEX(Funciones!$G$2:$G$372,MATCH($A334,Funciones!$B$2:$B$372,0))</f>
        <v>Entregar torque hasta _____ N.m</v>
      </c>
      <c r="D334" s="27" t="s">
        <v>3854</v>
      </c>
      <c r="E334" s="27" t="s">
        <v>1576</v>
      </c>
      <c r="F334" s="27" t="s">
        <v>3469</v>
      </c>
      <c r="G334" s="27" t="s">
        <v>3470</v>
      </c>
      <c r="H334" s="18" t="str">
        <f t="array" ref="H334">_xlfn.XLOOKUP(E:E,'Calificación consecuencia'!B:B,'Calificación consecuencia'!K:K,"No encontrada",2)</f>
        <v>Baja</v>
      </c>
      <c r="I334" s="27" t="s">
        <v>1449</v>
      </c>
      <c r="J334" s="30" t="s">
        <v>116</v>
      </c>
      <c r="K334" s="21"/>
      <c r="L334" s="21"/>
      <c r="M334" s="29" t="s">
        <v>120</v>
      </c>
      <c r="N334" s="21"/>
      <c r="O334" s="29" t="s">
        <v>120</v>
      </c>
      <c r="P334" s="21"/>
      <c r="Q334" s="21"/>
      <c r="R334" s="21"/>
      <c r="S334" s="30" t="s">
        <v>116</v>
      </c>
      <c r="T334" s="30" t="s">
        <v>116</v>
      </c>
      <c r="U334" s="27" t="s">
        <v>3471</v>
      </c>
      <c r="V334" s="27" t="s">
        <v>196</v>
      </c>
    </row>
    <row r="335" ht="14.25" customHeight="1">
      <c r="A335" s="27" t="s">
        <v>703</v>
      </c>
      <c r="B335" s="27" t="s">
        <v>701</v>
      </c>
      <c r="C335" s="27" t="str">
        <f t="array" ref="C335">INDEX(Funciones!$G$2:$G$372,MATCH($A335,Funciones!$B$2:$B$372,0))</f>
        <v>Entregar torque hasta _____ N.m</v>
      </c>
      <c r="D335" s="27" t="s">
        <v>3862</v>
      </c>
      <c r="E335" s="27" t="s">
        <v>1585</v>
      </c>
      <c r="F335" s="27" t="s">
        <v>3473</v>
      </c>
      <c r="G335" s="27" t="s">
        <v>3474</v>
      </c>
      <c r="H335" s="18" t="str">
        <f t="array" ref="H335">_xlfn.XLOOKUP(E:E,'Calificación consecuencia'!B:B,'Calificación consecuencia'!K:K,"No encontrada",2)</f>
        <v>Baja</v>
      </c>
      <c r="I335" s="27" t="s">
        <v>1800</v>
      </c>
      <c r="J335" s="30" t="s">
        <v>116</v>
      </c>
      <c r="K335" s="21"/>
      <c r="L335" s="21"/>
      <c r="M335" s="29" t="s">
        <v>120</v>
      </c>
      <c r="N335" s="21"/>
      <c r="O335" s="30" t="s">
        <v>116</v>
      </c>
      <c r="P335" s="30" t="s">
        <v>116</v>
      </c>
      <c r="Q335" s="21"/>
      <c r="R335" s="21"/>
      <c r="S335" s="21"/>
      <c r="T335" s="21"/>
      <c r="U335" s="27" t="s">
        <v>345</v>
      </c>
      <c r="V335" s="27" t="s">
        <v>196</v>
      </c>
    </row>
    <row r="336" ht="14.25" customHeight="1">
      <c r="A336" s="27" t="s">
        <v>703</v>
      </c>
      <c r="B336" s="27" t="s">
        <v>701</v>
      </c>
      <c r="C336" s="27" t="str">
        <f t="array" ref="C336">INDEX(Funciones!$G$2:$G$372,MATCH($A336,Funciones!$B$2:$B$372,0))</f>
        <v>Entregar torque hasta _____ N.m</v>
      </c>
      <c r="D336" s="27" t="s">
        <v>3862</v>
      </c>
      <c r="E336" s="27" t="s">
        <v>1590</v>
      </c>
      <c r="F336" s="27" t="s">
        <v>3477</v>
      </c>
      <c r="G336" s="27" t="s">
        <v>3479</v>
      </c>
      <c r="H336" s="18" t="str">
        <f t="array" ref="H336">_xlfn.XLOOKUP(E:E,'Calificación consecuencia'!B:B,'Calificación consecuencia'!K:K,"No encontrada",2)</f>
        <v>Baja</v>
      </c>
      <c r="I336" s="27" t="s">
        <v>1800</v>
      </c>
      <c r="J336" s="30" t="s">
        <v>116</v>
      </c>
      <c r="K336" s="21"/>
      <c r="L336" s="21"/>
      <c r="M336" s="29" t="s">
        <v>120</v>
      </c>
      <c r="N336" s="21"/>
      <c r="O336" s="30" t="s">
        <v>116</v>
      </c>
      <c r="P336" s="30" t="s">
        <v>116</v>
      </c>
      <c r="Q336" s="21"/>
      <c r="R336" s="21"/>
      <c r="S336" s="21"/>
      <c r="T336" s="21"/>
      <c r="U336" s="27" t="s">
        <v>345</v>
      </c>
      <c r="V336" s="27" t="s">
        <v>196</v>
      </c>
    </row>
    <row r="337" ht="14.25" customHeight="1">
      <c r="A337" s="27" t="s">
        <v>703</v>
      </c>
      <c r="B337" s="27" t="s">
        <v>701</v>
      </c>
      <c r="C337" s="27" t="str">
        <f t="array" ref="C337">INDEX(Funciones!$G$2:$G$372,MATCH($A337,Funciones!$B$2:$B$372,0))</f>
        <v>Entregar torque hasta _____ N.m</v>
      </c>
      <c r="D337" s="27" t="s">
        <v>3862</v>
      </c>
      <c r="E337" s="27" t="s">
        <v>1596</v>
      </c>
      <c r="F337" s="27" t="s">
        <v>3483</v>
      </c>
      <c r="G337" s="27" t="s">
        <v>3484</v>
      </c>
      <c r="H337" s="18" t="str">
        <f t="array" ref="H337">_xlfn.XLOOKUP(E:E,'Calificación consecuencia'!B:B,'Calificación consecuencia'!K:K,"No encontrada",2)</f>
        <v>Media</v>
      </c>
      <c r="I337" s="27" t="s">
        <v>1449</v>
      </c>
      <c r="J337" s="30" t="s">
        <v>116</v>
      </c>
      <c r="K337" s="21"/>
      <c r="L337" s="21"/>
      <c r="M337" s="29" t="s">
        <v>120</v>
      </c>
      <c r="N337" s="21"/>
      <c r="O337" s="29" t="s">
        <v>120</v>
      </c>
      <c r="P337" s="21"/>
      <c r="Q337" s="21"/>
      <c r="R337" s="21"/>
      <c r="S337" s="30" t="s">
        <v>116</v>
      </c>
      <c r="T337" s="30" t="s">
        <v>116</v>
      </c>
      <c r="U337" s="27" t="s">
        <v>3471</v>
      </c>
      <c r="V337" s="27" t="s">
        <v>196</v>
      </c>
    </row>
    <row r="338" ht="14.25" customHeight="1">
      <c r="A338" s="9" t="s">
        <v>712</v>
      </c>
      <c r="B338" s="9" t="s">
        <v>711</v>
      </c>
      <c r="C338" s="9" t="str">
        <f t="array" ref="C338">INDEX(Funciones!$G$2:$G$372,MATCH($A338,Funciones!$B$2:$B$372,0))</f>
        <v>Sellar la cabina con 0 filtraciones en prueba de agua</v>
      </c>
      <c r="D338" s="9" t="s">
        <v>3649</v>
      </c>
      <c r="E338" s="9" t="s">
        <v>1157</v>
      </c>
      <c r="F338" s="9" t="s">
        <v>3650</v>
      </c>
      <c r="G338" s="9" t="s">
        <v>3279</v>
      </c>
      <c r="H338" s="18" t="str">
        <f t="array" ref="H338">_xlfn.XLOOKUP(E:E,'Calificación consecuencia'!B:B,'Calificación consecuencia'!K:K,"No encontrada",2)</f>
        <v>Baja</v>
      </c>
      <c r="I338" s="9" t="s">
        <v>2106</v>
      </c>
      <c r="J338" s="20" t="s">
        <v>116</v>
      </c>
      <c r="K338" s="21"/>
      <c r="L338" s="21"/>
      <c r="M338" s="22" t="s">
        <v>120</v>
      </c>
      <c r="N338" s="21"/>
      <c r="O338" s="20" t="s">
        <v>116</v>
      </c>
      <c r="P338" s="20" t="s">
        <v>116</v>
      </c>
      <c r="Q338" s="21"/>
      <c r="R338" s="21"/>
      <c r="S338" s="21"/>
      <c r="T338" s="21"/>
      <c r="U338" s="9" t="s">
        <v>345</v>
      </c>
      <c r="V338" s="9" t="s">
        <v>196</v>
      </c>
    </row>
    <row r="339" ht="14.25" customHeight="1">
      <c r="A339" s="9" t="s">
        <v>712</v>
      </c>
      <c r="B339" s="9" t="s">
        <v>711</v>
      </c>
      <c r="C339" s="9" t="str">
        <f t="array" ref="C339">INDEX(Funciones!$G$2:$G$372,MATCH($A339,Funciones!$B$2:$B$372,0))</f>
        <v>Sellar la cabina con 0 filtraciones en prueba de agua</v>
      </c>
      <c r="D339" s="9" t="s">
        <v>3651</v>
      </c>
      <c r="E339" s="9" t="s">
        <v>1167</v>
      </c>
      <c r="F339" s="9" t="s">
        <v>3652</v>
      </c>
      <c r="G339" s="9" t="s">
        <v>3282</v>
      </c>
      <c r="H339" s="18" t="str">
        <f t="array" ref="H339">_xlfn.XLOOKUP(E:E,'Calificación consecuencia'!B:B,'Calificación consecuencia'!K:K,"No encontrada",2)</f>
        <v>Baja</v>
      </c>
      <c r="I339" s="9" t="s">
        <v>2106</v>
      </c>
      <c r="J339" s="20" t="s">
        <v>116</v>
      </c>
      <c r="K339" s="21"/>
      <c r="L339" s="21"/>
      <c r="M339" s="22" t="s">
        <v>120</v>
      </c>
      <c r="N339" s="21"/>
      <c r="O339" s="22" t="s">
        <v>120</v>
      </c>
      <c r="P339" s="21"/>
      <c r="Q339" s="21"/>
      <c r="R339" s="21"/>
      <c r="S339" s="22" t="s">
        <v>120</v>
      </c>
      <c r="T339" s="21"/>
      <c r="U339" s="9" t="s">
        <v>1680</v>
      </c>
      <c r="V339" s="9" t="s">
        <v>1408</v>
      </c>
    </row>
    <row r="340" ht="14.25" customHeight="1">
      <c r="A340" s="9" t="s">
        <v>712</v>
      </c>
      <c r="B340" s="9" t="s">
        <v>711</v>
      </c>
      <c r="C340" s="9" t="str">
        <f t="array" ref="C340">INDEX(Funciones!$G$2:$G$372,MATCH($A340,Funciones!$B$2:$B$372,0))</f>
        <v>Sellar la cabina con 0 filtraciones en prueba de agua</v>
      </c>
      <c r="D340" s="9" t="s">
        <v>3651</v>
      </c>
      <c r="E340" s="9" t="s">
        <v>1176</v>
      </c>
      <c r="F340" s="9" t="s">
        <v>3653</v>
      </c>
      <c r="G340" s="9" t="s">
        <v>3284</v>
      </c>
      <c r="H340" s="18" t="str">
        <f t="array" ref="H340">_xlfn.XLOOKUP(E:E,'Calificación consecuencia'!B:B,'Calificación consecuencia'!K:K,"No encontrada",2)</f>
        <v>Baja</v>
      </c>
      <c r="I340" s="9" t="s">
        <v>2106</v>
      </c>
      <c r="J340" s="20" t="s">
        <v>116</v>
      </c>
      <c r="K340" s="21"/>
      <c r="L340" s="21"/>
      <c r="M340" s="22" t="s">
        <v>120</v>
      </c>
      <c r="N340" s="21"/>
      <c r="O340" s="22" t="s">
        <v>120</v>
      </c>
      <c r="P340" s="21"/>
      <c r="Q340" s="21"/>
      <c r="R340" s="21"/>
      <c r="S340" s="22" t="s">
        <v>120</v>
      </c>
      <c r="T340" s="21"/>
      <c r="U340" s="9" t="s">
        <v>1680</v>
      </c>
      <c r="V340" s="9" t="s">
        <v>1408</v>
      </c>
    </row>
    <row r="341" ht="14.25" customHeight="1">
      <c r="A341" s="9" t="s">
        <v>712</v>
      </c>
      <c r="B341" s="9" t="s">
        <v>711</v>
      </c>
      <c r="C341" s="9" t="str">
        <f t="array" ref="C341">INDEX(Funciones!$G$2:$G$372,MATCH($A341,Funciones!$B$2:$B$372,0))</f>
        <v>Sellar la cabina con 0 filtraciones en prueba de agua</v>
      </c>
      <c r="D341" s="9" t="s">
        <v>3651</v>
      </c>
      <c r="E341" s="9" t="s">
        <v>1184</v>
      </c>
      <c r="F341" s="9" t="s">
        <v>3654</v>
      </c>
      <c r="G341" s="9" t="s">
        <v>3286</v>
      </c>
      <c r="H341" s="18" t="str">
        <f t="array" ref="H341">_xlfn.XLOOKUP(E:E,'Calificación consecuencia'!B:B,'Calificación consecuencia'!K:K,"No encontrada",2)</f>
        <v>Baja</v>
      </c>
      <c r="I341" s="9" t="s">
        <v>2106</v>
      </c>
      <c r="J341" s="20" t="s">
        <v>116</v>
      </c>
      <c r="K341" s="21"/>
      <c r="L341" s="21"/>
      <c r="M341" s="22" t="s">
        <v>120</v>
      </c>
      <c r="N341" s="21"/>
      <c r="O341" s="22" t="s">
        <v>120</v>
      </c>
      <c r="P341" s="21"/>
      <c r="Q341" s="21"/>
      <c r="R341" s="21"/>
      <c r="S341" s="22" t="s">
        <v>120</v>
      </c>
      <c r="T341" s="21"/>
      <c r="U341" s="9" t="s">
        <v>1680</v>
      </c>
      <c r="V341" s="9" t="s">
        <v>1408</v>
      </c>
    </row>
    <row r="342" ht="14.25" customHeight="1">
      <c r="A342" s="27" t="s">
        <v>710</v>
      </c>
      <c r="B342" s="27" t="s">
        <v>716</v>
      </c>
      <c r="C342" s="27" t="str">
        <f t="array" ref="C342">INDEX(Funciones!$G$2:$G$372,MATCH($A342,Funciones!$B$2:$B$372,0))</f>
        <v>Retener el combustible a presión de prueba de 0,3 bar</v>
      </c>
      <c r="D342" s="27" t="s">
        <v>3890</v>
      </c>
      <c r="E342" s="27" t="s">
        <v>2149</v>
      </c>
      <c r="F342" s="27" t="s">
        <v>3892</v>
      </c>
      <c r="G342" s="27" t="s">
        <v>3893</v>
      </c>
      <c r="H342" s="18" t="str">
        <f t="array" ref="H342">_xlfn.XLOOKUP(E:E,'Calificación consecuencia'!B:B,'Calificación consecuencia'!K:K,"No encontrada",2)</f>
        <v>Media</v>
      </c>
      <c r="I342" s="27" t="s">
        <v>425</v>
      </c>
      <c r="J342" s="30" t="s">
        <v>116</v>
      </c>
      <c r="K342" s="21"/>
      <c r="L342" s="21"/>
      <c r="M342" s="30" t="s">
        <v>116</v>
      </c>
      <c r="N342" s="29" t="s">
        <v>120</v>
      </c>
      <c r="O342" s="21"/>
      <c r="P342" s="21"/>
      <c r="Q342" s="21"/>
      <c r="R342" s="21"/>
      <c r="S342" s="21"/>
      <c r="T342" s="21"/>
      <c r="U342" s="27" t="s">
        <v>230</v>
      </c>
      <c r="V342" s="27" t="s">
        <v>230</v>
      </c>
    </row>
    <row r="343" ht="14.25" customHeight="1">
      <c r="A343" s="27" t="s">
        <v>710</v>
      </c>
      <c r="B343" s="27" t="s">
        <v>716</v>
      </c>
      <c r="C343" s="27" t="str">
        <f t="array" ref="C343">INDEX(Funciones!$G$2:$G$372,MATCH($A343,Funciones!$B$2:$B$372,0))</f>
        <v>Retener el combustible a presión de prueba de 0,3 bar</v>
      </c>
      <c r="D343" s="27" t="s">
        <v>3890</v>
      </c>
      <c r="E343" s="27" t="s">
        <v>2154</v>
      </c>
      <c r="F343" s="27" t="s">
        <v>3898</v>
      </c>
      <c r="G343" s="27" t="s">
        <v>3899</v>
      </c>
      <c r="H343" s="18" t="str">
        <f t="array" ref="H343">_xlfn.XLOOKUP(E:E,'Calificación consecuencia'!B:B,'Calificación consecuencia'!K:K,"No encontrada",2)</f>
        <v>Media</v>
      </c>
      <c r="I343" s="27" t="s">
        <v>3902</v>
      </c>
      <c r="J343" s="30" t="s">
        <v>116</v>
      </c>
      <c r="K343" s="21"/>
      <c r="L343" s="21"/>
      <c r="M343" s="30" t="s">
        <v>116</v>
      </c>
      <c r="N343" s="30" t="s">
        <v>116</v>
      </c>
      <c r="O343" s="21"/>
      <c r="P343" s="21"/>
      <c r="Q343" s="21"/>
      <c r="R343" s="21"/>
      <c r="S343" s="21"/>
      <c r="T343" s="21"/>
      <c r="U343" s="27" t="s">
        <v>195</v>
      </c>
      <c r="V343" s="27" t="s">
        <v>196</v>
      </c>
    </row>
    <row r="344" ht="14.25" customHeight="1">
      <c r="A344" s="27" t="s">
        <v>710</v>
      </c>
      <c r="B344" s="27" t="s">
        <v>716</v>
      </c>
      <c r="C344" s="27" t="str">
        <f t="array" ref="C344">INDEX(Funciones!$G$2:$G$372,MATCH($A344,Funciones!$B$2:$B$372,0))</f>
        <v>Retener el combustible a presión de prueba de 0,3 bar</v>
      </c>
      <c r="D344" s="27" t="s">
        <v>3906</v>
      </c>
      <c r="E344" s="27" t="s">
        <v>2159</v>
      </c>
      <c r="F344" s="27" t="s">
        <v>3907</v>
      </c>
      <c r="G344" s="27" t="s">
        <v>3909</v>
      </c>
      <c r="H344" s="18" t="str">
        <f t="array" ref="H344">_xlfn.XLOOKUP(E:E,'Calificación consecuencia'!B:B,'Calificación consecuencia'!K:K,"No encontrada",2)</f>
        <v>Baja</v>
      </c>
      <c r="I344" s="27" t="s">
        <v>425</v>
      </c>
      <c r="J344" s="30" t="s">
        <v>116</v>
      </c>
      <c r="K344" s="21"/>
      <c r="L344" s="21"/>
      <c r="M344" s="30" t="s">
        <v>116</v>
      </c>
      <c r="N344" s="30" t="s">
        <v>116</v>
      </c>
      <c r="O344" s="21"/>
      <c r="P344" s="21"/>
      <c r="Q344" s="21"/>
      <c r="R344" s="21"/>
      <c r="S344" s="21"/>
      <c r="T344" s="21"/>
      <c r="U344" s="27" t="s">
        <v>195</v>
      </c>
      <c r="V344" s="27" t="s">
        <v>196</v>
      </c>
    </row>
    <row r="345" ht="14.25" customHeight="1">
      <c r="A345" s="27" t="s">
        <v>710</v>
      </c>
      <c r="B345" s="27" t="s">
        <v>716</v>
      </c>
      <c r="C345" s="27" t="str">
        <f t="array" ref="C345">INDEX(Funciones!$G$2:$G$372,MATCH($A345,Funciones!$B$2:$B$372,0))</f>
        <v>Retener el combustible a presión de prueba de 0,3 bar</v>
      </c>
      <c r="D345" s="27" t="s">
        <v>3906</v>
      </c>
      <c r="E345" s="27" t="s">
        <v>2180</v>
      </c>
      <c r="F345" s="27" t="s">
        <v>3915</v>
      </c>
      <c r="G345" s="27" t="s">
        <v>3917</v>
      </c>
      <c r="H345" s="18" t="str">
        <f t="array" ref="H345">_xlfn.XLOOKUP(E:E,'Calificación consecuencia'!B:B,'Calificación consecuencia'!K:K,"No encontrada",2)</f>
        <v>Media</v>
      </c>
      <c r="I345" s="27" t="s">
        <v>425</v>
      </c>
      <c r="J345" s="30" t="s">
        <v>116</v>
      </c>
      <c r="K345" s="21"/>
      <c r="L345" s="21"/>
      <c r="M345" s="30" t="s">
        <v>116</v>
      </c>
      <c r="N345" s="30" t="s">
        <v>116</v>
      </c>
      <c r="O345" s="21"/>
      <c r="P345" s="21"/>
      <c r="Q345" s="21"/>
      <c r="R345" s="21"/>
      <c r="S345" s="21"/>
      <c r="T345" s="21"/>
      <c r="U345" s="27" t="s">
        <v>195</v>
      </c>
      <c r="V345" s="27" t="s">
        <v>196</v>
      </c>
    </row>
    <row r="346" ht="14.25" customHeight="1">
      <c r="A346" s="27" t="s">
        <v>710</v>
      </c>
      <c r="B346" s="27" t="s">
        <v>716</v>
      </c>
      <c r="C346" s="27" t="str">
        <f t="array" ref="C346">INDEX(Funciones!$G$2:$G$372,MATCH($A346,Funciones!$B$2:$B$372,0))</f>
        <v>Retener el combustible a presión de prueba de 0,3 bar</v>
      </c>
      <c r="D346" s="27" t="s">
        <v>3906</v>
      </c>
      <c r="E346" s="27" t="s">
        <v>2186</v>
      </c>
      <c r="F346" s="27" t="s">
        <v>3923</v>
      </c>
      <c r="G346" s="27" t="s">
        <v>3924</v>
      </c>
      <c r="H346" s="18" t="str">
        <f t="array" ref="H346">_xlfn.XLOOKUP(E:E,'Calificación consecuencia'!B:B,'Calificación consecuencia'!K:K,"No encontrada",2)</f>
        <v>Media</v>
      </c>
      <c r="I346" s="27" t="s">
        <v>425</v>
      </c>
      <c r="J346" s="30" t="s">
        <v>116</v>
      </c>
      <c r="K346" s="21"/>
      <c r="L346" s="21"/>
      <c r="M346" s="30" t="s">
        <v>116</v>
      </c>
      <c r="N346" s="30" t="s">
        <v>116</v>
      </c>
      <c r="O346" s="21"/>
      <c r="P346" s="21"/>
      <c r="Q346" s="21"/>
      <c r="R346" s="21"/>
      <c r="S346" s="21"/>
      <c r="T346" s="21"/>
      <c r="U346" s="27" t="s">
        <v>195</v>
      </c>
      <c r="V346" s="27" t="s">
        <v>196</v>
      </c>
    </row>
    <row r="347" ht="14.25" customHeight="1">
      <c r="A347" s="9" t="s">
        <v>729</v>
      </c>
      <c r="B347" s="9" t="s">
        <v>728</v>
      </c>
      <c r="C347" s="9" t="str">
        <f t="array" ref="C347">INDEX(Funciones!$G$2:$G$372,MATCH($A347,Funciones!$B$2:$B$372,0))</f>
        <v>Almacenar energía eléctrica con tensión mínima de 19,2 V</v>
      </c>
      <c r="D347" s="9" t="s">
        <v>3309</v>
      </c>
      <c r="E347" s="9" t="s">
        <v>1191</v>
      </c>
      <c r="F347" s="9" t="s">
        <v>3288</v>
      </c>
      <c r="G347" s="9" t="s">
        <v>3289</v>
      </c>
      <c r="H347" s="18" t="str">
        <f t="array" ref="H347">_xlfn.XLOOKUP(E:E,'Calificación consecuencia'!B:B,'Calificación consecuencia'!K:K,"No encontrada",2)</f>
        <v>Media</v>
      </c>
      <c r="I347" s="9" t="s">
        <v>339</v>
      </c>
      <c r="J347" s="20" t="s">
        <v>116</v>
      </c>
      <c r="K347" s="21"/>
      <c r="L347" s="21"/>
      <c r="M347" s="22" t="s">
        <v>120</v>
      </c>
      <c r="N347" s="21"/>
      <c r="O347" s="20" t="s">
        <v>116</v>
      </c>
      <c r="P347" s="22" t="s">
        <v>120</v>
      </c>
      <c r="Q347" s="20" t="s">
        <v>116</v>
      </c>
      <c r="R347" s="21"/>
      <c r="S347" s="21"/>
      <c r="T347" s="21"/>
      <c r="U347" s="9" t="s">
        <v>785</v>
      </c>
      <c r="V347" s="9" t="s">
        <v>786</v>
      </c>
    </row>
    <row r="348" ht="14.25" customHeight="1">
      <c r="A348" s="9" t="s">
        <v>729</v>
      </c>
      <c r="B348" s="9" t="s">
        <v>728</v>
      </c>
      <c r="C348" s="9" t="str">
        <f t="array" ref="C348">INDEX(Funciones!$G$2:$G$372,MATCH($A348,Funciones!$B$2:$B$372,0))</f>
        <v>Almacenar energía eléctrica con tensión mínima de 19,2 V</v>
      </c>
      <c r="D348" s="9" t="s">
        <v>3309</v>
      </c>
      <c r="E348" s="9" t="s">
        <v>1195</v>
      </c>
      <c r="F348" s="9" t="s">
        <v>3290</v>
      </c>
      <c r="G348" s="9" t="s">
        <v>3291</v>
      </c>
      <c r="H348" s="18" t="str">
        <f t="array" ref="H348">_xlfn.XLOOKUP(E:E,'Calificación consecuencia'!B:B,'Calificación consecuencia'!K:K,"No encontrada",2)</f>
        <v>Baja</v>
      </c>
      <c r="I348" s="9" t="s">
        <v>339</v>
      </c>
      <c r="J348" s="20" t="s">
        <v>116</v>
      </c>
      <c r="K348" s="21"/>
      <c r="L348" s="21"/>
      <c r="M348" s="22" t="s">
        <v>120</v>
      </c>
      <c r="N348" s="21"/>
      <c r="O348" s="20" t="s">
        <v>116</v>
      </c>
      <c r="P348" s="22" t="s">
        <v>120</v>
      </c>
      <c r="Q348" s="20" t="s">
        <v>116</v>
      </c>
      <c r="R348" s="21"/>
      <c r="S348" s="21"/>
      <c r="T348" s="21"/>
      <c r="U348" s="9" t="s">
        <v>785</v>
      </c>
      <c r="V348" s="9" t="s">
        <v>786</v>
      </c>
    </row>
    <row r="349" ht="14.25" customHeight="1">
      <c r="A349" s="9" t="s">
        <v>729</v>
      </c>
      <c r="B349" s="9" t="s">
        <v>728</v>
      </c>
      <c r="C349" s="9" t="str">
        <f t="array" ref="C349">INDEX(Funciones!$G$2:$G$372,MATCH($A349,Funciones!$B$2:$B$372,0))</f>
        <v>Almacenar energía eléctrica con tensión mínima de 19,2 V</v>
      </c>
      <c r="D349" s="9" t="s">
        <v>3309</v>
      </c>
      <c r="E349" s="9" t="s">
        <v>1204</v>
      </c>
      <c r="F349" s="9" t="s">
        <v>3292</v>
      </c>
      <c r="G349" s="9" t="s">
        <v>3293</v>
      </c>
      <c r="H349" s="18" t="str">
        <f t="array" ref="H349">_xlfn.XLOOKUP(E:E,'Calificación consecuencia'!B:B,'Calificación consecuencia'!K:K,"No encontrada",2)</f>
        <v>Baja</v>
      </c>
      <c r="I349" s="9" t="s">
        <v>339</v>
      </c>
      <c r="J349" s="20" t="s">
        <v>116</v>
      </c>
      <c r="K349" s="21"/>
      <c r="L349" s="21"/>
      <c r="M349" s="22" t="s">
        <v>120</v>
      </c>
      <c r="N349" s="21"/>
      <c r="O349" s="20" t="s">
        <v>116</v>
      </c>
      <c r="P349" s="22" t="s">
        <v>120</v>
      </c>
      <c r="Q349" s="22" t="s">
        <v>120</v>
      </c>
      <c r="R349" s="20" t="s">
        <v>116</v>
      </c>
      <c r="S349" s="21"/>
      <c r="T349" s="21"/>
      <c r="U349" s="9" t="s">
        <v>1680</v>
      </c>
      <c r="V349" s="9" t="s">
        <v>1408</v>
      </c>
    </row>
    <row r="350" ht="14.25" customHeight="1">
      <c r="A350" s="9" t="s">
        <v>729</v>
      </c>
      <c r="B350" s="9" t="s">
        <v>728</v>
      </c>
      <c r="C350" s="9" t="str">
        <f t="array" ref="C350">INDEX(Funciones!$G$2:$G$372,MATCH($A350,Funciones!$B$2:$B$372,0))</f>
        <v>Almacenar energía eléctrica con tensión mínima de 19,2 V</v>
      </c>
      <c r="D350" s="9" t="s">
        <v>3309</v>
      </c>
      <c r="E350" s="9" t="s">
        <v>1210</v>
      </c>
      <c r="F350" s="9" t="s">
        <v>3297</v>
      </c>
      <c r="G350" s="9" t="s">
        <v>3298</v>
      </c>
      <c r="H350" s="18" t="str">
        <f t="array" ref="H350">_xlfn.XLOOKUP(E:E,'Calificación consecuencia'!B:B,'Calificación consecuencia'!K:K,"No encontrada",2)</f>
        <v>Media</v>
      </c>
      <c r="I350" s="9" t="s">
        <v>339</v>
      </c>
      <c r="J350" s="20" t="s">
        <v>116</v>
      </c>
      <c r="K350" s="21"/>
      <c r="L350" s="21"/>
      <c r="M350" s="22" t="s">
        <v>120</v>
      </c>
      <c r="N350" s="21"/>
      <c r="O350" s="20" t="s">
        <v>116</v>
      </c>
      <c r="P350" s="22" t="s">
        <v>120</v>
      </c>
      <c r="Q350" s="20" t="s">
        <v>116</v>
      </c>
      <c r="R350" s="21"/>
      <c r="S350" s="21"/>
      <c r="T350" s="21"/>
      <c r="U350" s="9" t="s">
        <v>785</v>
      </c>
      <c r="V350" s="9" t="s">
        <v>786</v>
      </c>
    </row>
    <row r="351" ht="14.25" customHeight="1">
      <c r="A351" s="9" t="s">
        <v>729</v>
      </c>
      <c r="B351" s="9" t="s">
        <v>728</v>
      </c>
      <c r="C351" s="9" t="str">
        <f t="array" ref="C351">INDEX(Funciones!$G$2:$G$372,MATCH($A351,Funciones!$B$2:$B$372,0))</f>
        <v>Almacenar energía eléctrica con tensión mínima de 19,2 V</v>
      </c>
      <c r="D351" s="9" t="s">
        <v>3309</v>
      </c>
      <c r="E351" s="9" t="s">
        <v>1219</v>
      </c>
      <c r="F351" s="9" t="s">
        <v>3301</v>
      </c>
      <c r="G351" s="9" t="s">
        <v>3302</v>
      </c>
      <c r="H351" s="18" t="str">
        <f t="array" ref="H351">_xlfn.XLOOKUP(E:E,'Calificación consecuencia'!B:B,'Calificación consecuencia'!K:K,"No encontrada",2)</f>
        <v>Media</v>
      </c>
      <c r="I351" s="9" t="s">
        <v>339</v>
      </c>
      <c r="J351" s="20" t="s">
        <v>116</v>
      </c>
      <c r="K351" s="21"/>
      <c r="L351" s="21"/>
      <c r="M351" s="22" t="s">
        <v>120</v>
      </c>
      <c r="N351" s="21"/>
      <c r="O351" s="20" t="s">
        <v>116</v>
      </c>
      <c r="P351" s="22" t="s">
        <v>120</v>
      </c>
      <c r="Q351" s="20" t="s">
        <v>116</v>
      </c>
      <c r="R351" s="21"/>
      <c r="S351" s="21"/>
      <c r="T351" s="21"/>
      <c r="U351" s="9" t="s">
        <v>785</v>
      </c>
      <c r="V351" s="9" t="s">
        <v>786</v>
      </c>
    </row>
    <row r="352" ht="14.25" customHeight="1">
      <c r="A352" s="9" t="s">
        <v>729</v>
      </c>
      <c r="B352" s="9" t="s">
        <v>728</v>
      </c>
      <c r="C352" s="9" t="str">
        <f t="array" ref="C352">INDEX(Funciones!$G$2:$G$372,MATCH($A352,Funciones!$B$2:$B$372,0))</f>
        <v>Almacenar energía eléctrica con tensión mínima de 19,2 V</v>
      </c>
      <c r="D352" s="9" t="s">
        <v>3310</v>
      </c>
      <c r="E352" s="9" t="s">
        <v>1228</v>
      </c>
      <c r="F352" s="9" t="s">
        <v>3305</v>
      </c>
      <c r="G352" s="9" t="s">
        <v>3306</v>
      </c>
      <c r="H352" s="18" t="str">
        <f t="array" ref="H352">_xlfn.XLOOKUP(E:E,'Calificación consecuencia'!B:B,'Calificación consecuencia'!K:K,"No encontrada",2)</f>
        <v>Baja</v>
      </c>
      <c r="I352" s="9" t="s">
        <v>2106</v>
      </c>
      <c r="J352" s="20" t="s">
        <v>116</v>
      </c>
      <c r="K352" s="21"/>
      <c r="L352" s="21"/>
      <c r="M352" s="22" t="s">
        <v>120</v>
      </c>
      <c r="N352" s="21"/>
      <c r="O352" s="22" t="s">
        <v>120</v>
      </c>
      <c r="P352" s="21"/>
      <c r="Q352" s="21"/>
      <c r="R352" s="21"/>
      <c r="S352" s="22" t="s">
        <v>120</v>
      </c>
      <c r="T352" s="21"/>
      <c r="U352" s="9" t="s">
        <v>1680</v>
      </c>
      <c r="V352" s="9" t="s">
        <v>1408</v>
      </c>
    </row>
    <row r="353" ht="14.25" customHeight="1">
      <c r="A353" s="9" t="s">
        <v>729</v>
      </c>
      <c r="B353" s="9" t="s">
        <v>728</v>
      </c>
      <c r="C353" s="9" t="str">
        <f t="array" ref="C353">INDEX(Funciones!$G$2:$G$372,MATCH($A353,Funciones!$B$2:$B$372,0))</f>
        <v>Almacenar energía eléctrica con tensión mínima de 19,2 V</v>
      </c>
      <c r="D353" s="9" t="s">
        <v>3310</v>
      </c>
      <c r="E353" s="9" t="s">
        <v>1233</v>
      </c>
      <c r="F353" s="9" t="s">
        <v>3307</v>
      </c>
      <c r="G353" s="9" t="s">
        <v>3308</v>
      </c>
      <c r="H353" s="18" t="str">
        <f t="array" ref="H353">_xlfn.XLOOKUP(E:E,'Calificación consecuencia'!B:B,'Calificación consecuencia'!K:K,"No encontrada",2)</f>
        <v>Baja</v>
      </c>
      <c r="I353" s="9" t="s">
        <v>2106</v>
      </c>
      <c r="J353" s="20" t="s">
        <v>116</v>
      </c>
      <c r="K353" s="21"/>
      <c r="L353" s="21"/>
      <c r="M353" s="22" t="s">
        <v>120</v>
      </c>
      <c r="N353" s="21"/>
      <c r="O353" s="22" t="s">
        <v>120</v>
      </c>
      <c r="P353" s="21"/>
      <c r="Q353" s="21"/>
      <c r="R353" s="21"/>
      <c r="S353" s="22" t="s">
        <v>120</v>
      </c>
      <c r="T353" s="21"/>
      <c r="U353" s="9" t="s">
        <v>1680</v>
      </c>
      <c r="V353" s="9" t="s">
        <v>1408</v>
      </c>
    </row>
    <row r="354" ht="14.25" customHeight="1">
      <c r="A354" s="27" t="s">
        <v>739</v>
      </c>
      <c r="B354" s="27" t="s">
        <v>738</v>
      </c>
      <c r="C354" s="27" t="str">
        <f t="array" ref="C354">INDEX(Funciones!$G$2:$G$372,MATCH($A354,Funciones!$B$2:$B$372,0))</f>
        <v>Evitar el vuelco de la plataforma con momento de 107 kN·m</v>
      </c>
      <c r="D354" s="27" t="s">
        <v>3952</v>
      </c>
      <c r="E354" s="27" t="s">
        <v>2243</v>
      </c>
      <c r="F354" s="27" t="s">
        <v>3953</v>
      </c>
      <c r="G354" s="27" t="s">
        <v>3954</v>
      </c>
      <c r="H354" s="18" t="str">
        <f t="array" ref="H354">_xlfn.XLOOKUP(E:E,'Calificación consecuencia'!B:B,'Calificación consecuencia'!K:K,"No encontrada",2)</f>
        <v>Baja</v>
      </c>
      <c r="I354" s="27" t="s">
        <v>425</v>
      </c>
      <c r="J354" s="30" t="s">
        <v>116</v>
      </c>
      <c r="K354" s="21"/>
      <c r="L354" s="21"/>
      <c r="M354" s="30" t="s">
        <v>116</v>
      </c>
      <c r="N354" s="30" t="s">
        <v>116</v>
      </c>
      <c r="O354" s="21"/>
      <c r="P354" s="21"/>
      <c r="Q354" s="21"/>
      <c r="R354" s="21"/>
      <c r="S354" s="21"/>
      <c r="T354" s="21"/>
      <c r="U354" s="27" t="s">
        <v>195</v>
      </c>
      <c r="V354" s="27" t="s">
        <v>196</v>
      </c>
    </row>
    <row r="355" ht="14.25" customHeight="1">
      <c r="A355" s="27" t="s">
        <v>739</v>
      </c>
      <c r="B355" s="27" t="s">
        <v>738</v>
      </c>
      <c r="C355" s="27" t="str">
        <f t="array" ref="C355">INDEX(Funciones!$G$2:$G$372,MATCH($A355,Funciones!$B$2:$B$372,0))</f>
        <v>Evitar el vuelco de la plataforma con momento de 107 kN·m</v>
      </c>
      <c r="D355" s="27" t="s">
        <v>3952</v>
      </c>
      <c r="E355" s="27" t="s">
        <v>2249</v>
      </c>
      <c r="F355" s="27" t="s">
        <v>3955</v>
      </c>
      <c r="G355" s="27" t="s">
        <v>3956</v>
      </c>
      <c r="H355" s="18" t="str">
        <f t="array" ref="H355">_xlfn.XLOOKUP(E:E,'Calificación consecuencia'!B:B,'Calificación consecuencia'!K:K,"No encontrada",2)</f>
        <v>Media</v>
      </c>
      <c r="I355" s="27" t="s">
        <v>425</v>
      </c>
      <c r="J355" s="30" t="s">
        <v>116</v>
      </c>
      <c r="K355" s="21"/>
      <c r="L355" s="21"/>
      <c r="M355" s="30" t="s">
        <v>116</v>
      </c>
      <c r="N355" s="30" t="s">
        <v>116</v>
      </c>
      <c r="O355" s="21"/>
      <c r="P355" s="21"/>
      <c r="Q355" s="21"/>
      <c r="R355" s="21"/>
      <c r="S355" s="21"/>
      <c r="T355" s="21"/>
      <c r="U355" s="27" t="s">
        <v>195</v>
      </c>
      <c r="V355" s="27" t="s">
        <v>196</v>
      </c>
    </row>
    <row r="356" ht="14.25" customHeight="1">
      <c r="A356" s="27" t="s">
        <v>739</v>
      </c>
      <c r="B356" s="27" t="s">
        <v>738</v>
      </c>
      <c r="C356" s="27" t="str">
        <f t="array" ref="C356">INDEX(Funciones!$G$2:$G$372,MATCH($A356,Funciones!$B$2:$B$372,0))</f>
        <v>Evitar el vuelco de la plataforma con momento de 107 kN·m</v>
      </c>
      <c r="D356" s="27" t="s">
        <v>3957</v>
      </c>
      <c r="E356" s="27" t="s">
        <v>2258</v>
      </c>
      <c r="F356" s="27" t="s">
        <v>3958</v>
      </c>
      <c r="G356" s="27" t="s">
        <v>3959</v>
      </c>
      <c r="H356" s="18" t="str">
        <f t="array" ref="H356">_xlfn.XLOOKUP(E:E,'Calificación consecuencia'!B:B,'Calificación consecuencia'!K:K,"No encontrada",2)</f>
        <v>Media</v>
      </c>
      <c r="I356" s="27" t="s">
        <v>425</v>
      </c>
      <c r="J356" s="30" t="s">
        <v>116</v>
      </c>
      <c r="K356" s="21"/>
      <c r="L356" s="21"/>
      <c r="M356" s="30" t="s">
        <v>116</v>
      </c>
      <c r="N356" s="30" t="s">
        <v>116</v>
      </c>
      <c r="O356" s="21"/>
      <c r="P356" s="21"/>
      <c r="Q356" s="21"/>
      <c r="R356" s="21"/>
      <c r="S356" s="21"/>
      <c r="T356" s="21"/>
      <c r="U356" s="27" t="s">
        <v>195</v>
      </c>
      <c r="V356" s="27" t="s">
        <v>196</v>
      </c>
    </row>
    <row r="357" ht="14.25" customHeight="1">
      <c r="A357" s="9" t="s">
        <v>751</v>
      </c>
      <c r="B357" s="9" t="s">
        <v>750</v>
      </c>
      <c r="C357" s="9" t="str">
        <f t="array" ref="C357">INDEX(Funciones!$G$2:$G$372,MATCH($A357,Funciones!$B$2:$B$372,0))</f>
        <v>Presurizar los cilindros de freno entre 3,7 y 3,9 bar</v>
      </c>
      <c r="D357" s="9" t="s">
        <v>3311</v>
      </c>
      <c r="E357" s="9" t="s">
        <v>1246</v>
      </c>
      <c r="F357" s="9" t="s">
        <v>3312</v>
      </c>
      <c r="G357" s="9" t="s">
        <v>3313</v>
      </c>
      <c r="H357" s="18" t="str">
        <f t="array" ref="H357">_xlfn.XLOOKUP(E:E,'Calificación consecuencia'!B:B,'Calificación consecuencia'!K:K,"No encontrada",2)</f>
        <v>Media</v>
      </c>
      <c r="I357" s="9" t="s">
        <v>425</v>
      </c>
      <c r="J357" s="20" t="s">
        <v>116</v>
      </c>
      <c r="K357" s="21"/>
      <c r="L357" s="21"/>
      <c r="M357" s="20" t="s">
        <v>116</v>
      </c>
      <c r="N357" s="20" t="s">
        <v>116</v>
      </c>
      <c r="O357" s="21"/>
      <c r="P357" s="21"/>
      <c r="Q357" s="21"/>
      <c r="R357" s="21"/>
      <c r="S357" s="21"/>
      <c r="T357" s="21"/>
      <c r="U357" s="9" t="s">
        <v>195</v>
      </c>
      <c r="V357" s="9" t="s">
        <v>196</v>
      </c>
    </row>
    <row r="358" ht="14.25" customHeight="1">
      <c r="A358" s="9" t="s">
        <v>751</v>
      </c>
      <c r="B358" s="9" t="s">
        <v>750</v>
      </c>
      <c r="C358" s="9" t="str">
        <f t="array" ref="C358">INDEX(Funciones!$G$2:$G$372,MATCH($A358,Funciones!$B$2:$B$372,0))</f>
        <v>Presurizar los cilindros de freno entre 3,7 y 3,9 bar</v>
      </c>
      <c r="D358" s="9" t="s">
        <v>3311</v>
      </c>
      <c r="E358" s="9" t="s">
        <v>1248</v>
      </c>
      <c r="F358" s="9" t="s">
        <v>3314</v>
      </c>
      <c r="G358" s="9" t="s">
        <v>3315</v>
      </c>
      <c r="H358" s="18" t="str">
        <f t="array" ref="H358">_xlfn.XLOOKUP(E:E,'Calificación consecuencia'!B:B,'Calificación consecuencia'!K:K,"No encontrada",2)</f>
        <v>Media</v>
      </c>
      <c r="I358" s="9" t="s">
        <v>425</v>
      </c>
      <c r="J358" s="20" t="s">
        <v>116</v>
      </c>
      <c r="K358" s="21"/>
      <c r="L358" s="21"/>
      <c r="M358" s="20" t="s">
        <v>116</v>
      </c>
      <c r="N358" s="20" t="s">
        <v>116</v>
      </c>
      <c r="O358" s="21"/>
      <c r="P358" s="21"/>
      <c r="Q358" s="21"/>
      <c r="R358" s="21"/>
      <c r="S358" s="21"/>
      <c r="T358" s="21"/>
      <c r="U358" s="9" t="s">
        <v>195</v>
      </c>
      <c r="V358" s="9" t="s">
        <v>196</v>
      </c>
    </row>
    <row r="359" ht="14.25" customHeight="1">
      <c r="A359" s="9" t="s">
        <v>751</v>
      </c>
      <c r="B359" s="9" t="s">
        <v>750</v>
      </c>
      <c r="C359" s="9" t="str">
        <f t="array" ref="C359">INDEX(Funciones!$G$2:$G$372,MATCH($A359,Funciones!$B$2:$B$372,0))</f>
        <v>Presurizar los cilindros de freno entre 3,7 y 3,9 bar</v>
      </c>
      <c r="D359" s="9" t="s">
        <v>3316</v>
      </c>
      <c r="E359" s="9" t="s">
        <v>1255</v>
      </c>
      <c r="F359" s="9" t="s">
        <v>3318</v>
      </c>
      <c r="G359" s="9" t="s">
        <v>3319</v>
      </c>
      <c r="H359" s="18" t="str">
        <f t="array" ref="H359">_xlfn.XLOOKUP(E:E,'Calificación consecuencia'!B:B,'Calificación consecuencia'!K:K,"No encontrada",2)</f>
        <v>Baja</v>
      </c>
      <c r="I359" s="9" t="s">
        <v>425</v>
      </c>
      <c r="J359" s="20" t="s">
        <v>116</v>
      </c>
      <c r="K359" s="21"/>
      <c r="L359" s="21"/>
      <c r="M359" s="20" t="s">
        <v>116</v>
      </c>
      <c r="N359" s="20" t="s">
        <v>116</v>
      </c>
      <c r="O359" s="21"/>
      <c r="P359" s="21"/>
      <c r="Q359" s="21"/>
      <c r="R359" s="21"/>
      <c r="S359" s="21"/>
      <c r="T359" s="21"/>
      <c r="U359" s="9" t="s">
        <v>195</v>
      </c>
      <c r="V359" s="9" t="s">
        <v>196</v>
      </c>
    </row>
    <row r="360" ht="14.25" customHeight="1">
      <c r="A360" s="9" t="s">
        <v>751</v>
      </c>
      <c r="B360" s="9" t="s">
        <v>750</v>
      </c>
      <c r="C360" s="9" t="str">
        <f t="array" ref="C360">INDEX(Funciones!$G$2:$G$372,MATCH($A360,Funciones!$B$2:$B$372,0))</f>
        <v>Presurizar los cilindros de freno entre 3,7 y 3,9 bar</v>
      </c>
      <c r="D360" s="9" t="s">
        <v>3316</v>
      </c>
      <c r="E360" s="9" t="s">
        <v>1259</v>
      </c>
      <c r="F360" s="9" t="s">
        <v>3322</v>
      </c>
      <c r="G360" s="9" t="s">
        <v>3323</v>
      </c>
      <c r="H360" s="18" t="str">
        <f t="array" ref="H360">_xlfn.XLOOKUP(E:E,'Calificación consecuencia'!B:B,'Calificación consecuencia'!K:K,"No encontrada",2)</f>
        <v>Baja</v>
      </c>
      <c r="I360" s="9" t="s">
        <v>425</v>
      </c>
      <c r="J360" s="20" t="s">
        <v>116</v>
      </c>
      <c r="K360" s="21"/>
      <c r="L360" s="21"/>
      <c r="M360" s="20" t="s">
        <v>116</v>
      </c>
      <c r="N360" s="20" t="s">
        <v>116</v>
      </c>
      <c r="O360" s="21"/>
      <c r="P360" s="21"/>
      <c r="Q360" s="21"/>
      <c r="R360" s="21"/>
      <c r="S360" s="21"/>
      <c r="T360" s="21"/>
      <c r="U360" s="9" t="s">
        <v>195</v>
      </c>
      <c r="V360" s="9" t="s">
        <v>196</v>
      </c>
    </row>
    <row r="361" ht="14.25" customHeight="1">
      <c r="A361" s="9" t="s">
        <v>751</v>
      </c>
      <c r="B361" s="9" t="s">
        <v>750</v>
      </c>
      <c r="C361" s="9" t="str">
        <f t="array" ref="C361">INDEX(Funciones!$G$2:$G$372,MATCH($A361,Funciones!$B$2:$B$372,0))</f>
        <v>Presurizar los cilindros de freno entre 3,7 y 3,9 bar</v>
      </c>
      <c r="D361" s="9" t="s">
        <v>3324</v>
      </c>
      <c r="E361" s="9" t="s">
        <v>1265</v>
      </c>
      <c r="F361" s="9" t="s">
        <v>3325</v>
      </c>
      <c r="G361" s="9" t="s">
        <v>3326</v>
      </c>
      <c r="H361" s="18" t="str">
        <f t="array" ref="H361">_xlfn.XLOOKUP(E:E,'Calificación consecuencia'!B:B,'Calificación consecuencia'!K:K,"No encontrada",2)</f>
        <v>Media</v>
      </c>
      <c r="I361" s="9" t="s">
        <v>425</v>
      </c>
      <c r="J361" s="20" t="s">
        <v>116</v>
      </c>
      <c r="K361" s="21"/>
      <c r="L361" s="21"/>
      <c r="M361" s="20" t="s">
        <v>116</v>
      </c>
      <c r="N361" s="20" t="s">
        <v>116</v>
      </c>
      <c r="O361" s="21"/>
      <c r="P361" s="21"/>
      <c r="Q361" s="21"/>
      <c r="R361" s="21"/>
      <c r="S361" s="21"/>
      <c r="T361" s="21"/>
      <c r="U361" s="9" t="s">
        <v>195</v>
      </c>
      <c r="V361" s="9" t="s">
        <v>196</v>
      </c>
    </row>
    <row r="362" ht="14.25" customHeight="1">
      <c r="A362" s="9" t="s">
        <v>751</v>
      </c>
      <c r="B362" s="9" t="s">
        <v>750</v>
      </c>
      <c r="C362" s="9" t="str">
        <f t="array" ref="C362">INDEX(Funciones!$G$2:$G$372,MATCH($A362,Funciones!$B$2:$B$372,0))</f>
        <v>Presurizar los cilindros de freno entre 3,7 y 3,9 bar</v>
      </c>
      <c r="D362" s="9" t="s">
        <v>3329</v>
      </c>
      <c r="E362" s="9" t="s">
        <v>1275</v>
      </c>
      <c r="F362" s="9" t="s">
        <v>3330</v>
      </c>
      <c r="G362" s="9" t="s">
        <v>2473</v>
      </c>
      <c r="H362" s="18" t="str">
        <f t="array" ref="H362">_xlfn.XLOOKUP(E:E,'Calificación consecuencia'!B:B,'Calificación consecuencia'!K:K,"No encontrada",2)</f>
        <v>Baja</v>
      </c>
      <c r="I362" s="9" t="s">
        <v>425</v>
      </c>
      <c r="J362" s="20" t="s">
        <v>116</v>
      </c>
      <c r="K362" s="21"/>
      <c r="L362" s="21"/>
      <c r="M362" s="20" t="s">
        <v>116</v>
      </c>
      <c r="N362" s="20" t="s">
        <v>116</v>
      </c>
      <c r="O362" s="21"/>
      <c r="P362" s="21"/>
      <c r="Q362" s="21"/>
      <c r="R362" s="21"/>
      <c r="S362" s="21"/>
      <c r="T362" s="21"/>
      <c r="U362" s="9" t="s">
        <v>195</v>
      </c>
      <c r="V362" s="9" t="s">
        <v>196</v>
      </c>
    </row>
    <row r="363" ht="14.25" customHeight="1">
      <c r="A363" s="27" t="s">
        <v>756</v>
      </c>
      <c r="B363" s="27" t="s">
        <v>755</v>
      </c>
      <c r="C363" s="27" t="str">
        <f t="array" ref="C363">INDEX(Funciones!$G$2:$G$372,MATCH($A363,Funciones!$B$2:$B$372,0))</f>
        <v>Transmitir la fuerza a zapatas hasta detener el vehiculo</v>
      </c>
      <c r="D363" s="27" t="s">
        <v>3971</v>
      </c>
      <c r="E363" s="27" t="s">
        <v>1744</v>
      </c>
      <c r="F363" s="27" t="s">
        <v>3581</v>
      </c>
      <c r="G363" s="27" t="s">
        <v>3582</v>
      </c>
      <c r="H363" s="18" t="str">
        <f t="array" ref="H363">_xlfn.XLOOKUP(E:E,'Calificación consecuencia'!B:B,'Calificación consecuencia'!K:K,"No encontrada",2)</f>
        <v>Baja</v>
      </c>
      <c r="I363" s="27" t="s">
        <v>425</v>
      </c>
      <c r="J363" s="30" t="s">
        <v>116</v>
      </c>
      <c r="K363" s="21"/>
      <c r="L363" s="21"/>
      <c r="M363" s="30" t="s">
        <v>116</v>
      </c>
      <c r="N363" s="30" t="s">
        <v>116</v>
      </c>
      <c r="O363" s="21"/>
      <c r="P363" s="21"/>
      <c r="Q363" s="21"/>
      <c r="R363" s="21"/>
      <c r="S363" s="21"/>
      <c r="T363" s="21"/>
      <c r="U363" s="27" t="s">
        <v>195</v>
      </c>
      <c r="V363" s="27" t="s">
        <v>196</v>
      </c>
    </row>
    <row r="364" ht="14.25" customHeight="1">
      <c r="A364" s="27" t="s">
        <v>756</v>
      </c>
      <c r="B364" s="27" t="s">
        <v>755</v>
      </c>
      <c r="C364" s="27" t="str">
        <f t="array" ref="C364">INDEX(Funciones!$G$2:$G$372,MATCH($A364,Funciones!$B$2:$B$372,0))</f>
        <v>Transmitir la fuerza a zapatas hasta detener el vehiculo</v>
      </c>
      <c r="D364" s="27" t="s">
        <v>3977</v>
      </c>
      <c r="E364" s="27" t="s">
        <v>1964</v>
      </c>
      <c r="F364" s="27" t="s">
        <v>3709</v>
      </c>
      <c r="G364" s="27" t="s">
        <v>3588</v>
      </c>
      <c r="H364" s="18" t="str">
        <f t="array" ref="H364">_xlfn.XLOOKUP(E:E,'Calificación consecuencia'!B:B,'Calificación consecuencia'!K:K,"No encontrada",2)</f>
        <v>Baja</v>
      </c>
      <c r="I364" s="27" t="s">
        <v>1351</v>
      </c>
      <c r="J364" s="30" t="s">
        <v>116</v>
      </c>
      <c r="K364" s="21"/>
      <c r="L364" s="21"/>
      <c r="M364" s="30" t="s">
        <v>116</v>
      </c>
      <c r="N364" s="30" t="s">
        <v>116</v>
      </c>
      <c r="O364" s="21"/>
      <c r="P364" s="21"/>
      <c r="Q364" s="21"/>
      <c r="R364" s="21"/>
      <c r="S364" s="21"/>
      <c r="T364" s="21"/>
      <c r="U364" s="27" t="s">
        <v>195</v>
      </c>
      <c r="V364" s="27" t="s">
        <v>196</v>
      </c>
    </row>
    <row r="365" ht="14.25" customHeight="1">
      <c r="A365" s="27" t="s">
        <v>756</v>
      </c>
      <c r="B365" s="27" t="s">
        <v>755</v>
      </c>
      <c r="C365" s="27" t="str">
        <f t="array" ref="C365">INDEX(Funciones!$G$2:$G$372,MATCH($A365,Funciones!$B$2:$B$372,0))</f>
        <v>Transmitir la fuerza a zapatas hasta detener el vehiculo</v>
      </c>
      <c r="D365" s="27" t="s">
        <v>3977</v>
      </c>
      <c r="E365" s="27" t="s">
        <v>1749</v>
      </c>
      <c r="F365" s="27" t="s">
        <v>3717</v>
      </c>
      <c r="G365" s="27" t="s">
        <v>3585</v>
      </c>
      <c r="H365" s="18" t="str">
        <f t="array" ref="H365">_xlfn.XLOOKUP(E:E,'Calificación consecuencia'!B:B,'Calificación consecuencia'!K:K,"No encontrada",2)</f>
        <v>Baja</v>
      </c>
      <c r="I365" s="27" t="s">
        <v>425</v>
      </c>
      <c r="J365" s="30" t="s">
        <v>116</v>
      </c>
      <c r="K365" s="21"/>
      <c r="L365" s="21"/>
      <c r="M365" s="30" t="s">
        <v>116</v>
      </c>
      <c r="N365" s="30" t="s">
        <v>116</v>
      </c>
      <c r="O365" s="21"/>
      <c r="P365" s="21"/>
      <c r="Q365" s="21"/>
      <c r="R365" s="21"/>
      <c r="S365" s="21"/>
      <c r="T365" s="21"/>
      <c r="U365" s="27" t="s">
        <v>195</v>
      </c>
      <c r="V365" s="27" t="s">
        <v>196</v>
      </c>
    </row>
    <row r="366" ht="14.25" customHeight="1">
      <c r="A366" s="9" t="s">
        <v>766</v>
      </c>
      <c r="B366" s="9" t="s">
        <v>765</v>
      </c>
      <c r="C366" s="9" t="str">
        <f t="array" ref="C366">INDEX(Funciones!$G$2:$G$372,MATCH($A366,Funciones!$B$2:$B$372,0))</f>
        <v>Elevar la presión del combustible [ESTÁNDAR POR CONFIRMAR]</v>
      </c>
      <c r="D366" s="9" t="s">
        <v>3984</v>
      </c>
      <c r="E366" s="9" t="s">
        <v>2312</v>
      </c>
      <c r="F366" s="9" t="s">
        <v>3985</v>
      </c>
      <c r="G366" s="9" t="s">
        <v>3986</v>
      </c>
      <c r="H366" s="18" t="str">
        <f t="array" ref="H366">_xlfn.XLOOKUP(E:E,'Calificación consecuencia'!B:B,'Calificación consecuencia'!K:K,"No encontrada",2)</f>
        <v>Media</v>
      </c>
      <c r="I366" s="9" t="s">
        <v>1800</v>
      </c>
      <c r="J366" s="22" t="s">
        <v>120</v>
      </c>
      <c r="K366" s="20" t="s">
        <v>116</v>
      </c>
      <c r="L366" s="21"/>
      <c r="M366" s="21"/>
      <c r="N366" s="21"/>
      <c r="O366" s="21"/>
      <c r="P366" s="21"/>
      <c r="Q366" s="21"/>
      <c r="R366" s="21"/>
      <c r="S366" s="21"/>
      <c r="T366" s="21"/>
      <c r="U366" s="9" t="s">
        <v>439</v>
      </c>
      <c r="V366" s="9" t="s">
        <v>440</v>
      </c>
    </row>
    <row r="367" ht="14.25" customHeight="1">
      <c r="A367" s="9" t="s">
        <v>766</v>
      </c>
      <c r="B367" s="9" t="s">
        <v>765</v>
      </c>
      <c r="C367" s="9" t="str">
        <f t="array" ref="C367">INDEX(Funciones!$G$2:$G$372,MATCH($A367,Funciones!$B$2:$B$372,0))</f>
        <v>Elevar la presión del combustible [ESTÁNDAR POR CONFIRMAR]</v>
      </c>
      <c r="D367" s="9" t="s">
        <v>3987</v>
      </c>
      <c r="E367" s="9" t="s">
        <v>2317</v>
      </c>
      <c r="F367" s="9" t="s">
        <v>3988</v>
      </c>
      <c r="G367" s="9" t="s">
        <v>3989</v>
      </c>
      <c r="H367" s="18" t="str">
        <f t="array" ref="H367">_xlfn.XLOOKUP(E:E,'Calificación consecuencia'!B:B,'Calificación consecuencia'!K:K,"No encontrada",2)</f>
        <v>Baja</v>
      </c>
      <c r="I367" s="9" t="s">
        <v>1800</v>
      </c>
      <c r="J367" s="22" t="s">
        <v>120</v>
      </c>
      <c r="K367" s="20" t="s">
        <v>116</v>
      </c>
      <c r="L367" s="21"/>
      <c r="M367" s="21"/>
      <c r="N367" s="21"/>
      <c r="O367" s="21"/>
      <c r="P367" s="21"/>
      <c r="Q367" s="21"/>
      <c r="R367" s="21"/>
      <c r="S367" s="21"/>
      <c r="T367" s="21"/>
      <c r="U367" s="9" t="s">
        <v>439</v>
      </c>
      <c r="V367" s="9" t="s">
        <v>440</v>
      </c>
    </row>
    <row r="368" ht="14.25" customHeight="1">
      <c r="A368" s="9" t="s">
        <v>766</v>
      </c>
      <c r="B368" s="9" t="s">
        <v>765</v>
      </c>
      <c r="C368" s="9" t="str">
        <f t="array" ref="C368">INDEX(Funciones!$G$2:$G$372,MATCH($A368,Funciones!$B$2:$B$372,0))</f>
        <v>Elevar la presión del combustible [ESTÁNDAR POR CONFIRMAR]</v>
      </c>
      <c r="D368" s="9" t="s">
        <v>3987</v>
      </c>
      <c r="E368" s="9" t="s">
        <v>2325</v>
      </c>
      <c r="F368" s="9" t="s">
        <v>3990</v>
      </c>
      <c r="G368" s="9" t="s">
        <v>3991</v>
      </c>
      <c r="H368" s="18" t="str">
        <f t="array" ref="H368">_xlfn.XLOOKUP(E:E,'Calificación consecuencia'!B:B,'Calificación consecuencia'!K:K,"No encontrada",2)</f>
        <v>Baja</v>
      </c>
      <c r="I368" s="9" t="s">
        <v>1800</v>
      </c>
      <c r="J368" s="22" t="s">
        <v>120</v>
      </c>
      <c r="K368" s="20" t="s">
        <v>116</v>
      </c>
      <c r="L368" s="21"/>
      <c r="M368" s="21"/>
      <c r="N368" s="21"/>
      <c r="O368" s="21"/>
      <c r="P368" s="21"/>
      <c r="Q368" s="21"/>
      <c r="R368" s="21"/>
      <c r="S368" s="21"/>
      <c r="T368" s="21"/>
      <c r="U368" s="9" t="s">
        <v>439</v>
      </c>
      <c r="V368" s="9" t="s">
        <v>440</v>
      </c>
    </row>
    <row r="369" ht="14.25" customHeight="1">
      <c r="A369" s="9" t="s">
        <v>766</v>
      </c>
      <c r="B369" s="9" t="s">
        <v>765</v>
      </c>
      <c r="C369" s="9" t="str">
        <f t="array" ref="C369">INDEX(Funciones!$G$2:$G$372,MATCH($A369,Funciones!$B$2:$B$372,0))</f>
        <v>Elevar la presión del combustible [ESTÁNDAR POR CONFIRMAR]</v>
      </c>
      <c r="D369" s="9" t="s">
        <v>3987</v>
      </c>
      <c r="E369" s="9" t="s">
        <v>2333</v>
      </c>
      <c r="F369" s="9" t="s">
        <v>3992</v>
      </c>
      <c r="G369" s="9" t="s">
        <v>3993</v>
      </c>
      <c r="H369" s="18" t="str">
        <f t="array" ref="H369">_xlfn.XLOOKUP(E:E,'Calificación consecuencia'!B:B,'Calificación consecuencia'!K:K,"No encontrada",2)</f>
        <v>Baja</v>
      </c>
      <c r="I369" s="9" t="s">
        <v>1800</v>
      </c>
      <c r="J369" s="22" t="s">
        <v>120</v>
      </c>
      <c r="K369" s="20" t="s">
        <v>116</v>
      </c>
      <c r="L369" s="21"/>
      <c r="M369" s="21"/>
      <c r="N369" s="21"/>
      <c r="O369" s="21"/>
      <c r="P369" s="21"/>
      <c r="Q369" s="21"/>
      <c r="R369" s="21"/>
      <c r="S369" s="21"/>
      <c r="T369" s="21"/>
      <c r="U369" s="9" t="s">
        <v>439</v>
      </c>
      <c r="V369" s="9" t="s">
        <v>440</v>
      </c>
    </row>
    <row r="370" ht="14.25" customHeight="1">
      <c r="A370" s="27" t="s">
        <v>779</v>
      </c>
      <c r="B370" s="27" t="s">
        <v>778</v>
      </c>
      <c r="C370" s="27" t="str">
        <f t="array" ref="C370">INDEX(Funciones!$G$2:$G$372,MATCH($A370,Funciones!$B$2:$B$372,0))</f>
        <v>Entregar potencia mecánica [ESTÁNDAR POR CONFIRMAR]</v>
      </c>
      <c r="D370" s="27" t="s">
        <v>3994</v>
      </c>
      <c r="E370" s="27" t="s">
        <v>1339</v>
      </c>
      <c r="F370" s="27" t="s">
        <v>3995</v>
      </c>
      <c r="G370" s="27" t="s">
        <v>3374</v>
      </c>
      <c r="H370" s="18" t="str">
        <f t="array" ref="H370">_xlfn.XLOOKUP(E:E,'Calificación consecuencia'!B:B,'Calificación consecuencia'!K:K,"No encontrada",2)</f>
        <v>Media</v>
      </c>
      <c r="I370" s="27" t="s">
        <v>1800</v>
      </c>
      <c r="J370" s="30" t="s">
        <v>116</v>
      </c>
      <c r="K370" s="21"/>
      <c r="L370" s="21"/>
      <c r="M370" s="29" t="s">
        <v>120</v>
      </c>
      <c r="N370" s="21"/>
      <c r="O370" s="30" t="s">
        <v>116</v>
      </c>
      <c r="P370" s="30" t="s">
        <v>116</v>
      </c>
      <c r="Q370" s="21"/>
      <c r="R370" s="21"/>
      <c r="S370" s="21"/>
      <c r="T370" s="21"/>
      <c r="U370" s="27" t="s">
        <v>345</v>
      </c>
      <c r="V370" s="27" t="s">
        <v>196</v>
      </c>
    </row>
    <row r="371" ht="14.25" customHeight="1">
      <c r="A371" s="27" t="s">
        <v>779</v>
      </c>
      <c r="B371" s="27" t="s">
        <v>778</v>
      </c>
      <c r="C371" s="27" t="str">
        <f t="array" ref="C371">INDEX(Funciones!$G$2:$G$372,MATCH($A371,Funciones!$B$2:$B$372,0))</f>
        <v>Entregar potencia mecánica [ESTÁNDAR POR CONFIRMAR]</v>
      </c>
      <c r="D371" s="27" t="s">
        <v>3994</v>
      </c>
      <c r="E371" s="27" t="s">
        <v>1786</v>
      </c>
      <c r="F371" s="27" t="s">
        <v>3996</v>
      </c>
      <c r="G371" s="27" t="s">
        <v>3378</v>
      </c>
      <c r="H371" s="18" t="str">
        <f t="array" ref="H371">_xlfn.XLOOKUP(E:E,'Calificación consecuencia'!B:B,'Calificación consecuencia'!K:K,"No encontrada",2)</f>
        <v>Baja</v>
      </c>
      <c r="I371" s="27" t="s">
        <v>2106</v>
      </c>
      <c r="J371" s="30" t="s">
        <v>116</v>
      </c>
      <c r="K371" s="21"/>
      <c r="L371" s="21"/>
      <c r="M371" s="29" t="s">
        <v>120</v>
      </c>
      <c r="N371" s="21"/>
      <c r="O371" s="29" t="s">
        <v>120</v>
      </c>
      <c r="P371" s="21"/>
      <c r="Q371" s="21"/>
      <c r="R371" s="21"/>
      <c r="S371" s="29" t="s">
        <v>120</v>
      </c>
      <c r="T371" s="21"/>
      <c r="U371" s="27" t="s">
        <v>1680</v>
      </c>
      <c r="V371" s="27" t="s">
        <v>1408</v>
      </c>
    </row>
    <row r="372" ht="14.25" customHeight="1">
      <c r="A372" s="27" t="s">
        <v>779</v>
      </c>
      <c r="B372" s="27" t="s">
        <v>778</v>
      </c>
      <c r="C372" s="27" t="str">
        <f t="array" ref="C372">INDEX(Funciones!$G$2:$G$372,MATCH($A372,Funciones!$B$2:$B$372,0))</f>
        <v>Entregar potencia mecánica [ESTÁNDAR POR CONFIRMAR]</v>
      </c>
      <c r="D372" s="27" t="s">
        <v>3997</v>
      </c>
      <c r="E372" s="27" t="s">
        <v>1350</v>
      </c>
      <c r="F372" s="27" t="s">
        <v>3998</v>
      </c>
      <c r="G372" s="27" t="s">
        <v>3382</v>
      </c>
      <c r="H372" s="18" t="str">
        <f t="array" ref="H372">_xlfn.XLOOKUP(E:E,'Calificación consecuencia'!B:B,'Calificación consecuencia'!K:K,"No encontrada",2)</f>
        <v>Baja</v>
      </c>
      <c r="I372" s="27" t="s">
        <v>2106</v>
      </c>
      <c r="J372" s="30" t="s">
        <v>116</v>
      </c>
      <c r="K372" s="21"/>
      <c r="L372" s="21"/>
      <c r="M372" s="29" t="s">
        <v>120</v>
      </c>
      <c r="N372" s="21"/>
      <c r="O372" s="29" t="s">
        <v>120</v>
      </c>
      <c r="P372" s="21"/>
      <c r="Q372" s="21"/>
      <c r="R372" s="21"/>
      <c r="S372" s="29" t="s">
        <v>120</v>
      </c>
      <c r="T372" s="21"/>
      <c r="U372" s="27" t="s">
        <v>1680</v>
      </c>
      <c r="V372" s="27" t="s">
        <v>1408</v>
      </c>
    </row>
    <row r="373" ht="14.25" customHeight="1">
      <c r="A373" s="27" t="s">
        <v>779</v>
      </c>
      <c r="B373" s="27" t="s">
        <v>778</v>
      </c>
      <c r="C373" s="27" t="str">
        <f t="array" ref="C373">INDEX(Funciones!$G$2:$G$372,MATCH($A373,Funciones!$B$2:$B$372,0))</f>
        <v>Entregar potencia mecánica [ESTÁNDAR POR CONFIRMAR]</v>
      </c>
      <c r="D373" s="27" t="s">
        <v>3997</v>
      </c>
      <c r="E373" s="27" t="s">
        <v>1794</v>
      </c>
      <c r="F373" s="27" t="s">
        <v>3999</v>
      </c>
      <c r="G373" s="27" t="s">
        <v>3614</v>
      </c>
      <c r="H373" s="18" t="str">
        <f t="array" ref="H373">_xlfn.XLOOKUP(E:E,'Calificación consecuencia'!B:B,'Calificación consecuencia'!K:K,"No encontrada",2)</f>
        <v>Baja</v>
      </c>
      <c r="I373" s="27" t="s">
        <v>1800</v>
      </c>
      <c r="J373" s="30" t="s">
        <v>116</v>
      </c>
      <c r="K373" s="21"/>
      <c r="L373" s="21"/>
      <c r="M373" s="29" t="s">
        <v>120</v>
      </c>
      <c r="N373" s="21"/>
      <c r="O373" s="30" t="s">
        <v>116</v>
      </c>
      <c r="P373" s="30" t="s">
        <v>116</v>
      </c>
      <c r="Q373" s="21"/>
      <c r="R373" s="21"/>
      <c r="S373" s="21"/>
      <c r="T373" s="21"/>
      <c r="U373" s="27" t="s">
        <v>345</v>
      </c>
      <c r="V373" s="27" t="s">
        <v>196</v>
      </c>
    </row>
    <row r="374" ht="14.25" customHeight="1">
      <c r="A374" s="27" t="s">
        <v>779</v>
      </c>
      <c r="B374" s="27" t="s">
        <v>778</v>
      </c>
      <c r="C374" s="27" t="str">
        <f t="array" ref="C374">INDEX(Funciones!$G$2:$G$372,MATCH($A374,Funciones!$B$2:$B$372,0))</f>
        <v>Entregar potencia mecánica [ESTÁNDAR POR CONFIRMAR]</v>
      </c>
      <c r="D374" s="27" t="s">
        <v>3997</v>
      </c>
      <c r="E374" s="27" t="s">
        <v>2376</v>
      </c>
      <c r="F374" s="27" t="s">
        <v>4000</v>
      </c>
      <c r="G374" s="27" t="s">
        <v>1493</v>
      </c>
      <c r="H374" s="18" t="str">
        <f t="array" ref="H374">_xlfn.XLOOKUP(E:E,'Calificación consecuencia'!B:B,'Calificación consecuencia'!K:K,"No encontrada",2)</f>
        <v>Baja</v>
      </c>
      <c r="I374" s="27" t="s">
        <v>2106</v>
      </c>
      <c r="J374" s="30" t="s">
        <v>116</v>
      </c>
      <c r="K374" s="21"/>
      <c r="L374" s="21"/>
      <c r="M374" s="29" t="s">
        <v>120</v>
      </c>
      <c r="N374" s="21"/>
      <c r="O374" s="29" t="s">
        <v>120</v>
      </c>
      <c r="P374" s="21"/>
      <c r="Q374" s="21"/>
      <c r="R374" s="21"/>
      <c r="S374" s="29" t="s">
        <v>120</v>
      </c>
      <c r="T374" s="21"/>
      <c r="U374" s="27" t="s">
        <v>1680</v>
      </c>
      <c r="V374" s="27" t="s">
        <v>1408</v>
      </c>
    </row>
    <row r="375" ht="14.25" customHeight="1">
      <c r="A375" s="9" t="s">
        <v>788</v>
      </c>
      <c r="B375" s="9" t="s">
        <v>787</v>
      </c>
      <c r="C375" s="9" t="str">
        <f t="array" ref="C375">INDEX(Funciones!$G$2:$G$372,MATCH($A375,Funciones!$B$2:$B$372,0))</f>
        <v>Transmitir el par motriz [ESTÁNDAR POR CONFIRMAR]</v>
      </c>
      <c r="D375" s="9" t="s">
        <v>4001</v>
      </c>
      <c r="E375" s="9" t="s">
        <v>1305</v>
      </c>
      <c r="F375" s="9" t="s">
        <v>3357</v>
      </c>
      <c r="G375" s="9" t="s">
        <v>3358</v>
      </c>
      <c r="H375" s="18" t="str">
        <f t="array" ref="H375">_xlfn.XLOOKUP(E:E,'Calificación consecuencia'!B:B,'Calificación consecuencia'!K:K,"No encontrada",2)</f>
        <v>Baja</v>
      </c>
      <c r="I375" s="9" t="s">
        <v>1800</v>
      </c>
      <c r="J375" s="20" t="s">
        <v>116</v>
      </c>
      <c r="K375" s="21"/>
      <c r="L375" s="21"/>
      <c r="M375" s="22" t="s">
        <v>120</v>
      </c>
      <c r="N375" s="21"/>
      <c r="O375" s="20" t="s">
        <v>116</v>
      </c>
      <c r="P375" s="20" t="s">
        <v>116</v>
      </c>
      <c r="Q375" s="21"/>
      <c r="R375" s="21"/>
      <c r="S375" s="21"/>
      <c r="T375" s="21"/>
      <c r="U375" s="9" t="s">
        <v>345</v>
      </c>
      <c r="V375" s="9" t="s">
        <v>196</v>
      </c>
    </row>
    <row r="376" ht="14.25" customHeight="1">
      <c r="A376" s="9" t="s">
        <v>788</v>
      </c>
      <c r="B376" s="9" t="s">
        <v>787</v>
      </c>
      <c r="C376" s="9" t="str">
        <f t="array" ref="C376">INDEX(Funciones!$G$2:$G$372,MATCH($A376,Funciones!$B$2:$B$372,0))</f>
        <v>Transmitir el par motriz [ESTÁNDAR POR CONFIRMAR]</v>
      </c>
      <c r="D376" s="9" t="s">
        <v>4001</v>
      </c>
      <c r="E376" s="9" t="s">
        <v>1311</v>
      </c>
      <c r="F376" s="9" t="s">
        <v>3363</v>
      </c>
      <c r="G376" s="9" t="s">
        <v>3364</v>
      </c>
      <c r="H376" s="18" t="str">
        <f t="array" ref="H376">_xlfn.XLOOKUP(E:E,'Calificación consecuencia'!B:B,'Calificación consecuencia'!K:K,"No encontrada",2)</f>
        <v>Baja</v>
      </c>
      <c r="I376" s="9" t="s">
        <v>1800</v>
      </c>
      <c r="J376" s="20" t="s">
        <v>116</v>
      </c>
      <c r="K376" s="21"/>
      <c r="L376" s="21"/>
      <c r="M376" s="22" t="s">
        <v>120</v>
      </c>
      <c r="N376" s="21"/>
      <c r="O376" s="20" t="s">
        <v>116</v>
      </c>
      <c r="P376" s="20" t="s">
        <v>116</v>
      </c>
      <c r="Q376" s="21"/>
      <c r="R376" s="21"/>
      <c r="S376" s="21"/>
      <c r="T376" s="21"/>
      <c r="U376" s="9" t="s">
        <v>345</v>
      </c>
      <c r="V376" s="9" t="s">
        <v>196</v>
      </c>
    </row>
    <row r="377" ht="14.25" customHeight="1">
      <c r="A377" s="9" t="s">
        <v>788</v>
      </c>
      <c r="B377" s="9" t="s">
        <v>787</v>
      </c>
      <c r="C377" s="9" t="str">
        <f t="array" ref="C377">INDEX(Funciones!$G$2:$G$372,MATCH($A377,Funciones!$B$2:$B$372,0))</f>
        <v>Transmitir el par motriz [ESTÁNDAR POR CONFIRMAR]</v>
      </c>
      <c r="D377" s="9" t="s">
        <v>4001</v>
      </c>
      <c r="E377" s="9" t="s">
        <v>1315</v>
      </c>
      <c r="F377" s="9" t="s">
        <v>3365</v>
      </c>
      <c r="G377" s="9" t="s">
        <v>3366</v>
      </c>
      <c r="H377" s="18" t="str">
        <f t="array" ref="H377">_xlfn.XLOOKUP(E:E,'Calificación consecuencia'!B:B,'Calificación consecuencia'!K:K,"No encontrada",2)</f>
        <v>Baja</v>
      </c>
      <c r="I377" s="9" t="s">
        <v>1800</v>
      </c>
      <c r="J377" s="20" t="s">
        <v>116</v>
      </c>
      <c r="K377" s="21"/>
      <c r="L377" s="21"/>
      <c r="M377" s="22" t="s">
        <v>120</v>
      </c>
      <c r="N377" s="21"/>
      <c r="O377" s="20" t="s">
        <v>116</v>
      </c>
      <c r="P377" s="20" t="s">
        <v>116</v>
      </c>
      <c r="Q377" s="21"/>
      <c r="R377" s="21"/>
      <c r="S377" s="21"/>
      <c r="T377" s="21"/>
      <c r="U377" s="9" t="s">
        <v>345</v>
      </c>
      <c r="V377" s="9" t="s">
        <v>196</v>
      </c>
    </row>
    <row r="378" ht="14.25" customHeight="1">
      <c r="A378" s="9" t="s">
        <v>788</v>
      </c>
      <c r="B378" s="9" t="s">
        <v>787</v>
      </c>
      <c r="C378" s="9" t="str">
        <f t="array" ref="C378">INDEX(Funciones!$G$2:$G$372,MATCH($A378,Funciones!$B$2:$B$372,0))</f>
        <v>Transmitir el par motriz [ESTÁNDAR POR CONFIRMAR]</v>
      </c>
      <c r="D378" s="9" t="s">
        <v>4002</v>
      </c>
      <c r="E378" s="9" t="s">
        <v>1325</v>
      </c>
      <c r="F378" s="9" t="s">
        <v>3368</v>
      </c>
      <c r="G378" s="9" t="s">
        <v>3369</v>
      </c>
      <c r="H378" s="18" t="str">
        <f t="array" ref="H378">_xlfn.XLOOKUP(E:E,'Calificación consecuencia'!B:B,'Calificación consecuencia'!K:K,"No encontrada",2)</f>
        <v>Baja</v>
      </c>
      <c r="I378" s="9" t="s">
        <v>1800</v>
      </c>
      <c r="J378" s="20" t="s">
        <v>116</v>
      </c>
      <c r="K378" s="21"/>
      <c r="L378" s="21"/>
      <c r="M378" s="22" t="s">
        <v>120</v>
      </c>
      <c r="N378" s="21"/>
      <c r="O378" s="20" t="s">
        <v>116</v>
      </c>
      <c r="P378" s="20" t="s">
        <v>116</v>
      </c>
      <c r="Q378" s="21"/>
      <c r="R378" s="21"/>
      <c r="S378" s="21"/>
      <c r="T378" s="21"/>
      <c r="U378" s="9" t="s">
        <v>345</v>
      </c>
      <c r="V378" s="9" t="s">
        <v>196</v>
      </c>
    </row>
    <row r="379" ht="14.25" customHeight="1">
      <c r="A379" s="9" t="s">
        <v>788</v>
      </c>
      <c r="B379" s="9" t="s">
        <v>787</v>
      </c>
      <c r="C379" s="9" t="str">
        <f t="array" ref="C379">INDEX(Funciones!$G$2:$G$372,MATCH($A379,Funciones!$B$2:$B$372,0))</f>
        <v>Transmitir el par motriz [ESTÁNDAR POR CONFIRMAR]</v>
      </c>
      <c r="D379" s="9" t="s">
        <v>4002</v>
      </c>
      <c r="E379" s="9" t="s">
        <v>1333</v>
      </c>
      <c r="F379" s="9" t="s">
        <v>3370</v>
      </c>
      <c r="G379" s="9" t="s">
        <v>3371</v>
      </c>
      <c r="H379" s="18" t="str">
        <f t="array" ref="H379">_xlfn.XLOOKUP(E:E,'Calificación consecuencia'!B:B,'Calificación consecuencia'!K:K,"No encontrada",2)</f>
        <v>Baja</v>
      </c>
      <c r="I379" s="9" t="s">
        <v>1800</v>
      </c>
      <c r="J379" s="20" t="s">
        <v>116</v>
      </c>
      <c r="K379" s="21"/>
      <c r="L379" s="21"/>
      <c r="M379" s="22" t="s">
        <v>120</v>
      </c>
      <c r="N379" s="21"/>
      <c r="O379" s="20" t="s">
        <v>116</v>
      </c>
      <c r="P379" s="20" t="s">
        <v>116</v>
      </c>
      <c r="Q379" s="21"/>
      <c r="R379" s="21"/>
      <c r="S379" s="21"/>
      <c r="T379" s="21"/>
      <c r="U379" s="9" t="s">
        <v>345</v>
      </c>
      <c r="V379" s="9" t="s">
        <v>196</v>
      </c>
    </row>
    <row r="380" ht="14.25" customHeight="1">
      <c r="A380" s="27" t="s">
        <v>796</v>
      </c>
      <c r="B380" s="27" t="s">
        <v>795</v>
      </c>
      <c r="C380" s="27" t="str">
        <f t="array" ref="C380">INDEX(Funciones!$G$2:$G$372,MATCH($A380,Funciones!$B$2:$B$372,0))</f>
        <v>Recorrer curvas de radio mínimo de 90 m</v>
      </c>
      <c r="D380" s="27" t="s">
        <v>4003</v>
      </c>
      <c r="E380" s="27" t="s">
        <v>2410</v>
      </c>
      <c r="F380" s="27" t="s">
        <v>4004</v>
      </c>
      <c r="G380" s="27" t="s">
        <v>4005</v>
      </c>
      <c r="H380" s="18" t="str">
        <f t="array" ref="H380">_xlfn.XLOOKUP(E:E,'Calificación consecuencia'!B:B,'Calificación consecuencia'!K:K,"No encontrada",2)</f>
        <v>Media</v>
      </c>
      <c r="I380" s="27" t="s">
        <v>425</v>
      </c>
      <c r="J380" s="30" t="s">
        <v>116</v>
      </c>
      <c r="K380" s="21"/>
      <c r="L380" s="21"/>
      <c r="M380" s="30" t="s">
        <v>116</v>
      </c>
      <c r="N380" s="30" t="s">
        <v>116</v>
      </c>
      <c r="O380" s="21"/>
      <c r="P380" s="21"/>
      <c r="Q380" s="21"/>
      <c r="R380" s="21"/>
      <c r="S380" s="21"/>
      <c r="T380" s="21"/>
      <c r="U380" s="27" t="s">
        <v>195</v>
      </c>
      <c r="V380" s="27" t="s">
        <v>196</v>
      </c>
    </row>
    <row r="381" ht="14.25" customHeight="1">
      <c r="A381" s="27" t="s">
        <v>796</v>
      </c>
      <c r="B381" s="27" t="s">
        <v>795</v>
      </c>
      <c r="C381" s="27" t="str">
        <f t="array" ref="C381">INDEX(Funciones!$G$2:$G$372,MATCH($A381,Funciones!$B$2:$B$372,0))</f>
        <v>Recorrer curvas de radio mínimo de 90 m</v>
      </c>
      <c r="D381" s="27" t="s">
        <v>4006</v>
      </c>
      <c r="E381" s="27" t="s">
        <v>2413</v>
      </c>
      <c r="F381" s="27" t="s">
        <v>4007</v>
      </c>
      <c r="G381" s="27" t="s">
        <v>4008</v>
      </c>
      <c r="H381" s="18" t="str">
        <f t="array" ref="H381">_xlfn.XLOOKUP(E:E,'Calificación consecuencia'!B:B,'Calificación consecuencia'!K:K,"No encontrada",2)</f>
        <v>Media</v>
      </c>
      <c r="I381" s="27" t="s">
        <v>1351</v>
      </c>
      <c r="J381" s="30" t="s">
        <v>116</v>
      </c>
      <c r="K381" s="21"/>
      <c r="L381" s="21"/>
      <c r="M381" s="30" t="s">
        <v>116</v>
      </c>
      <c r="N381" s="30" t="s">
        <v>116</v>
      </c>
      <c r="O381" s="21"/>
      <c r="P381" s="21"/>
      <c r="Q381" s="21"/>
      <c r="R381" s="21"/>
      <c r="S381" s="21"/>
      <c r="T381" s="21"/>
      <c r="U381" s="27" t="s">
        <v>195</v>
      </c>
      <c r="V381" s="27" t="s">
        <v>196</v>
      </c>
    </row>
    <row r="382" ht="14.25" customHeight="1">
      <c r="A382" s="27" t="s">
        <v>796</v>
      </c>
      <c r="B382" s="27" t="s">
        <v>795</v>
      </c>
      <c r="C382" s="27" t="str">
        <f t="array" ref="C382">INDEX(Funciones!$G$2:$G$372,MATCH($A382,Funciones!$B$2:$B$372,0))</f>
        <v>Recorrer curvas de radio mínimo de 90 m</v>
      </c>
      <c r="D382" s="27" t="s">
        <v>4006</v>
      </c>
      <c r="E382" s="27" t="s">
        <v>2415</v>
      </c>
      <c r="F382" s="27" t="s">
        <v>4009</v>
      </c>
      <c r="G382" s="27" t="s">
        <v>4010</v>
      </c>
      <c r="H382" s="18" t="str">
        <f t="array" ref="H382">_xlfn.XLOOKUP(E:E,'Calificación consecuencia'!B:B,'Calificación consecuencia'!K:K,"No encontrada",2)</f>
        <v>Media</v>
      </c>
      <c r="I382" s="27" t="s">
        <v>1800</v>
      </c>
      <c r="J382" s="30" t="s">
        <v>116</v>
      </c>
      <c r="K382" s="21"/>
      <c r="L382" s="21"/>
      <c r="M382" s="30" t="s">
        <v>116</v>
      </c>
      <c r="N382" s="29" t="s">
        <v>120</v>
      </c>
      <c r="O382" s="21"/>
      <c r="P382" s="21"/>
      <c r="Q382" s="21"/>
      <c r="R382" s="21"/>
      <c r="S382" s="21"/>
      <c r="T382" s="21"/>
      <c r="U382" s="27" t="s">
        <v>230</v>
      </c>
      <c r="V382" s="27" t="s">
        <v>230</v>
      </c>
    </row>
    <row r="383" ht="14.25" customHeight="1">
      <c r="A383" s="9" t="s">
        <v>810</v>
      </c>
      <c r="B383" s="9" t="s">
        <v>809</v>
      </c>
      <c r="C383" s="9" t="str">
        <f t="array" ref="C383">INDEX(Funciones!$G$2:$G$372,MATCH($A383,Funciones!$B$2:$B$372,0))</f>
        <v>Comprimir el aire a una presión de _____ bar</v>
      </c>
      <c r="D383" s="9" t="s">
        <v>3403</v>
      </c>
      <c r="E383" s="9" t="s">
        <v>999</v>
      </c>
      <c r="F383" s="9" t="s">
        <v>2657</v>
      </c>
      <c r="G383" s="9" t="s">
        <v>2658</v>
      </c>
      <c r="H383" s="18" t="str">
        <f t="array" ref="H383">_xlfn.XLOOKUP(E:E,'Calificación consecuencia'!B:B,'Calificación consecuencia'!K:K,"No encontrada",2)</f>
        <v>Media</v>
      </c>
      <c r="I383" s="9" t="s">
        <v>1800</v>
      </c>
      <c r="J383" s="20" t="s">
        <v>116</v>
      </c>
      <c r="K383" s="21"/>
      <c r="L383" s="21"/>
      <c r="M383" s="20" t="s">
        <v>116</v>
      </c>
      <c r="N383" s="20" t="s">
        <v>116</v>
      </c>
      <c r="O383" s="21"/>
      <c r="P383" s="21"/>
      <c r="Q383" s="21"/>
      <c r="R383" s="21"/>
      <c r="S383" s="21"/>
      <c r="T383" s="21"/>
      <c r="U383" s="9" t="s">
        <v>195</v>
      </c>
      <c r="V383" s="9" t="s">
        <v>196</v>
      </c>
    </row>
    <row r="384" ht="14.25" customHeight="1">
      <c r="A384" s="9" t="s">
        <v>810</v>
      </c>
      <c r="B384" s="9" t="s">
        <v>809</v>
      </c>
      <c r="C384" s="9" t="str">
        <f t="array" ref="C384">INDEX(Funciones!$G$2:$G$372,MATCH($A384,Funciones!$B$2:$B$372,0))</f>
        <v>Comprimir el aire a una presión de _____ bar</v>
      </c>
      <c r="D384" s="9" t="s">
        <v>3403</v>
      </c>
      <c r="E384" s="9" t="s">
        <v>1005</v>
      </c>
      <c r="F384" s="9" t="s">
        <v>2677</v>
      </c>
      <c r="G384" s="9" t="s">
        <v>2679</v>
      </c>
      <c r="H384" s="18" t="str">
        <f t="array" ref="H384">_xlfn.XLOOKUP(E:E,'Calificación consecuencia'!B:B,'Calificación consecuencia'!K:K,"No encontrada",2)</f>
        <v>Baja</v>
      </c>
      <c r="I384" s="9" t="s">
        <v>2694</v>
      </c>
      <c r="J384" s="20" t="s">
        <v>116</v>
      </c>
      <c r="K384" s="21"/>
      <c r="L384" s="21"/>
      <c r="M384" s="20" t="s">
        <v>116</v>
      </c>
      <c r="N384" s="20" t="s">
        <v>116</v>
      </c>
      <c r="O384" s="21"/>
      <c r="P384" s="21"/>
      <c r="Q384" s="21"/>
      <c r="R384" s="21"/>
      <c r="S384" s="21"/>
      <c r="T384" s="21"/>
      <c r="U384" s="9" t="s">
        <v>195</v>
      </c>
      <c r="V384" s="9" t="s">
        <v>196</v>
      </c>
    </row>
    <row r="385" ht="14.25" customHeight="1">
      <c r="A385" s="9" t="s">
        <v>810</v>
      </c>
      <c r="B385" s="9" t="s">
        <v>809</v>
      </c>
      <c r="C385" s="9" t="str">
        <f t="array" ref="C385">INDEX(Funciones!$G$2:$G$372,MATCH($A385,Funciones!$B$2:$B$372,0))</f>
        <v>Comprimir el aire a una presión de _____ bar</v>
      </c>
      <c r="D385" s="9" t="s">
        <v>3403</v>
      </c>
      <c r="E385" s="9" t="s">
        <v>1017</v>
      </c>
      <c r="F385" s="9" t="s">
        <v>2709</v>
      </c>
      <c r="G385" s="9" t="s">
        <v>2710</v>
      </c>
      <c r="H385" s="18" t="str">
        <f t="array" ref="H385">_xlfn.XLOOKUP(E:E,'Calificación consecuencia'!B:B,'Calificación consecuencia'!K:K,"No encontrada",2)</f>
        <v>Media</v>
      </c>
      <c r="I385" s="9" t="s">
        <v>1800</v>
      </c>
      <c r="J385" s="20" t="s">
        <v>116</v>
      </c>
      <c r="K385" s="21"/>
      <c r="L385" s="21"/>
      <c r="M385" s="20" t="s">
        <v>116</v>
      </c>
      <c r="N385" s="20" t="s">
        <v>116</v>
      </c>
      <c r="O385" s="21"/>
      <c r="P385" s="21"/>
      <c r="Q385" s="21"/>
      <c r="R385" s="21"/>
      <c r="S385" s="21"/>
      <c r="T385" s="21"/>
      <c r="U385" s="9" t="s">
        <v>195</v>
      </c>
      <c r="V385" s="9" t="s">
        <v>196</v>
      </c>
    </row>
    <row r="386" ht="14.25" customHeight="1">
      <c r="A386" s="9" t="s">
        <v>810</v>
      </c>
      <c r="B386" s="9" t="s">
        <v>809</v>
      </c>
      <c r="C386" s="9" t="str">
        <f t="array" ref="C386">INDEX(Funciones!$G$2:$G$372,MATCH($A386,Funciones!$B$2:$B$372,0))</f>
        <v>Comprimir el aire a una presión de _____ bar</v>
      </c>
      <c r="D386" s="9" t="s">
        <v>3404</v>
      </c>
      <c r="E386" s="9" t="s">
        <v>727</v>
      </c>
      <c r="F386" s="9" t="s">
        <v>3405</v>
      </c>
      <c r="G386" s="9" t="s">
        <v>1792</v>
      </c>
      <c r="H386" s="18" t="str">
        <f t="array" ref="H386">_xlfn.XLOOKUP(E:E,'Calificación consecuencia'!B:B,'Calificación consecuencia'!K:K,"No encontrada",2)</f>
        <v>Baja</v>
      </c>
      <c r="I386" s="9" t="s">
        <v>1800</v>
      </c>
      <c r="J386" s="20" t="s">
        <v>116</v>
      </c>
      <c r="K386" s="21"/>
      <c r="L386" s="21"/>
      <c r="M386" s="22" t="s">
        <v>120</v>
      </c>
      <c r="N386" s="21"/>
      <c r="O386" s="20" t="s">
        <v>116</v>
      </c>
      <c r="P386" s="20" t="s">
        <v>116</v>
      </c>
      <c r="Q386" s="21"/>
      <c r="R386" s="21"/>
      <c r="S386" s="21"/>
      <c r="T386" s="21"/>
      <c r="U386" s="9" t="s">
        <v>345</v>
      </c>
      <c r="V386" s="9" t="s">
        <v>196</v>
      </c>
    </row>
    <row r="387" ht="14.25" customHeight="1">
      <c r="A387" s="9" t="s">
        <v>810</v>
      </c>
      <c r="B387" s="9" t="s">
        <v>809</v>
      </c>
      <c r="C387" s="9" t="str">
        <f t="array" ref="C387">INDEX(Funciones!$G$2:$G$372,MATCH($A387,Funciones!$B$2:$B$372,0))</f>
        <v>Comprimir el aire a una presión de _____ bar</v>
      </c>
      <c r="D387" s="9" t="s">
        <v>3404</v>
      </c>
      <c r="E387" s="9" t="s">
        <v>1036</v>
      </c>
      <c r="F387" s="9" t="s">
        <v>3406</v>
      </c>
      <c r="G387" s="9" t="s">
        <v>2810</v>
      </c>
      <c r="H387" s="18" t="str">
        <f t="array" ref="H387">_xlfn.XLOOKUP(E:E,'Calificación consecuencia'!B:B,'Calificación consecuencia'!K:K,"No encontrada",2)</f>
        <v>Baja</v>
      </c>
      <c r="I387" s="9" t="s">
        <v>2106</v>
      </c>
      <c r="J387" s="20" t="s">
        <v>116</v>
      </c>
      <c r="K387" s="21"/>
      <c r="L387" s="21"/>
      <c r="M387" s="22" t="s">
        <v>120</v>
      </c>
      <c r="N387" s="21"/>
      <c r="O387" s="20" t="s">
        <v>116</v>
      </c>
      <c r="P387" s="20" t="s">
        <v>116</v>
      </c>
      <c r="Q387" s="21"/>
      <c r="R387" s="21"/>
      <c r="S387" s="21"/>
      <c r="T387" s="21"/>
      <c r="U387" s="9" t="s">
        <v>345</v>
      </c>
      <c r="V387" s="9" t="s">
        <v>196</v>
      </c>
    </row>
    <row r="388" ht="14.25" customHeight="1">
      <c r="A388" s="9" t="s">
        <v>810</v>
      </c>
      <c r="B388" s="9" t="s">
        <v>809</v>
      </c>
      <c r="C388" s="9" t="str">
        <f t="array" ref="C388">INDEX(Funciones!$G$2:$G$372,MATCH($A388,Funciones!$B$2:$B$372,0))</f>
        <v>Comprimir el aire a una presión de _____ bar</v>
      </c>
      <c r="D388" s="9" t="s">
        <v>3409</v>
      </c>
      <c r="E388" s="9" t="s">
        <v>1421</v>
      </c>
      <c r="F388" s="9" t="s">
        <v>3410</v>
      </c>
      <c r="G388" s="9" t="s">
        <v>2841</v>
      </c>
      <c r="H388" s="18" t="str">
        <f t="array" ref="H388">_xlfn.XLOOKUP(E:E,'Calificación consecuencia'!B:B,'Calificación consecuencia'!K:K,"No encontrada",2)</f>
        <v>Baja</v>
      </c>
      <c r="I388" s="9" t="s">
        <v>2106</v>
      </c>
      <c r="J388" s="20" t="s">
        <v>116</v>
      </c>
      <c r="K388" s="21"/>
      <c r="L388" s="21"/>
      <c r="M388" s="22" t="s">
        <v>120</v>
      </c>
      <c r="N388" s="21"/>
      <c r="O388" s="22" t="s">
        <v>120</v>
      </c>
      <c r="P388" s="21"/>
      <c r="Q388" s="21"/>
      <c r="R388" s="21"/>
      <c r="S388" s="22" t="s">
        <v>120</v>
      </c>
      <c r="T388" s="21"/>
      <c r="U388" s="9" t="s">
        <v>1680</v>
      </c>
      <c r="V388" s="9" t="s">
        <v>1408</v>
      </c>
    </row>
    <row r="389" ht="14.25" customHeight="1">
      <c r="A389" s="9" t="s">
        <v>810</v>
      </c>
      <c r="B389" s="9" t="s">
        <v>809</v>
      </c>
      <c r="C389" s="9" t="str">
        <f t="array" ref="C389">INDEX(Funciones!$G$2:$G$372,MATCH($A389,Funciones!$B$2:$B$372,0))</f>
        <v>Comprimir el aire a una presión de _____ bar</v>
      </c>
      <c r="D389" s="9" t="s">
        <v>3409</v>
      </c>
      <c r="E389" s="9" t="s">
        <v>1426</v>
      </c>
      <c r="F389" s="9" t="s">
        <v>3411</v>
      </c>
      <c r="G389" s="9" t="s">
        <v>1888</v>
      </c>
      <c r="H389" s="18" t="str">
        <f t="array" ref="H389">_xlfn.XLOOKUP(E:E,'Calificación consecuencia'!B:B,'Calificación consecuencia'!K:K,"No encontrada",2)</f>
        <v>Baja</v>
      </c>
      <c r="I389" s="9" t="s">
        <v>2106</v>
      </c>
      <c r="J389" s="20" t="s">
        <v>116</v>
      </c>
      <c r="K389" s="21"/>
      <c r="L389" s="21"/>
      <c r="M389" s="22" t="s">
        <v>120</v>
      </c>
      <c r="N389" s="21"/>
      <c r="O389" s="22" t="s">
        <v>120</v>
      </c>
      <c r="P389" s="21"/>
      <c r="Q389" s="21"/>
      <c r="R389" s="21"/>
      <c r="S389" s="22" t="s">
        <v>120</v>
      </c>
      <c r="T389" s="21"/>
      <c r="U389" s="9" t="s">
        <v>1680</v>
      </c>
      <c r="V389" s="9" t="s">
        <v>1408</v>
      </c>
    </row>
    <row r="390" ht="14.25" customHeight="1">
      <c r="A390" s="27" t="s">
        <v>815</v>
      </c>
      <c r="B390" s="27" t="s">
        <v>809</v>
      </c>
      <c r="C390" s="27" t="str">
        <f t="array" ref="C390">INDEX(Funciones!$G$2:$G$372,MATCH($A390,Funciones!$B$2:$B$372,0))</f>
        <v>Suministrar caudal de aire [ESTÁNDAR POR CONFIRMAR]</v>
      </c>
      <c r="D390" s="27" t="s">
        <v>4011</v>
      </c>
      <c r="E390" s="27" t="s">
        <v>999</v>
      </c>
      <c r="F390" s="27" t="s">
        <v>2657</v>
      </c>
      <c r="G390" s="27" t="s">
        <v>2658</v>
      </c>
      <c r="H390" s="18" t="str">
        <f t="array" ref="H390">_xlfn.XLOOKUP(E:E,'Calificación consecuencia'!B:B,'Calificación consecuencia'!K:K,"No encontrada",2)</f>
        <v>Media</v>
      </c>
      <c r="I390" s="27" t="s">
        <v>1800</v>
      </c>
      <c r="J390" s="30" t="s">
        <v>116</v>
      </c>
      <c r="K390" s="21"/>
      <c r="L390" s="21"/>
      <c r="M390" s="30" t="s">
        <v>116</v>
      </c>
      <c r="N390" s="30" t="s">
        <v>116</v>
      </c>
      <c r="O390" s="21"/>
      <c r="P390" s="21"/>
      <c r="Q390" s="21"/>
      <c r="R390" s="21"/>
      <c r="S390" s="21"/>
      <c r="T390" s="21"/>
      <c r="U390" s="27" t="s">
        <v>195</v>
      </c>
      <c r="V390" s="27" t="s">
        <v>196</v>
      </c>
    </row>
    <row r="391" ht="14.25" customHeight="1">
      <c r="A391" s="27" t="s">
        <v>815</v>
      </c>
      <c r="B391" s="27" t="s">
        <v>809</v>
      </c>
      <c r="C391" s="27" t="str">
        <f t="array" ref="C391">INDEX(Funciones!$G$2:$G$372,MATCH($A391,Funciones!$B$2:$B$372,0))</f>
        <v>Suministrar caudal de aire [ESTÁNDAR POR CONFIRMAR]</v>
      </c>
      <c r="D391" s="27" t="s">
        <v>4011</v>
      </c>
      <c r="E391" s="27" t="s">
        <v>1005</v>
      </c>
      <c r="F391" s="27" t="s">
        <v>2677</v>
      </c>
      <c r="G391" s="27" t="s">
        <v>2679</v>
      </c>
      <c r="H391" s="18" t="str">
        <f t="array" ref="H391">_xlfn.XLOOKUP(E:E,'Calificación consecuencia'!B:B,'Calificación consecuencia'!K:K,"No encontrada",2)</f>
        <v>Baja</v>
      </c>
      <c r="I391" s="27" t="s">
        <v>2694</v>
      </c>
      <c r="J391" s="30" t="s">
        <v>116</v>
      </c>
      <c r="K391" s="21"/>
      <c r="L391" s="21"/>
      <c r="M391" s="30" t="s">
        <v>116</v>
      </c>
      <c r="N391" s="30" t="s">
        <v>116</v>
      </c>
      <c r="O391" s="21"/>
      <c r="P391" s="21"/>
      <c r="Q391" s="21"/>
      <c r="R391" s="21"/>
      <c r="S391" s="21"/>
      <c r="T391" s="21"/>
      <c r="U391" s="27" t="s">
        <v>195</v>
      </c>
      <c r="V391" s="27" t="s">
        <v>196</v>
      </c>
    </row>
    <row r="392" ht="14.25" customHeight="1">
      <c r="A392" s="27" t="s">
        <v>815</v>
      </c>
      <c r="B392" s="27" t="s">
        <v>809</v>
      </c>
      <c r="C392" s="27" t="str">
        <f t="array" ref="C392">INDEX(Funciones!$G$2:$G$372,MATCH($A392,Funciones!$B$2:$B$372,0))</f>
        <v>Suministrar caudal de aire [ESTÁNDAR POR CONFIRMAR]</v>
      </c>
      <c r="D392" s="27" t="s">
        <v>4011</v>
      </c>
      <c r="E392" s="27" t="s">
        <v>1017</v>
      </c>
      <c r="F392" s="27" t="s">
        <v>2709</v>
      </c>
      <c r="G392" s="27" t="s">
        <v>2710</v>
      </c>
      <c r="H392" s="18" t="str">
        <f t="array" ref="H392">_xlfn.XLOOKUP(E:E,'Calificación consecuencia'!B:B,'Calificación consecuencia'!K:K,"No encontrada",2)</f>
        <v>Media</v>
      </c>
      <c r="I392" s="27" t="s">
        <v>1800</v>
      </c>
      <c r="J392" s="30" t="s">
        <v>116</v>
      </c>
      <c r="K392" s="21"/>
      <c r="L392" s="21"/>
      <c r="M392" s="30" t="s">
        <v>116</v>
      </c>
      <c r="N392" s="30" t="s">
        <v>116</v>
      </c>
      <c r="O392" s="21"/>
      <c r="P392" s="21"/>
      <c r="Q392" s="21"/>
      <c r="R392" s="21"/>
      <c r="S392" s="21"/>
      <c r="T392" s="21"/>
      <c r="U392" s="27" t="s">
        <v>195</v>
      </c>
      <c r="V392" s="27" t="s">
        <v>196</v>
      </c>
    </row>
    <row r="393" ht="14.25" customHeight="1">
      <c r="A393" s="27" t="s">
        <v>815</v>
      </c>
      <c r="B393" s="27" t="s">
        <v>809</v>
      </c>
      <c r="C393" s="27" t="str">
        <f t="array" ref="C393">INDEX(Funciones!$G$2:$G$372,MATCH($A393,Funciones!$B$2:$B$372,0))</f>
        <v>Suministrar caudal de aire [ESTÁNDAR POR CONFIRMAR]</v>
      </c>
      <c r="D393" s="27" t="s">
        <v>4012</v>
      </c>
      <c r="E393" s="27" t="s">
        <v>727</v>
      </c>
      <c r="F393" s="27" t="s">
        <v>2744</v>
      </c>
      <c r="G393" s="27" t="s">
        <v>1792</v>
      </c>
      <c r="H393" s="18" t="str">
        <f t="array" ref="H393">_xlfn.XLOOKUP(E:E,'Calificación consecuencia'!B:B,'Calificación consecuencia'!K:K,"No encontrada",2)</f>
        <v>Baja</v>
      </c>
      <c r="I393" s="27" t="s">
        <v>1800</v>
      </c>
      <c r="J393" s="30" t="s">
        <v>116</v>
      </c>
      <c r="K393" s="21"/>
      <c r="L393" s="21"/>
      <c r="M393" s="29" t="s">
        <v>120</v>
      </c>
      <c r="N393" s="21"/>
      <c r="O393" s="30" t="s">
        <v>116</v>
      </c>
      <c r="P393" s="30" t="s">
        <v>116</v>
      </c>
      <c r="Q393" s="21"/>
      <c r="R393" s="21"/>
      <c r="S393" s="21"/>
      <c r="T393" s="21"/>
      <c r="U393" s="27" t="s">
        <v>345</v>
      </c>
      <c r="V393" s="27" t="s">
        <v>196</v>
      </c>
    </row>
    <row r="394" ht="14.25" customHeight="1">
      <c r="A394" s="27" t="s">
        <v>815</v>
      </c>
      <c r="B394" s="27" t="s">
        <v>809</v>
      </c>
      <c r="C394" s="27" t="str">
        <f t="array" ref="C394">INDEX(Funciones!$G$2:$G$372,MATCH($A394,Funciones!$B$2:$B$372,0))</f>
        <v>Suministrar caudal de aire [ESTÁNDAR POR CONFIRMAR]</v>
      </c>
      <c r="D394" s="27" t="s">
        <v>4012</v>
      </c>
      <c r="E394" s="27" t="s">
        <v>1031</v>
      </c>
      <c r="F394" s="27" t="s">
        <v>2776</v>
      </c>
      <c r="G394" s="27" t="s">
        <v>2777</v>
      </c>
      <c r="H394" s="18" t="str">
        <f t="array" ref="H394">_xlfn.XLOOKUP(E:E,'Calificación consecuencia'!B:B,'Calificación consecuencia'!K:K,"No encontrada",2)</f>
        <v>Baja</v>
      </c>
      <c r="I394" s="27" t="s">
        <v>2106</v>
      </c>
      <c r="J394" s="30" t="s">
        <v>116</v>
      </c>
      <c r="K394" s="21"/>
      <c r="L394" s="21"/>
      <c r="M394" s="29" t="s">
        <v>120</v>
      </c>
      <c r="N394" s="21"/>
      <c r="O394" s="29" t="s">
        <v>120</v>
      </c>
      <c r="P394" s="21"/>
      <c r="Q394" s="21"/>
      <c r="R394" s="21"/>
      <c r="S394" s="29" t="s">
        <v>120</v>
      </c>
      <c r="T394" s="21"/>
      <c r="U394" s="27" t="s">
        <v>1680</v>
      </c>
      <c r="V394" s="27" t="s">
        <v>1408</v>
      </c>
    </row>
    <row r="395" ht="14.25" customHeight="1">
      <c r="A395" s="27" t="s">
        <v>815</v>
      </c>
      <c r="B395" s="27" t="s">
        <v>809</v>
      </c>
      <c r="C395" s="27" t="str">
        <f t="array" ref="C395">INDEX(Funciones!$G$2:$G$372,MATCH($A395,Funciones!$B$2:$B$372,0))</f>
        <v>Suministrar caudal de aire [ESTÁNDAR POR CONFIRMAR]</v>
      </c>
      <c r="D395" s="27" t="s">
        <v>4012</v>
      </c>
      <c r="E395" s="27" t="s">
        <v>1036</v>
      </c>
      <c r="F395" s="27" t="s">
        <v>2808</v>
      </c>
      <c r="G395" s="27" t="s">
        <v>2810</v>
      </c>
      <c r="H395" s="18" t="str">
        <f t="array" ref="H395">_xlfn.XLOOKUP(E:E,'Calificación consecuencia'!B:B,'Calificación consecuencia'!K:K,"No encontrada",2)</f>
        <v>Baja</v>
      </c>
      <c r="I395" s="27" t="s">
        <v>2106</v>
      </c>
      <c r="J395" s="30" t="s">
        <v>116</v>
      </c>
      <c r="K395" s="21"/>
      <c r="L395" s="21"/>
      <c r="M395" s="29" t="s">
        <v>120</v>
      </c>
      <c r="N395" s="21"/>
      <c r="O395" s="30" t="s">
        <v>116</v>
      </c>
      <c r="P395" s="30" t="s">
        <v>116</v>
      </c>
      <c r="Q395" s="21"/>
      <c r="R395" s="21"/>
      <c r="S395" s="21"/>
      <c r="T395" s="21"/>
      <c r="U395" s="27" t="s">
        <v>345</v>
      </c>
      <c r="V395" s="27" t="s">
        <v>196</v>
      </c>
    </row>
    <row r="396" ht="14.25" customHeight="1">
      <c r="A396" s="27" t="s">
        <v>815</v>
      </c>
      <c r="B396" s="27" t="s">
        <v>809</v>
      </c>
      <c r="C396" s="27" t="str">
        <f t="array" ref="C396">INDEX(Funciones!$G$2:$G$372,MATCH($A396,Funciones!$B$2:$B$372,0))</f>
        <v>Suministrar caudal de aire [ESTÁNDAR POR CONFIRMAR]</v>
      </c>
      <c r="D396" s="27" t="s">
        <v>4012</v>
      </c>
      <c r="E396" s="27" t="s">
        <v>1041</v>
      </c>
      <c r="F396" s="27" t="s">
        <v>2838</v>
      </c>
      <c r="G396" s="27" t="s">
        <v>2841</v>
      </c>
      <c r="H396" s="18" t="str">
        <f t="array" ref="H396">_xlfn.XLOOKUP(E:E,'Calificación consecuencia'!B:B,'Calificación consecuencia'!K:K,"No encontrada",2)</f>
        <v>Baja</v>
      </c>
      <c r="I396" s="27" t="s">
        <v>2106</v>
      </c>
      <c r="J396" s="30" t="s">
        <v>116</v>
      </c>
      <c r="K396" s="21"/>
      <c r="L396" s="21"/>
      <c r="M396" s="29" t="s">
        <v>120</v>
      </c>
      <c r="N396" s="21"/>
      <c r="O396" s="29" t="s">
        <v>120</v>
      </c>
      <c r="P396" s="21"/>
      <c r="Q396" s="21"/>
      <c r="R396" s="21"/>
      <c r="S396" s="29" t="s">
        <v>120</v>
      </c>
      <c r="T396" s="21"/>
      <c r="U396" s="27" t="s">
        <v>1680</v>
      </c>
      <c r="V396" s="27" t="s">
        <v>1408</v>
      </c>
    </row>
    <row r="397" ht="14.25" customHeight="1">
      <c r="A397" s="27" t="s">
        <v>815</v>
      </c>
      <c r="B397" s="27" t="s">
        <v>809</v>
      </c>
      <c r="C397" s="27" t="str">
        <f t="array" ref="C397">INDEX(Funciones!$G$2:$G$372,MATCH($A397,Funciones!$B$2:$B$372,0))</f>
        <v>Suministrar caudal de aire [ESTÁNDAR POR CONFIRMAR]</v>
      </c>
      <c r="D397" s="27" t="s">
        <v>4012</v>
      </c>
      <c r="E397" s="27" t="s">
        <v>1047</v>
      </c>
      <c r="F397" s="27" t="s">
        <v>2875</v>
      </c>
      <c r="G397" s="27" t="s">
        <v>1888</v>
      </c>
      <c r="H397" s="18" t="str">
        <f t="array" ref="H397">_xlfn.XLOOKUP(E:E,'Calificación consecuencia'!B:B,'Calificación consecuencia'!K:K,"No encontrada",2)</f>
        <v>Baja</v>
      </c>
      <c r="I397" s="27" t="s">
        <v>2106</v>
      </c>
      <c r="J397" s="30" t="s">
        <v>116</v>
      </c>
      <c r="K397" s="21"/>
      <c r="L397" s="21"/>
      <c r="M397" s="29" t="s">
        <v>120</v>
      </c>
      <c r="N397" s="21"/>
      <c r="O397" s="29" t="s">
        <v>120</v>
      </c>
      <c r="P397" s="21"/>
      <c r="Q397" s="21"/>
      <c r="R397" s="21"/>
      <c r="S397" s="29" t="s">
        <v>120</v>
      </c>
      <c r="T397" s="21"/>
      <c r="U397" s="27" t="s">
        <v>1680</v>
      </c>
      <c r="V397" s="27" t="s">
        <v>1408</v>
      </c>
    </row>
    <row r="398" ht="14.25" customHeight="1">
      <c r="A398" s="9" t="s">
        <v>819</v>
      </c>
      <c r="B398" s="9" t="s">
        <v>818</v>
      </c>
      <c r="C398" s="9" t="str">
        <f t="array" ref="C398">INDEX(Funciones!$G$2:$G$372,MATCH($A398,Funciones!$B$2:$B$372,0))</f>
        <v>Suministrar caudal de aceite [ESTÁNDAR POR CONFIRMAR]</v>
      </c>
      <c r="D398" s="9" t="s">
        <v>4013</v>
      </c>
      <c r="E398" s="9" t="s">
        <v>854</v>
      </c>
      <c r="F398" s="9" t="s">
        <v>2165</v>
      </c>
      <c r="G398" s="9" t="s">
        <v>2166</v>
      </c>
      <c r="H398" s="18" t="str">
        <f t="array" ref="H398">_xlfn.XLOOKUP(E:E,'Calificación consecuencia'!B:B,'Calificación consecuencia'!K:K,"No encontrada",2)</f>
        <v>Media</v>
      </c>
      <c r="I398" s="9" t="s">
        <v>1800</v>
      </c>
      <c r="J398" s="20" t="s">
        <v>116</v>
      </c>
      <c r="K398" s="21"/>
      <c r="L398" s="21"/>
      <c r="M398" s="22" t="s">
        <v>120</v>
      </c>
      <c r="N398" s="21"/>
      <c r="O398" s="20" t="s">
        <v>116</v>
      </c>
      <c r="P398" s="20" t="s">
        <v>116</v>
      </c>
      <c r="Q398" s="21"/>
      <c r="R398" s="21"/>
      <c r="S398" s="21"/>
      <c r="T398" s="21"/>
      <c r="U398" s="9" t="s">
        <v>345</v>
      </c>
      <c r="V398" s="9" t="s">
        <v>196</v>
      </c>
    </row>
    <row r="399" ht="14.25" customHeight="1">
      <c r="A399" s="9" t="s">
        <v>819</v>
      </c>
      <c r="B399" s="9" t="s">
        <v>818</v>
      </c>
      <c r="C399" s="9" t="str">
        <f t="array" ref="C399">INDEX(Funciones!$G$2:$G$372,MATCH($A399,Funciones!$B$2:$B$372,0))</f>
        <v>Suministrar caudal de aceite [ESTÁNDAR POR CONFIRMAR]</v>
      </c>
      <c r="D399" s="9" t="s">
        <v>4013</v>
      </c>
      <c r="E399" s="9" t="s">
        <v>855</v>
      </c>
      <c r="F399" s="9" t="s">
        <v>2194</v>
      </c>
      <c r="G399" s="9" t="s">
        <v>2195</v>
      </c>
      <c r="H399" s="18" t="str">
        <f t="array" ref="H399">_xlfn.XLOOKUP(E:E,'Calificación consecuencia'!B:B,'Calificación consecuencia'!K:K,"No encontrada",2)</f>
        <v>Baja</v>
      </c>
      <c r="I399" s="9" t="s">
        <v>1800</v>
      </c>
      <c r="J399" s="20" t="s">
        <v>116</v>
      </c>
      <c r="K399" s="21"/>
      <c r="L399" s="21"/>
      <c r="M399" s="22" t="s">
        <v>120</v>
      </c>
      <c r="N399" s="21"/>
      <c r="O399" s="20" t="s">
        <v>116</v>
      </c>
      <c r="P399" s="20" t="s">
        <v>116</v>
      </c>
      <c r="Q399" s="21"/>
      <c r="R399" s="21"/>
      <c r="S399" s="21"/>
      <c r="T399" s="21"/>
      <c r="U399" s="9" t="s">
        <v>345</v>
      </c>
      <c r="V399" s="9" t="s">
        <v>196</v>
      </c>
    </row>
    <row r="400" ht="14.25" customHeight="1">
      <c r="A400" s="9" t="s">
        <v>819</v>
      </c>
      <c r="B400" s="9" t="s">
        <v>818</v>
      </c>
      <c r="C400" s="9" t="str">
        <f t="array" ref="C400">INDEX(Funciones!$G$2:$G$372,MATCH($A400,Funciones!$B$2:$B$372,0))</f>
        <v>Suministrar caudal de aceite [ESTÁNDAR POR CONFIRMAR]</v>
      </c>
      <c r="D400" s="9" t="s">
        <v>4013</v>
      </c>
      <c r="E400" s="9" t="s">
        <v>865</v>
      </c>
      <c r="F400" s="9" t="s">
        <v>2222</v>
      </c>
      <c r="G400" s="9" t="s">
        <v>2225</v>
      </c>
      <c r="H400" s="18" t="str">
        <f t="array" ref="H400">_xlfn.XLOOKUP(E:E,'Calificación consecuencia'!B:B,'Calificación consecuencia'!K:K,"No encontrada",2)</f>
        <v>Baja</v>
      </c>
      <c r="I400" s="9" t="s">
        <v>2106</v>
      </c>
      <c r="J400" s="20" t="s">
        <v>116</v>
      </c>
      <c r="K400" s="21"/>
      <c r="L400" s="21"/>
      <c r="M400" s="22" t="s">
        <v>120</v>
      </c>
      <c r="N400" s="21"/>
      <c r="O400" s="22" t="s">
        <v>120</v>
      </c>
      <c r="P400" s="21"/>
      <c r="Q400" s="21"/>
      <c r="R400" s="21"/>
      <c r="S400" s="22" t="s">
        <v>120</v>
      </c>
      <c r="T400" s="21"/>
      <c r="U400" s="9" t="s">
        <v>1680</v>
      </c>
      <c r="V400" s="9" t="s">
        <v>1408</v>
      </c>
    </row>
    <row r="401" ht="14.25" customHeight="1">
      <c r="A401" s="9" t="s">
        <v>819</v>
      </c>
      <c r="B401" s="9" t="s">
        <v>818</v>
      </c>
      <c r="C401" s="9" t="str">
        <f t="array" ref="C401">INDEX(Funciones!$G$2:$G$372,MATCH($A401,Funciones!$B$2:$B$372,0))</f>
        <v>Suministrar caudal de aceite [ESTÁNDAR POR CONFIRMAR]</v>
      </c>
      <c r="D401" s="9" t="s">
        <v>4014</v>
      </c>
      <c r="E401" s="9" t="s">
        <v>874</v>
      </c>
      <c r="F401" s="9" t="s">
        <v>2254</v>
      </c>
      <c r="G401" s="9" t="s">
        <v>2255</v>
      </c>
      <c r="H401" s="18" t="str">
        <f t="array" ref="H401">_xlfn.XLOOKUP(E:E,'Calificación consecuencia'!B:B,'Calificación consecuencia'!K:K,"No encontrada",2)</f>
        <v>Baja</v>
      </c>
      <c r="I401" s="9" t="s">
        <v>1800</v>
      </c>
      <c r="J401" s="20" t="s">
        <v>116</v>
      </c>
      <c r="K401" s="21"/>
      <c r="L401" s="21"/>
      <c r="M401" s="22" t="s">
        <v>120</v>
      </c>
      <c r="N401" s="21"/>
      <c r="O401" s="20" t="s">
        <v>116</v>
      </c>
      <c r="P401" s="20" t="s">
        <v>116</v>
      </c>
      <c r="Q401" s="21"/>
      <c r="R401" s="21"/>
      <c r="S401" s="21"/>
      <c r="T401" s="21"/>
      <c r="U401" s="9" t="s">
        <v>345</v>
      </c>
      <c r="V401" s="9" t="s">
        <v>196</v>
      </c>
    </row>
    <row r="402" ht="14.25" customHeight="1">
      <c r="A402" s="9" t="s">
        <v>819</v>
      </c>
      <c r="B402" s="9" t="s">
        <v>818</v>
      </c>
      <c r="C402" s="9" t="str">
        <f t="array" ref="C402">INDEX(Funciones!$G$2:$G$372,MATCH($A402,Funciones!$B$2:$B$372,0))</f>
        <v>Suministrar caudal de aceite [ESTÁNDAR POR CONFIRMAR]</v>
      </c>
      <c r="D402" s="9" t="s">
        <v>4014</v>
      </c>
      <c r="E402" s="9" t="s">
        <v>882</v>
      </c>
      <c r="F402" s="9" t="s">
        <v>2270</v>
      </c>
      <c r="G402" s="9" t="s">
        <v>2271</v>
      </c>
      <c r="H402" s="18" t="str">
        <f t="array" ref="H402">_xlfn.XLOOKUP(E:E,'Calificación consecuencia'!B:B,'Calificación consecuencia'!K:K,"No encontrada",2)</f>
        <v>Baja</v>
      </c>
      <c r="I402" s="9" t="s">
        <v>2106</v>
      </c>
      <c r="J402" s="20" t="s">
        <v>116</v>
      </c>
      <c r="K402" s="21"/>
      <c r="L402" s="21"/>
      <c r="M402" s="22" t="s">
        <v>120</v>
      </c>
      <c r="N402" s="21"/>
      <c r="O402" s="22" t="s">
        <v>120</v>
      </c>
      <c r="P402" s="21"/>
      <c r="Q402" s="21"/>
      <c r="R402" s="21"/>
      <c r="S402" s="22" t="s">
        <v>120</v>
      </c>
      <c r="T402" s="21"/>
      <c r="U402" s="9" t="s">
        <v>1680</v>
      </c>
      <c r="V402" s="9" t="s">
        <v>1408</v>
      </c>
    </row>
    <row r="403" ht="14.25" customHeight="1">
      <c r="A403" s="9" t="s">
        <v>819</v>
      </c>
      <c r="B403" s="9" t="s">
        <v>818</v>
      </c>
      <c r="C403" s="9" t="str">
        <f t="array" ref="C403">INDEX(Funciones!$G$2:$G$372,MATCH($A403,Funciones!$B$2:$B$372,0))</f>
        <v>Suministrar caudal de aceite [ESTÁNDAR POR CONFIRMAR]</v>
      </c>
      <c r="D403" s="9" t="s">
        <v>4014</v>
      </c>
      <c r="E403" s="9" t="s">
        <v>887</v>
      </c>
      <c r="F403" s="9" t="s">
        <v>2296</v>
      </c>
      <c r="G403" s="9" t="s">
        <v>2225</v>
      </c>
      <c r="H403" s="18" t="str">
        <f t="array" ref="H403">_xlfn.XLOOKUP(E:E,'Calificación consecuencia'!B:B,'Calificación consecuencia'!K:K,"No encontrada",2)</f>
        <v>Baja</v>
      </c>
      <c r="I403" s="9" t="s">
        <v>2106</v>
      </c>
      <c r="J403" s="20" t="s">
        <v>116</v>
      </c>
      <c r="K403" s="21"/>
      <c r="L403" s="21"/>
      <c r="M403" s="22" t="s">
        <v>120</v>
      </c>
      <c r="N403" s="21"/>
      <c r="O403" s="22" t="s">
        <v>120</v>
      </c>
      <c r="P403" s="21"/>
      <c r="Q403" s="21"/>
      <c r="R403" s="21"/>
      <c r="S403" s="22" t="s">
        <v>120</v>
      </c>
      <c r="T403" s="21"/>
      <c r="U403" s="9" t="s">
        <v>1680</v>
      </c>
      <c r="V403" s="9" t="s">
        <v>1408</v>
      </c>
    </row>
    <row r="404" ht="14.25" customHeight="1">
      <c r="A404" s="9" t="s">
        <v>819</v>
      </c>
      <c r="B404" s="9" t="s">
        <v>818</v>
      </c>
      <c r="C404" s="9" t="str">
        <f t="array" ref="C404">INDEX(Funciones!$G$2:$G$372,MATCH($A404,Funciones!$B$2:$B$372,0))</f>
        <v>Suministrar caudal de aceite [ESTÁNDAR POR CONFIRMAR]</v>
      </c>
      <c r="D404" s="9" t="s">
        <v>4014</v>
      </c>
      <c r="E404" s="9" t="s">
        <v>898</v>
      </c>
      <c r="F404" s="9" t="s">
        <v>2322</v>
      </c>
      <c r="G404" s="9" t="s">
        <v>2323</v>
      </c>
      <c r="H404" s="18" t="str">
        <f t="array" ref="H404">_xlfn.XLOOKUP(E:E,'Calificación consecuencia'!B:B,'Calificación consecuencia'!K:K,"No encontrada",2)</f>
        <v>Media</v>
      </c>
      <c r="I404" s="9" t="s">
        <v>1800</v>
      </c>
      <c r="J404" s="20" t="s">
        <v>116</v>
      </c>
      <c r="K404" s="21"/>
      <c r="L404" s="21"/>
      <c r="M404" s="22" t="s">
        <v>120</v>
      </c>
      <c r="N404" s="21"/>
      <c r="O404" s="20" t="s">
        <v>116</v>
      </c>
      <c r="P404" s="20" t="s">
        <v>116</v>
      </c>
      <c r="Q404" s="21"/>
      <c r="R404" s="21"/>
      <c r="S404" s="21"/>
      <c r="T404" s="21"/>
      <c r="U404" s="9" t="s">
        <v>345</v>
      </c>
      <c r="V404" s="9" t="s">
        <v>196</v>
      </c>
    </row>
    <row r="405" ht="14.25" customHeight="1">
      <c r="A405" s="9" t="s">
        <v>819</v>
      </c>
      <c r="B405" s="9" t="s">
        <v>818</v>
      </c>
      <c r="C405" s="9" t="str">
        <f t="array" ref="C405">INDEX(Funciones!$G$2:$G$372,MATCH($A405,Funciones!$B$2:$B$372,0))</f>
        <v>Suministrar caudal de aceite [ESTÁNDAR POR CONFIRMAR]</v>
      </c>
      <c r="D405" s="9" t="s">
        <v>4014</v>
      </c>
      <c r="E405" s="9" t="s">
        <v>902</v>
      </c>
      <c r="F405" s="9" t="s">
        <v>2351</v>
      </c>
      <c r="G405" s="9" t="s">
        <v>2353</v>
      </c>
      <c r="H405" s="18" t="str">
        <f t="array" ref="H405">_xlfn.XLOOKUP(E:E,'Calificación consecuencia'!B:B,'Calificación consecuencia'!K:K,"No encontrada",2)</f>
        <v>Baja</v>
      </c>
      <c r="I405" s="9" t="s">
        <v>2106</v>
      </c>
      <c r="J405" s="20" t="s">
        <v>116</v>
      </c>
      <c r="K405" s="21"/>
      <c r="L405" s="21"/>
      <c r="M405" s="22" t="s">
        <v>120</v>
      </c>
      <c r="N405" s="21"/>
      <c r="O405" s="22" t="s">
        <v>120</v>
      </c>
      <c r="P405" s="21"/>
      <c r="Q405" s="21"/>
      <c r="R405" s="21"/>
      <c r="S405" s="22" t="s">
        <v>120</v>
      </c>
      <c r="T405" s="21"/>
      <c r="U405" s="9" t="s">
        <v>1680</v>
      </c>
      <c r="V405" s="9" t="s">
        <v>1408</v>
      </c>
    </row>
    <row r="406" ht="14.25" customHeight="1">
      <c r="A406" s="27" t="s">
        <v>826</v>
      </c>
      <c r="B406" s="27" t="s">
        <v>818</v>
      </c>
      <c r="C406" s="27" t="str">
        <f t="array" ref="C406">INDEX(Funciones!$G$2:$G$372,MATCH($A406,Funciones!$B$2:$B$372,0))</f>
        <v>Generar presión hidráulica [ESTÁNDAR POR CONFIRMAR]</v>
      </c>
      <c r="D406" s="27" t="s">
        <v>2384</v>
      </c>
      <c r="E406" s="27" t="s">
        <v>910</v>
      </c>
      <c r="F406" s="27" t="s">
        <v>2386</v>
      </c>
      <c r="G406" s="27" t="s">
        <v>2389</v>
      </c>
      <c r="H406" s="18" t="str">
        <f t="array" ref="H406">_xlfn.XLOOKUP(E:E,'Calificación consecuencia'!B:B,'Calificación consecuencia'!K:K,"No encontrada",2)</f>
        <v>Baja</v>
      </c>
      <c r="I406" s="27" t="s">
        <v>2106</v>
      </c>
      <c r="J406" s="30" t="s">
        <v>116</v>
      </c>
      <c r="K406" s="21"/>
      <c r="L406" s="21"/>
      <c r="M406" s="29" t="s">
        <v>120</v>
      </c>
      <c r="N406" s="21"/>
      <c r="O406" s="29" t="s">
        <v>120</v>
      </c>
      <c r="P406" s="21"/>
      <c r="Q406" s="21"/>
      <c r="R406" s="21"/>
      <c r="S406" s="29" t="s">
        <v>120</v>
      </c>
      <c r="T406" s="21"/>
      <c r="U406" s="27" t="s">
        <v>1680</v>
      </c>
      <c r="V406" s="27" t="s">
        <v>1408</v>
      </c>
    </row>
    <row r="407" ht="14.25" customHeight="1">
      <c r="A407" s="27" t="s">
        <v>826</v>
      </c>
      <c r="B407" s="27" t="s">
        <v>818</v>
      </c>
      <c r="C407" s="27" t="str">
        <f t="array" ref="C407">INDEX(Funciones!$G$2:$G$372,MATCH($A407,Funciones!$B$2:$B$372,0))</f>
        <v>Generar presión hidráulica [ESTÁNDAR POR CONFIRMAR]</v>
      </c>
      <c r="D407" s="27" t="s">
        <v>2384</v>
      </c>
      <c r="E407" s="27" t="s">
        <v>854</v>
      </c>
      <c r="F407" s="27" t="s">
        <v>2408</v>
      </c>
      <c r="G407" s="27" t="s">
        <v>2166</v>
      </c>
      <c r="H407" s="18" t="str">
        <f t="array" ref="H407">_xlfn.XLOOKUP(E:E,'Calificación consecuencia'!B:B,'Calificación consecuencia'!K:K,"No encontrada",2)</f>
        <v>Media</v>
      </c>
      <c r="I407" s="27" t="s">
        <v>1800</v>
      </c>
      <c r="J407" s="30" t="s">
        <v>116</v>
      </c>
      <c r="K407" s="21"/>
      <c r="L407" s="21"/>
      <c r="M407" s="29" t="s">
        <v>120</v>
      </c>
      <c r="N407" s="21"/>
      <c r="O407" s="30" t="s">
        <v>116</v>
      </c>
      <c r="P407" s="30" t="s">
        <v>116</v>
      </c>
      <c r="Q407" s="21"/>
      <c r="R407" s="21"/>
      <c r="S407" s="21"/>
      <c r="T407" s="21"/>
      <c r="U407" s="27" t="s">
        <v>345</v>
      </c>
      <c r="V407" s="27" t="s">
        <v>196</v>
      </c>
    </row>
    <row r="408" ht="14.25" customHeight="1">
      <c r="A408" s="27" t="s">
        <v>826</v>
      </c>
      <c r="B408" s="27" t="s">
        <v>818</v>
      </c>
      <c r="C408" s="27" t="str">
        <f t="array" ref="C408">INDEX(Funciones!$G$2:$G$372,MATCH($A408,Funciones!$B$2:$B$372,0))</f>
        <v>Generar presión hidráulica [ESTÁNDAR POR CONFIRMAR]</v>
      </c>
      <c r="D408" s="27" t="s">
        <v>2384</v>
      </c>
      <c r="E408" s="27" t="s">
        <v>930</v>
      </c>
      <c r="F408" s="27" t="s">
        <v>2418</v>
      </c>
      <c r="G408" s="27" t="s">
        <v>2419</v>
      </c>
      <c r="H408" s="18" t="str">
        <f t="array" ref="H408">_xlfn.XLOOKUP(E:E,'Calificación consecuencia'!B:B,'Calificación consecuencia'!K:K,"No encontrada",2)</f>
        <v>Baja</v>
      </c>
      <c r="I408" s="27" t="s">
        <v>2106</v>
      </c>
      <c r="J408" s="30" t="s">
        <v>116</v>
      </c>
      <c r="K408" s="21"/>
      <c r="L408" s="21"/>
      <c r="M408" s="29" t="s">
        <v>120</v>
      </c>
      <c r="N408" s="21"/>
      <c r="O408" s="29" t="s">
        <v>120</v>
      </c>
      <c r="P408" s="21"/>
      <c r="Q408" s="21"/>
      <c r="R408" s="21"/>
      <c r="S408" s="29" t="s">
        <v>120</v>
      </c>
      <c r="T408" s="21"/>
      <c r="U408" s="27" t="s">
        <v>1680</v>
      </c>
      <c r="V408" s="27" t="s">
        <v>1408</v>
      </c>
    </row>
    <row r="409" ht="14.25" customHeight="1">
      <c r="A409" s="27" t="s">
        <v>826</v>
      </c>
      <c r="B409" s="27" t="s">
        <v>818</v>
      </c>
      <c r="C409" s="27" t="str">
        <f t="array" ref="C409">INDEX(Funciones!$G$2:$G$372,MATCH($A409,Funciones!$B$2:$B$372,0))</f>
        <v>Generar presión hidráulica [ESTÁNDAR POR CONFIRMAR]</v>
      </c>
      <c r="D409" s="27" t="s">
        <v>2424</v>
      </c>
      <c r="E409" s="27" t="s">
        <v>874</v>
      </c>
      <c r="F409" s="27" t="s">
        <v>2426</v>
      </c>
      <c r="G409" s="27" t="s">
        <v>2255</v>
      </c>
      <c r="H409" s="18" t="str">
        <f t="array" ref="H409">_xlfn.XLOOKUP(E:E,'Calificación consecuencia'!B:B,'Calificación consecuencia'!K:K,"No encontrada",2)</f>
        <v>Baja</v>
      </c>
      <c r="I409" s="27" t="s">
        <v>1800</v>
      </c>
      <c r="J409" s="30" t="s">
        <v>116</v>
      </c>
      <c r="K409" s="21"/>
      <c r="L409" s="21"/>
      <c r="M409" s="29" t="s">
        <v>120</v>
      </c>
      <c r="N409" s="21"/>
      <c r="O409" s="30" t="s">
        <v>116</v>
      </c>
      <c r="P409" s="30" t="s">
        <v>116</v>
      </c>
      <c r="Q409" s="21"/>
      <c r="R409" s="21"/>
      <c r="S409" s="21"/>
      <c r="T409" s="21"/>
      <c r="U409" s="27" t="s">
        <v>345</v>
      </c>
      <c r="V409" s="27" t="s">
        <v>196</v>
      </c>
    </row>
    <row r="410" ht="14.25" customHeight="1">
      <c r="A410" s="27" t="s">
        <v>826</v>
      </c>
      <c r="B410" s="27" t="s">
        <v>818</v>
      </c>
      <c r="C410" s="27" t="str">
        <f t="array" ref="C410">INDEX(Funciones!$G$2:$G$372,MATCH($A410,Funciones!$B$2:$B$372,0))</f>
        <v>Generar presión hidráulica [ESTÁNDAR POR CONFIRMAR]</v>
      </c>
      <c r="D410" s="27" t="s">
        <v>2424</v>
      </c>
      <c r="E410" s="27" t="s">
        <v>948</v>
      </c>
      <c r="F410" s="27" t="s">
        <v>2447</v>
      </c>
      <c r="G410" s="27" t="s">
        <v>2448</v>
      </c>
      <c r="H410" s="18" t="str">
        <f t="array" ref="H410">_xlfn.XLOOKUP(E:E,'Calificación consecuencia'!B:B,'Calificación consecuencia'!K:K,"No encontrada",2)</f>
        <v>Baja</v>
      </c>
      <c r="I410" s="27" t="s">
        <v>2106</v>
      </c>
      <c r="J410" s="30" t="s">
        <v>116</v>
      </c>
      <c r="K410" s="21"/>
      <c r="L410" s="21"/>
      <c r="M410" s="29" t="s">
        <v>120</v>
      </c>
      <c r="N410" s="21"/>
      <c r="O410" s="29" t="s">
        <v>120</v>
      </c>
      <c r="P410" s="21"/>
      <c r="Q410" s="21"/>
      <c r="R410" s="21"/>
      <c r="S410" s="29" t="s">
        <v>120</v>
      </c>
      <c r="T410" s="21"/>
      <c r="U410" s="27" t="s">
        <v>1680</v>
      </c>
      <c r="V410" s="27" t="s">
        <v>1408</v>
      </c>
    </row>
    <row r="411" ht="14.25" customHeight="1">
      <c r="A411" s="27" t="s">
        <v>826</v>
      </c>
      <c r="B411" s="27" t="s">
        <v>818</v>
      </c>
      <c r="C411" s="27" t="str">
        <f t="array" ref="C411">INDEX(Funciones!$G$2:$G$372,MATCH($A411,Funciones!$B$2:$B$372,0))</f>
        <v>Generar presión hidráulica [ESTÁNDAR POR CONFIRMAR]</v>
      </c>
      <c r="D411" s="27" t="s">
        <v>2424</v>
      </c>
      <c r="E411" s="27" t="s">
        <v>955</v>
      </c>
      <c r="F411" s="27" t="s">
        <v>2471</v>
      </c>
      <c r="G411" s="27" t="s">
        <v>2473</v>
      </c>
      <c r="H411" s="18" t="str">
        <f t="array" ref="H411">_xlfn.XLOOKUP(E:E,'Calificación consecuencia'!B:B,'Calificación consecuencia'!K:K,"No encontrada",2)</f>
        <v>Baja</v>
      </c>
      <c r="I411" s="27" t="s">
        <v>2106</v>
      </c>
      <c r="J411" s="30" t="s">
        <v>116</v>
      </c>
      <c r="K411" s="21"/>
      <c r="L411" s="21"/>
      <c r="M411" s="29" t="s">
        <v>120</v>
      </c>
      <c r="N411" s="21"/>
      <c r="O411" s="29" t="s">
        <v>120</v>
      </c>
      <c r="P411" s="21"/>
      <c r="Q411" s="21"/>
      <c r="R411" s="21"/>
      <c r="S411" s="29" t="s">
        <v>120</v>
      </c>
      <c r="T411" s="21"/>
      <c r="U411" s="27" t="s">
        <v>1680</v>
      </c>
      <c r="V411" s="27" t="s">
        <v>1408</v>
      </c>
    </row>
    <row r="412" ht="14.25" customHeight="1">
      <c r="A412" s="27" t="s">
        <v>826</v>
      </c>
      <c r="B412" s="27" t="s">
        <v>818</v>
      </c>
      <c r="C412" s="27" t="str">
        <f t="array" ref="C412">INDEX(Funciones!$G$2:$G$372,MATCH($A412,Funciones!$B$2:$B$372,0))</f>
        <v>Generar presión hidráulica [ESTÁNDAR POR CONFIRMAR]</v>
      </c>
      <c r="D412" s="27" t="s">
        <v>2492</v>
      </c>
      <c r="E412" s="27" t="s">
        <v>966</v>
      </c>
      <c r="F412" s="27" t="s">
        <v>2495</v>
      </c>
      <c r="G412" s="27" t="s">
        <v>2498</v>
      </c>
      <c r="H412" s="18" t="str">
        <f t="array" ref="H412">_xlfn.XLOOKUP(E:E,'Calificación consecuencia'!B:B,'Calificación consecuencia'!K:K,"No encontrada",2)</f>
        <v>Baja</v>
      </c>
      <c r="I412" s="27" t="s">
        <v>2106</v>
      </c>
      <c r="J412" s="30" t="s">
        <v>116</v>
      </c>
      <c r="K412" s="21"/>
      <c r="L412" s="21"/>
      <c r="M412" s="29" t="s">
        <v>120</v>
      </c>
      <c r="N412" s="21"/>
      <c r="O412" s="29" t="s">
        <v>120</v>
      </c>
      <c r="P412" s="21"/>
      <c r="Q412" s="21"/>
      <c r="R412" s="21"/>
      <c r="S412" s="29" t="s">
        <v>120</v>
      </c>
      <c r="T412" s="21"/>
      <c r="U412" s="27" t="s">
        <v>1680</v>
      </c>
      <c r="V412" s="27" t="s">
        <v>1408</v>
      </c>
    </row>
    <row r="413" ht="14.25" customHeight="1">
      <c r="A413" s="9" t="s">
        <v>830</v>
      </c>
      <c r="B413" s="9" t="s">
        <v>829</v>
      </c>
      <c r="C413" s="9" t="str">
        <f t="array" ref="C413">INDEX(Funciones!$G$2:$G$372,MATCH($A413,Funciones!$B$2:$B$372,0))</f>
        <v>Entregar par de giro [ESTÁNDAR POR CONFIRMAR]</v>
      </c>
      <c r="D413" s="9" t="s">
        <v>4015</v>
      </c>
      <c r="E413" s="9" t="s">
        <v>1570</v>
      </c>
      <c r="F413" s="9" t="s">
        <v>3467</v>
      </c>
      <c r="G413" s="9" t="s">
        <v>3468</v>
      </c>
      <c r="H413" s="18" t="str">
        <f t="array" ref="H413">_xlfn.XLOOKUP(E:E,'Calificación consecuencia'!B:B,'Calificación consecuencia'!K:K,"No encontrada",2)</f>
        <v>Media</v>
      </c>
      <c r="I413" s="9" t="s">
        <v>1800</v>
      </c>
      <c r="J413" s="20" t="s">
        <v>116</v>
      </c>
      <c r="K413" s="21"/>
      <c r="L413" s="21"/>
      <c r="M413" s="22" t="s">
        <v>120</v>
      </c>
      <c r="N413" s="21"/>
      <c r="O413" s="20" t="s">
        <v>116</v>
      </c>
      <c r="P413" s="20" t="s">
        <v>116</v>
      </c>
      <c r="Q413" s="21"/>
      <c r="R413" s="21"/>
      <c r="S413" s="21"/>
      <c r="T413" s="21"/>
      <c r="U413" s="9" t="s">
        <v>345</v>
      </c>
      <c r="V413" s="9" t="s">
        <v>196</v>
      </c>
    </row>
    <row r="414" ht="14.25" customHeight="1">
      <c r="A414" s="9" t="s">
        <v>830</v>
      </c>
      <c r="B414" s="9" t="s">
        <v>829</v>
      </c>
      <c r="C414" s="9" t="str">
        <f t="array" ref="C414">INDEX(Funciones!$G$2:$G$372,MATCH($A414,Funciones!$B$2:$B$372,0))</f>
        <v>Entregar par de giro [ESTÁNDAR POR CONFIRMAR]</v>
      </c>
      <c r="D414" s="9" t="s">
        <v>4015</v>
      </c>
      <c r="E414" s="9" t="s">
        <v>1576</v>
      </c>
      <c r="F414" s="9" t="s">
        <v>3469</v>
      </c>
      <c r="G414" s="9" t="s">
        <v>3470</v>
      </c>
      <c r="H414" s="18" t="str">
        <f t="array" ref="H414">_xlfn.XLOOKUP(E:E,'Calificación consecuencia'!B:B,'Calificación consecuencia'!K:K,"No encontrada",2)</f>
        <v>Baja</v>
      </c>
      <c r="I414" s="9" t="s">
        <v>1449</v>
      </c>
      <c r="J414" s="20" t="s">
        <v>116</v>
      </c>
      <c r="K414" s="21"/>
      <c r="L414" s="21"/>
      <c r="M414" s="22" t="s">
        <v>120</v>
      </c>
      <c r="N414" s="21"/>
      <c r="O414" s="22" t="s">
        <v>120</v>
      </c>
      <c r="P414" s="21"/>
      <c r="Q414" s="21"/>
      <c r="R414" s="21"/>
      <c r="S414" s="20" t="s">
        <v>116</v>
      </c>
      <c r="T414" s="20" t="s">
        <v>116</v>
      </c>
      <c r="U414" s="9" t="s">
        <v>3471</v>
      </c>
      <c r="V414" s="9" t="s">
        <v>196</v>
      </c>
    </row>
    <row r="415" ht="14.25" customHeight="1">
      <c r="A415" s="9" t="s">
        <v>830</v>
      </c>
      <c r="B415" s="9" t="s">
        <v>829</v>
      </c>
      <c r="C415" s="9" t="str">
        <f t="array" ref="C415">INDEX(Funciones!$G$2:$G$372,MATCH($A415,Funciones!$B$2:$B$372,0))</f>
        <v>Entregar par de giro [ESTÁNDAR POR CONFIRMAR]</v>
      </c>
      <c r="D415" s="9" t="s">
        <v>4016</v>
      </c>
      <c r="E415" s="9" t="s">
        <v>1585</v>
      </c>
      <c r="F415" s="9" t="s">
        <v>3473</v>
      </c>
      <c r="G415" s="9" t="s">
        <v>3474</v>
      </c>
      <c r="H415" s="18" t="str">
        <f t="array" ref="H415">_xlfn.XLOOKUP(E:E,'Calificación consecuencia'!B:B,'Calificación consecuencia'!K:K,"No encontrada",2)</f>
        <v>Baja</v>
      </c>
      <c r="I415" s="9" t="s">
        <v>1800</v>
      </c>
      <c r="J415" s="20" t="s">
        <v>116</v>
      </c>
      <c r="K415" s="21"/>
      <c r="L415" s="21"/>
      <c r="M415" s="22" t="s">
        <v>120</v>
      </c>
      <c r="N415" s="21"/>
      <c r="O415" s="20" t="s">
        <v>116</v>
      </c>
      <c r="P415" s="20" t="s">
        <v>116</v>
      </c>
      <c r="Q415" s="21"/>
      <c r="R415" s="21"/>
      <c r="S415" s="21"/>
      <c r="T415" s="21"/>
      <c r="U415" s="9" t="s">
        <v>345</v>
      </c>
      <c r="V415" s="9" t="s">
        <v>196</v>
      </c>
    </row>
    <row r="416" ht="14.25" customHeight="1">
      <c r="A416" s="9" t="s">
        <v>830</v>
      </c>
      <c r="B416" s="9" t="s">
        <v>829</v>
      </c>
      <c r="C416" s="9" t="str">
        <f t="array" ref="C416">INDEX(Funciones!$G$2:$G$372,MATCH($A416,Funciones!$B$2:$B$372,0))</f>
        <v>Entregar par de giro [ESTÁNDAR POR CONFIRMAR]</v>
      </c>
      <c r="D416" s="9" t="s">
        <v>4016</v>
      </c>
      <c r="E416" s="9" t="s">
        <v>1590</v>
      </c>
      <c r="F416" s="9" t="s">
        <v>3477</v>
      </c>
      <c r="G416" s="9" t="s">
        <v>3479</v>
      </c>
      <c r="H416" s="18" t="str">
        <f t="array" ref="H416">_xlfn.XLOOKUP(E:E,'Calificación consecuencia'!B:B,'Calificación consecuencia'!K:K,"No encontrada",2)</f>
        <v>Baja</v>
      </c>
      <c r="I416" s="9" t="s">
        <v>1800</v>
      </c>
      <c r="J416" s="20" t="s">
        <v>116</v>
      </c>
      <c r="K416" s="21"/>
      <c r="L416" s="21"/>
      <c r="M416" s="22" t="s">
        <v>120</v>
      </c>
      <c r="N416" s="21"/>
      <c r="O416" s="20" t="s">
        <v>116</v>
      </c>
      <c r="P416" s="20" t="s">
        <v>116</v>
      </c>
      <c r="Q416" s="21"/>
      <c r="R416" s="21"/>
      <c r="S416" s="21"/>
      <c r="T416" s="21"/>
      <c r="U416" s="9" t="s">
        <v>345</v>
      </c>
      <c r="V416" s="9" t="s">
        <v>196</v>
      </c>
    </row>
    <row r="417" ht="14.25" customHeight="1">
      <c r="A417" s="9" t="s">
        <v>830</v>
      </c>
      <c r="B417" s="9" t="s">
        <v>829</v>
      </c>
      <c r="C417" s="9" t="str">
        <f t="array" ref="C417">INDEX(Funciones!$G$2:$G$372,MATCH($A417,Funciones!$B$2:$B$372,0))</f>
        <v>Entregar par de giro [ESTÁNDAR POR CONFIRMAR]</v>
      </c>
      <c r="D417" s="9" t="s">
        <v>4016</v>
      </c>
      <c r="E417" s="9" t="s">
        <v>1596</v>
      </c>
      <c r="F417" s="9" t="s">
        <v>3483</v>
      </c>
      <c r="G417" s="9" t="s">
        <v>3484</v>
      </c>
      <c r="H417" s="18" t="str">
        <f t="array" ref="H417">_xlfn.XLOOKUP(E:E,'Calificación consecuencia'!B:B,'Calificación consecuencia'!K:K,"No encontrada",2)</f>
        <v>Media</v>
      </c>
      <c r="I417" s="9" t="s">
        <v>1449</v>
      </c>
      <c r="J417" s="20" t="s">
        <v>116</v>
      </c>
      <c r="K417" s="21"/>
      <c r="L417" s="21"/>
      <c r="M417" s="22" t="s">
        <v>120</v>
      </c>
      <c r="N417" s="21"/>
      <c r="O417" s="22" t="s">
        <v>120</v>
      </c>
      <c r="P417" s="21"/>
      <c r="Q417" s="21"/>
      <c r="R417" s="21"/>
      <c r="S417" s="20" t="s">
        <v>116</v>
      </c>
      <c r="T417" s="20" t="s">
        <v>116</v>
      </c>
      <c r="U417" s="9" t="s">
        <v>3471</v>
      </c>
      <c r="V417" s="9" t="s">
        <v>196</v>
      </c>
    </row>
    <row r="418" ht="14.25" customHeight="1">
      <c r="A418" s="27" t="s">
        <v>840</v>
      </c>
      <c r="B418" s="27" t="s">
        <v>839</v>
      </c>
      <c r="C418" s="27" t="str">
        <f t="array" ref="C418">INDEX(Funciones!$G$2:$G$372,MATCH($A418,Funciones!$B$2:$B$372,0))</f>
        <v>Sellar la cabina con 0 filtraciones en prueba de agua</v>
      </c>
      <c r="D418" s="27" t="s">
        <v>3649</v>
      </c>
      <c r="E418" s="27" t="s">
        <v>1157</v>
      </c>
      <c r="F418" s="27" t="s">
        <v>3650</v>
      </c>
      <c r="G418" s="27" t="s">
        <v>3279</v>
      </c>
      <c r="H418" s="18" t="str">
        <f t="array" ref="H418">_xlfn.XLOOKUP(E:E,'Calificación consecuencia'!B:B,'Calificación consecuencia'!K:K,"No encontrada",2)</f>
        <v>Baja</v>
      </c>
      <c r="I418" s="27" t="s">
        <v>2106</v>
      </c>
      <c r="J418" s="30" t="s">
        <v>116</v>
      </c>
      <c r="K418" s="21"/>
      <c r="L418" s="21"/>
      <c r="M418" s="29" t="s">
        <v>120</v>
      </c>
      <c r="N418" s="21"/>
      <c r="O418" s="30" t="s">
        <v>116</v>
      </c>
      <c r="P418" s="30" t="s">
        <v>116</v>
      </c>
      <c r="Q418" s="21"/>
      <c r="R418" s="21"/>
      <c r="S418" s="21"/>
      <c r="T418" s="21"/>
      <c r="U418" s="27" t="s">
        <v>345</v>
      </c>
      <c r="V418" s="27" t="s">
        <v>196</v>
      </c>
    </row>
    <row r="419" ht="14.25" customHeight="1">
      <c r="A419" s="27" t="s">
        <v>840</v>
      </c>
      <c r="B419" s="27" t="s">
        <v>839</v>
      </c>
      <c r="C419" s="27" t="str">
        <f t="array" ref="C419">INDEX(Funciones!$G$2:$G$372,MATCH($A419,Funciones!$B$2:$B$372,0))</f>
        <v>Sellar la cabina con 0 filtraciones en prueba de agua</v>
      </c>
      <c r="D419" s="27" t="s">
        <v>3651</v>
      </c>
      <c r="E419" s="27" t="s">
        <v>1167</v>
      </c>
      <c r="F419" s="27" t="s">
        <v>3652</v>
      </c>
      <c r="G419" s="27" t="s">
        <v>3282</v>
      </c>
      <c r="H419" s="18" t="str">
        <f t="array" ref="H419">_xlfn.XLOOKUP(E:E,'Calificación consecuencia'!B:B,'Calificación consecuencia'!K:K,"No encontrada",2)</f>
        <v>Baja</v>
      </c>
      <c r="I419" s="27" t="s">
        <v>2106</v>
      </c>
      <c r="J419" s="30" t="s">
        <v>116</v>
      </c>
      <c r="K419" s="21"/>
      <c r="L419" s="21"/>
      <c r="M419" s="29" t="s">
        <v>120</v>
      </c>
      <c r="N419" s="21"/>
      <c r="O419" s="29" t="s">
        <v>120</v>
      </c>
      <c r="P419" s="21"/>
      <c r="Q419" s="21"/>
      <c r="R419" s="21"/>
      <c r="S419" s="29" t="s">
        <v>120</v>
      </c>
      <c r="T419" s="21"/>
      <c r="U419" s="27" t="s">
        <v>1680</v>
      </c>
      <c r="V419" s="27" t="s">
        <v>1408</v>
      </c>
    </row>
    <row r="420" ht="14.25" customHeight="1">
      <c r="A420" s="27" t="s">
        <v>840</v>
      </c>
      <c r="B420" s="27" t="s">
        <v>839</v>
      </c>
      <c r="C420" s="27" t="str">
        <f t="array" ref="C420">INDEX(Funciones!$G$2:$G$372,MATCH($A420,Funciones!$B$2:$B$372,0))</f>
        <v>Sellar la cabina con 0 filtraciones en prueba de agua</v>
      </c>
      <c r="D420" s="27" t="s">
        <v>3651</v>
      </c>
      <c r="E420" s="27" t="s">
        <v>1176</v>
      </c>
      <c r="F420" s="27" t="s">
        <v>3653</v>
      </c>
      <c r="G420" s="27" t="s">
        <v>3284</v>
      </c>
      <c r="H420" s="18" t="str">
        <f t="array" ref="H420">_xlfn.XLOOKUP(E:E,'Calificación consecuencia'!B:B,'Calificación consecuencia'!K:K,"No encontrada",2)</f>
        <v>Baja</v>
      </c>
      <c r="I420" s="27" t="s">
        <v>2106</v>
      </c>
      <c r="J420" s="30" t="s">
        <v>116</v>
      </c>
      <c r="K420" s="21"/>
      <c r="L420" s="21"/>
      <c r="M420" s="29" t="s">
        <v>120</v>
      </c>
      <c r="N420" s="21"/>
      <c r="O420" s="29" t="s">
        <v>120</v>
      </c>
      <c r="P420" s="21"/>
      <c r="Q420" s="21"/>
      <c r="R420" s="21"/>
      <c r="S420" s="29" t="s">
        <v>120</v>
      </c>
      <c r="T420" s="21"/>
      <c r="U420" s="27" t="s">
        <v>1680</v>
      </c>
      <c r="V420" s="27" t="s">
        <v>1408</v>
      </c>
    </row>
    <row r="421" ht="14.25" customHeight="1">
      <c r="A421" s="27" t="s">
        <v>840</v>
      </c>
      <c r="B421" s="27" t="s">
        <v>839</v>
      </c>
      <c r="C421" s="27" t="str">
        <f t="array" ref="C421">INDEX(Funciones!$G$2:$G$372,MATCH($A421,Funciones!$B$2:$B$372,0))</f>
        <v>Sellar la cabina con 0 filtraciones en prueba de agua</v>
      </c>
      <c r="D421" s="27" t="s">
        <v>3651</v>
      </c>
      <c r="E421" s="27" t="s">
        <v>1184</v>
      </c>
      <c r="F421" s="27" t="s">
        <v>3654</v>
      </c>
      <c r="G421" s="27" t="s">
        <v>3286</v>
      </c>
      <c r="H421" s="18" t="str">
        <f t="array" ref="H421">_xlfn.XLOOKUP(E:E,'Calificación consecuencia'!B:B,'Calificación consecuencia'!K:K,"No encontrada",2)</f>
        <v>Baja</v>
      </c>
      <c r="I421" s="27" t="s">
        <v>2106</v>
      </c>
      <c r="J421" s="30" t="s">
        <v>116</v>
      </c>
      <c r="K421" s="21"/>
      <c r="L421" s="21"/>
      <c r="M421" s="29" t="s">
        <v>120</v>
      </c>
      <c r="N421" s="21"/>
      <c r="O421" s="29" t="s">
        <v>120</v>
      </c>
      <c r="P421" s="21"/>
      <c r="Q421" s="21"/>
      <c r="R421" s="21"/>
      <c r="S421" s="29" t="s">
        <v>120</v>
      </c>
      <c r="T421" s="21"/>
      <c r="U421" s="27" t="s">
        <v>1680</v>
      </c>
      <c r="V421" s="27" t="s">
        <v>1408</v>
      </c>
    </row>
    <row r="422" ht="14.25" customHeight="1">
      <c r="A422" s="9" t="s">
        <v>847</v>
      </c>
      <c r="B422" s="9" t="s">
        <v>846</v>
      </c>
      <c r="C422" s="9" t="str">
        <f t="array" ref="C422">INDEX(Funciones!$G$2:$G$372,MATCH($A422,Funciones!$B$2:$B$372,0))</f>
        <v>Suministrar la corriente de arranque con tensión mínima de 19,2 V</v>
      </c>
      <c r="D422" s="9" t="s">
        <v>4017</v>
      </c>
      <c r="E422" s="9" t="s">
        <v>1191</v>
      </c>
      <c r="F422" s="9" t="s">
        <v>3288</v>
      </c>
      <c r="G422" s="9" t="s">
        <v>3289</v>
      </c>
      <c r="H422" s="18" t="str">
        <f t="array" ref="H422">_xlfn.XLOOKUP(E:E,'Calificación consecuencia'!B:B,'Calificación consecuencia'!K:K,"No encontrada",2)</f>
        <v>Media</v>
      </c>
      <c r="I422" s="9" t="s">
        <v>339</v>
      </c>
      <c r="J422" s="20" t="s">
        <v>116</v>
      </c>
      <c r="K422" s="21"/>
      <c r="L422" s="21"/>
      <c r="M422" s="22" t="s">
        <v>120</v>
      </c>
      <c r="N422" s="21"/>
      <c r="O422" s="20" t="s">
        <v>116</v>
      </c>
      <c r="P422" s="22" t="s">
        <v>120</v>
      </c>
      <c r="Q422" s="20" t="s">
        <v>116</v>
      </c>
      <c r="R422" s="21"/>
      <c r="S422" s="21"/>
      <c r="T422" s="21"/>
      <c r="U422" s="9" t="s">
        <v>785</v>
      </c>
      <c r="V422" s="9" t="s">
        <v>786</v>
      </c>
    </row>
    <row r="423" ht="14.25" customHeight="1">
      <c r="A423" s="9" t="s">
        <v>847</v>
      </c>
      <c r="B423" s="9" t="s">
        <v>846</v>
      </c>
      <c r="C423" s="9" t="str">
        <f t="array" ref="C423">INDEX(Funciones!$G$2:$G$372,MATCH($A423,Funciones!$B$2:$B$372,0))</f>
        <v>Suministrar la corriente de arranque con tensión mínima de 19,2 V</v>
      </c>
      <c r="D423" s="9" t="s">
        <v>4017</v>
      </c>
      <c r="E423" s="9" t="s">
        <v>1195</v>
      </c>
      <c r="F423" s="9" t="s">
        <v>3290</v>
      </c>
      <c r="G423" s="9" t="s">
        <v>3291</v>
      </c>
      <c r="H423" s="18" t="str">
        <f t="array" ref="H423">_xlfn.XLOOKUP(E:E,'Calificación consecuencia'!B:B,'Calificación consecuencia'!K:K,"No encontrada",2)</f>
        <v>Baja</v>
      </c>
      <c r="I423" s="9" t="s">
        <v>339</v>
      </c>
      <c r="J423" s="20" t="s">
        <v>116</v>
      </c>
      <c r="K423" s="21"/>
      <c r="L423" s="21"/>
      <c r="M423" s="22" t="s">
        <v>120</v>
      </c>
      <c r="N423" s="21"/>
      <c r="O423" s="20" t="s">
        <v>116</v>
      </c>
      <c r="P423" s="22" t="s">
        <v>120</v>
      </c>
      <c r="Q423" s="20" t="s">
        <v>116</v>
      </c>
      <c r="R423" s="21"/>
      <c r="S423" s="21"/>
      <c r="T423" s="21"/>
      <c r="U423" s="9" t="s">
        <v>785</v>
      </c>
      <c r="V423" s="9" t="s">
        <v>786</v>
      </c>
    </row>
    <row r="424" ht="14.25" customHeight="1">
      <c r="A424" s="9" t="s">
        <v>847</v>
      </c>
      <c r="B424" s="9" t="s">
        <v>846</v>
      </c>
      <c r="C424" s="9" t="str">
        <f t="array" ref="C424">INDEX(Funciones!$G$2:$G$372,MATCH($A424,Funciones!$B$2:$B$372,0))</f>
        <v>Suministrar la corriente de arranque con tensión mínima de 19,2 V</v>
      </c>
      <c r="D424" s="9" t="s">
        <v>4017</v>
      </c>
      <c r="E424" s="9" t="s">
        <v>1204</v>
      </c>
      <c r="F424" s="9" t="s">
        <v>3292</v>
      </c>
      <c r="G424" s="9" t="s">
        <v>3293</v>
      </c>
      <c r="H424" s="18" t="str">
        <f t="array" ref="H424">_xlfn.XLOOKUP(E:E,'Calificación consecuencia'!B:B,'Calificación consecuencia'!K:K,"No encontrada",2)</f>
        <v>Baja</v>
      </c>
      <c r="I424" s="9" t="s">
        <v>339</v>
      </c>
      <c r="J424" s="20" t="s">
        <v>116</v>
      </c>
      <c r="K424" s="21"/>
      <c r="L424" s="21"/>
      <c r="M424" s="22" t="s">
        <v>120</v>
      </c>
      <c r="N424" s="21"/>
      <c r="O424" s="20" t="s">
        <v>116</v>
      </c>
      <c r="P424" s="22" t="s">
        <v>120</v>
      </c>
      <c r="Q424" s="22" t="s">
        <v>120</v>
      </c>
      <c r="R424" s="20" t="s">
        <v>116</v>
      </c>
      <c r="S424" s="21"/>
      <c r="T424" s="21"/>
      <c r="U424" s="9" t="s">
        <v>1680</v>
      </c>
      <c r="V424" s="9" t="s">
        <v>1408</v>
      </c>
    </row>
    <row r="425" ht="14.25" customHeight="1">
      <c r="A425" s="9" t="s">
        <v>847</v>
      </c>
      <c r="B425" s="9" t="s">
        <v>846</v>
      </c>
      <c r="C425" s="9" t="str">
        <f t="array" ref="C425">INDEX(Funciones!$G$2:$G$372,MATCH($A425,Funciones!$B$2:$B$372,0))</f>
        <v>Suministrar la corriente de arranque con tensión mínima de 19,2 V</v>
      </c>
      <c r="D425" s="9" t="s">
        <v>4017</v>
      </c>
      <c r="E425" s="9" t="s">
        <v>1210</v>
      </c>
      <c r="F425" s="9" t="s">
        <v>3297</v>
      </c>
      <c r="G425" s="9" t="s">
        <v>3298</v>
      </c>
      <c r="H425" s="18" t="str">
        <f t="array" ref="H425">_xlfn.XLOOKUP(E:E,'Calificación consecuencia'!B:B,'Calificación consecuencia'!K:K,"No encontrada",2)</f>
        <v>Media</v>
      </c>
      <c r="I425" s="9" t="s">
        <v>339</v>
      </c>
      <c r="J425" s="20" t="s">
        <v>116</v>
      </c>
      <c r="K425" s="21"/>
      <c r="L425" s="21"/>
      <c r="M425" s="22" t="s">
        <v>120</v>
      </c>
      <c r="N425" s="21"/>
      <c r="O425" s="20" t="s">
        <v>116</v>
      </c>
      <c r="P425" s="22" t="s">
        <v>120</v>
      </c>
      <c r="Q425" s="20" t="s">
        <v>116</v>
      </c>
      <c r="R425" s="21"/>
      <c r="S425" s="21"/>
      <c r="T425" s="21"/>
      <c r="U425" s="9" t="s">
        <v>785</v>
      </c>
      <c r="V425" s="9" t="s">
        <v>786</v>
      </c>
    </row>
    <row r="426" ht="14.25" customHeight="1">
      <c r="A426" s="9" t="s">
        <v>847</v>
      </c>
      <c r="B426" s="9" t="s">
        <v>846</v>
      </c>
      <c r="C426" s="9" t="str">
        <f t="array" ref="C426">INDEX(Funciones!$G$2:$G$372,MATCH($A426,Funciones!$B$2:$B$372,0))</f>
        <v>Suministrar la corriente de arranque con tensión mínima de 19,2 V</v>
      </c>
      <c r="D426" s="9" t="s">
        <v>4017</v>
      </c>
      <c r="E426" s="9" t="s">
        <v>1219</v>
      </c>
      <c r="F426" s="9" t="s">
        <v>3301</v>
      </c>
      <c r="G426" s="9" t="s">
        <v>3302</v>
      </c>
      <c r="H426" s="18" t="str">
        <f t="array" ref="H426">_xlfn.XLOOKUP(E:E,'Calificación consecuencia'!B:B,'Calificación consecuencia'!K:K,"No encontrada",2)</f>
        <v>Media</v>
      </c>
      <c r="I426" s="9" t="s">
        <v>339</v>
      </c>
      <c r="J426" s="20" t="s">
        <v>116</v>
      </c>
      <c r="K426" s="21"/>
      <c r="L426" s="21"/>
      <c r="M426" s="22" t="s">
        <v>120</v>
      </c>
      <c r="N426" s="21"/>
      <c r="O426" s="20" t="s">
        <v>116</v>
      </c>
      <c r="P426" s="22" t="s">
        <v>120</v>
      </c>
      <c r="Q426" s="20" t="s">
        <v>116</v>
      </c>
      <c r="R426" s="21"/>
      <c r="S426" s="21"/>
      <c r="T426" s="21"/>
      <c r="U426" s="9" t="s">
        <v>785</v>
      </c>
      <c r="V426" s="9" t="s">
        <v>786</v>
      </c>
    </row>
    <row r="427" ht="14.25" customHeight="1">
      <c r="A427" s="9" t="s">
        <v>847</v>
      </c>
      <c r="B427" s="9" t="s">
        <v>846</v>
      </c>
      <c r="C427" s="9" t="str">
        <f t="array" ref="C427">INDEX(Funciones!$G$2:$G$372,MATCH($A427,Funciones!$B$2:$B$372,0))</f>
        <v>Suministrar la corriente de arranque con tensión mínima de 19,2 V</v>
      </c>
      <c r="D427" s="9" t="s">
        <v>4018</v>
      </c>
      <c r="E427" s="9" t="s">
        <v>1228</v>
      </c>
      <c r="F427" s="9" t="s">
        <v>3305</v>
      </c>
      <c r="G427" s="9" t="s">
        <v>3306</v>
      </c>
      <c r="H427" s="18" t="str">
        <f t="array" ref="H427">_xlfn.XLOOKUP(E:E,'Calificación consecuencia'!B:B,'Calificación consecuencia'!K:K,"No encontrada",2)</f>
        <v>Baja</v>
      </c>
      <c r="I427" s="9" t="s">
        <v>2106</v>
      </c>
      <c r="J427" s="20" t="s">
        <v>116</v>
      </c>
      <c r="K427" s="21"/>
      <c r="L427" s="21"/>
      <c r="M427" s="22" t="s">
        <v>120</v>
      </c>
      <c r="N427" s="21"/>
      <c r="O427" s="22" t="s">
        <v>120</v>
      </c>
      <c r="P427" s="21"/>
      <c r="Q427" s="21"/>
      <c r="R427" s="21"/>
      <c r="S427" s="22" t="s">
        <v>120</v>
      </c>
      <c r="T427" s="21"/>
      <c r="U427" s="9" t="s">
        <v>1680</v>
      </c>
      <c r="V427" s="9" t="s">
        <v>1408</v>
      </c>
    </row>
    <row r="428" ht="14.25" customHeight="1">
      <c r="A428" s="9" t="s">
        <v>847</v>
      </c>
      <c r="B428" s="9" t="s">
        <v>846</v>
      </c>
      <c r="C428" s="9" t="str">
        <f t="array" ref="C428">INDEX(Funciones!$G$2:$G$372,MATCH($A428,Funciones!$B$2:$B$372,0))</f>
        <v>Suministrar la corriente de arranque con tensión mínima de 19,2 V</v>
      </c>
      <c r="D428" s="9" t="s">
        <v>4018</v>
      </c>
      <c r="E428" s="9" t="s">
        <v>1233</v>
      </c>
      <c r="F428" s="9" t="s">
        <v>3307</v>
      </c>
      <c r="G428" s="9" t="s">
        <v>3308</v>
      </c>
      <c r="H428" s="18" t="str">
        <f t="array" ref="H428">_xlfn.XLOOKUP(E:E,'Calificación consecuencia'!B:B,'Calificación consecuencia'!K:K,"No encontrada",2)</f>
        <v>Baja</v>
      </c>
      <c r="I428" s="9" t="s">
        <v>2106</v>
      </c>
      <c r="J428" s="20" t="s">
        <v>116</v>
      </c>
      <c r="K428" s="21"/>
      <c r="L428" s="21"/>
      <c r="M428" s="22" t="s">
        <v>120</v>
      </c>
      <c r="N428" s="21"/>
      <c r="O428" s="22" t="s">
        <v>120</v>
      </c>
      <c r="P428" s="21"/>
      <c r="Q428" s="21"/>
      <c r="R428" s="21"/>
      <c r="S428" s="22" t="s">
        <v>120</v>
      </c>
      <c r="T428" s="21"/>
      <c r="U428" s="9" t="s">
        <v>1680</v>
      </c>
      <c r="V428" s="9" t="s">
        <v>1408</v>
      </c>
    </row>
    <row r="429" ht="14.25" customHeight="1">
      <c r="A429" s="27" t="s">
        <v>853</v>
      </c>
      <c r="B429" s="27" t="s">
        <v>846</v>
      </c>
      <c r="C429" s="27" t="str">
        <f t="array" ref="C429">INDEX(Funciones!$G$2:$G$372,MATCH($A429,Funciones!$B$2:$B$372,0))</f>
        <v>Almacenar energía eléctrica con tensión mínima de 19,2 V</v>
      </c>
      <c r="D429" s="27" t="s">
        <v>3309</v>
      </c>
      <c r="E429" s="27" t="s">
        <v>1191</v>
      </c>
      <c r="F429" s="27" t="s">
        <v>3288</v>
      </c>
      <c r="G429" s="27" t="s">
        <v>3289</v>
      </c>
      <c r="H429" s="18" t="str">
        <f t="array" ref="H429">_xlfn.XLOOKUP(E:E,'Calificación consecuencia'!B:B,'Calificación consecuencia'!K:K,"No encontrada",2)</f>
        <v>Media</v>
      </c>
      <c r="I429" s="27" t="s">
        <v>339</v>
      </c>
      <c r="J429" s="30" t="s">
        <v>116</v>
      </c>
      <c r="K429" s="21"/>
      <c r="L429" s="21"/>
      <c r="M429" s="29" t="s">
        <v>120</v>
      </c>
      <c r="N429" s="21"/>
      <c r="O429" s="30" t="s">
        <v>116</v>
      </c>
      <c r="P429" s="29" t="s">
        <v>120</v>
      </c>
      <c r="Q429" s="30" t="s">
        <v>116</v>
      </c>
      <c r="R429" s="21"/>
      <c r="S429" s="21"/>
      <c r="T429" s="21"/>
      <c r="U429" s="27" t="s">
        <v>785</v>
      </c>
      <c r="V429" s="27" t="s">
        <v>786</v>
      </c>
    </row>
    <row r="430" ht="14.25" customHeight="1">
      <c r="A430" s="27" t="s">
        <v>853</v>
      </c>
      <c r="B430" s="27" t="s">
        <v>846</v>
      </c>
      <c r="C430" s="27" t="str">
        <f t="array" ref="C430">INDEX(Funciones!$G$2:$G$372,MATCH($A430,Funciones!$B$2:$B$372,0))</f>
        <v>Almacenar energía eléctrica con tensión mínima de 19,2 V</v>
      </c>
      <c r="D430" s="27" t="s">
        <v>3309</v>
      </c>
      <c r="E430" s="27" t="s">
        <v>1204</v>
      </c>
      <c r="F430" s="27" t="s">
        <v>3292</v>
      </c>
      <c r="G430" s="27" t="s">
        <v>3293</v>
      </c>
      <c r="H430" s="18" t="str">
        <f t="array" ref="H430">_xlfn.XLOOKUP(E:E,'Calificación consecuencia'!B:B,'Calificación consecuencia'!K:K,"No encontrada",2)</f>
        <v>Baja</v>
      </c>
      <c r="I430" s="27" t="s">
        <v>339</v>
      </c>
      <c r="J430" s="30" t="s">
        <v>116</v>
      </c>
      <c r="K430" s="21"/>
      <c r="L430" s="21"/>
      <c r="M430" s="29" t="s">
        <v>120</v>
      </c>
      <c r="N430" s="21"/>
      <c r="O430" s="30" t="s">
        <v>116</v>
      </c>
      <c r="P430" s="29" t="s">
        <v>120</v>
      </c>
      <c r="Q430" s="29" t="s">
        <v>120</v>
      </c>
      <c r="R430" s="30" t="s">
        <v>116</v>
      </c>
      <c r="S430" s="21"/>
      <c r="T430" s="21"/>
      <c r="U430" s="27" t="s">
        <v>1680</v>
      </c>
      <c r="V430" s="27" t="s">
        <v>1408</v>
      </c>
    </row>
    <row r="431" ht="14.25" customHeight="1">
      <c r="A431" s="27" t="s">
        <v>853</v>
      </c>
      <c r="B431" s="27" t="s">
        <v>846</v>
      </c>
      <c r="C431" s="27" t="str">
        <f t="array" ref="C431">INDEX(Funciones!$G$2:$G$372,MATCH($A431,Funciones!$B$2:$B$372,0))</f>
        <v>Almacenar energía eléctrica con tensión mínima de 19,2 V</v>
      </c>
      <c r="D431" s="27" t="s">
        <v>3310</v>
      </c>
      <c r="E431" s="27" t="s">
        <v>1228</v>
      </c>
      <c r="F431" s="27" t="s">
        <v>3305</v>
      </c>
      <c r="G431" s="27" t="s">
        <v>3306</v>
      </c>
      <c r="H431" s="18" t="str">
        <f t="array" ref="H431">_xlfn.XLOOKUP(E:E,'Calificación consecuencia'!B:B,'Calificación consecuencia'!K:K,"No encontrada",2)</f>
        <v>Baja</v>
      </c>
      <c r="I431" s="27" t="s">
        <v>2106</v>
      </c>
      <c r="J431" s="30" t="s">
        <v>116</v>
      </c>
      <c r="K431" s="21"/>
      <c r="L431" s="21"/>
      <c r="M431" s="29" t="s">
        <v>120</v>
      </c>
      <c r="N431" s="21"/>
      <c r="O431" s="29" t="s">
        <v>120</v>
      </c>
      <c r="P431" s="21"/>
      <c r="Q431" s="21"/>
      <c r="R431" s="21"/>
      <c r="S431" s="29" t="s">
        <v>120</v>
      </c>
      <c r="T431" s="21"/>
      <c r="U431" s="27" t="s">
        <v>1680</v>
      </c>
      <c r="V431" s="27" t="s">
        <v>1408</v>
      </c>
    </row>
    <row r="432" ht="14.25" customHeight="1">
      <c r="A432" s="9" t="s">
        <v>859</v>
      </c>
      <c r="B432" s="9" t="s">
        <v>858</v>
      </c>
      <c r="C432" s="9" t="str">
        <f t="array" ref="C432">INDEX(Funciones!$G$2:$G$372,MATCH($A432,Funciones!$B$2:$B$372,0))</f>
        <v>Elevar las cargas con momento de 107 kN·m</v>
      </c>
      <c r="D432" s="9" t="s">
        <v>4019</v>
      </c>
      <c r="E432" s="9" t="s">
        <v>910</v>
      </c>
      <c r="F432" s="9" t="s">
        <v>4020</v>
      </c>
      <c r="G432" s="9" t="s">
        <v>2389</v>
      </c>
      <c r="H432" s="18" t="str">
        <f t="array" ref="H432">_xlfn.XLOOKUP(E:E,'Calificación consecuencia'!B:B,'Calificación consecuencia'!K:K,"No encontrada",2)</f>
        <v>Baja</v>
      </c>
      <c r="I432" s="9" t="s">
        <v>425</v>
      </c>
      <c r="J432" s="20" t="s">
        <v>116</v>
      </c>
      <c r="K432" s="21"/>
      <c r="L432" s="21"/>
      <c r="M432" s="20" t="s">
        <v>116</v>
      </c>
      <c r="N432" s="20" t="s">
        <v>116</v>
      </c>
      <c r="O432" s="21"/>
      <c r="P432" s="21"/>
      <c r="Q432" s="21"/>
      <c r="R432" s="21"/>
      <c r="S432" s="21"/>
      <c r="T432" s="21"/>
      <c r="U432" s="9" t="s">
        <v>195</v>
      </c>
      <c r="V432" s="9" t="s">
        <v>196</v>
      </c>
    </row>
    <row r="433" ht="14.25" customHeight="1">
      <c r="A433" s="9" t="s">
        <v>859</v>
      </c>
      <c r="B433" s="9" t="s">
        <v>858</v>
      </c>
      <c r="C433" s="9" t="str">
        <f t="array" ref="C433">INDEX(Funciones!$G$2:$G$372,MATCH($A433,Funciones!$B$2:$B$372,0))</f>
        <v>Elevar las cargas con momento de 107 kN·m</v>
      </c>
      <c r="D433" s="9" t="s">
        <v>4019</v>
      </c>
      <c r="E433" s="9" t="s">
        <v>2738</v>
      </c>
      <c r="F433" s="9" t="s">
        <v>4021</v>
      </c>
      <c r="G433" s="9" t="s">
        <v>4022</v>
      </c>
      <c r="H433" s="18" t="str">
        <f t="array" ref="H433">_xlfn.XLOOKUP(E:E,'Calificación consecuencia'!B:B,'Calificación consecuencia'!K:K,"No encontrada",2)</f>
        <v>Media</v>
      </c>
      <c r="I433" s="9" t="s">
        <v>425</v>
      </c>
      <c r="J433" s="20" t="s">
        <v>116</v>
      </c>
      <c r="K433" s="21"/>
      <c r="L433" s="21"/>
      <c r="M433" s="20" t="s">
        <v>116</v>
      </c>
      <c r="N433" s="20" t="s">
        <v>116</v>
      </c>
      <c r="O433" s="21"/>
      <c r="P433" s="21"/>
      <c r="Q433" s="21"/>
      <c r="R433" s="21"/>
      <c r="S433" s="21"/>
      <c r="T433" s="21"/>
      <c r="U433" s="9" t="s">
        <v>195</v>
      </c>
      <c r="V433" s="9" t="s">
        <v>196</v>
      </c>
    </row>
    <row r="434" ht="14.25" customHeight="1">
      <c r="A434" s="9" t="s">
        <v>859</v>
      </c>
      <c r="B434" s="9" t="s">
        <v>858</v>
      </c>
      <c r="C434" s="9" t="str">
        <f t="array" ref="C434">INDEX(Funciones!$G$2:$G$372,MATCH($A434,Funciones!$B$2:$B$372,0))</f>
        <v>Elevar las cargas con momento de 107 kN·m</v>
      </c>
      <c r="D434" s="9" t="s">
        <v>4023</v>
      </c>
      <c r="E434" s="9" t="s">
        <v>2750</v>
      </c>
      <c r="F434" s="9" t="s">
        <v>4024</v>
      </c>
      <c r="G434" s="9" t="s">
        <v>4025</v>
      </c>
      <c r="H434" s="18" t="str">
        <f t="array" ref="H434">_xlfn.XLOOKUP(E:E,'Calificación consecuencia'!B:B,'Calificación consecuencia'!K:K,"No encontrada",2)</f>
        <v>Baja</v>
      </c>
      <c r="I434" s="9" t="s">
        <v>1800</v>
      </c>
      <c r="J434" s="20" t="s">
        <v>116</v>
      </c>
      <c r="K434" s="21"/>
      <c r="L434" s="21"/>
      <c r="M434" s="22" t="s">
        <v>120</v>
      </c>
      <c r="N434" s="21"/>
      <c r="O434" s="20" t="s">
        <v>116</v>
      </c>
      <c r="P434" s="20" t="s">
        <v>116</v>
      </c>
      <c r="Q434" s="21"/>
      <c r="R434" s="21"/>
      <c r="S434" s="21"/>
      <c r="T434" s="21"/>
      <c r="U434" s="9" t="s">
        <v>345</v>
      </c>
      <c r="V434" s="9" t="s">
        <v>196</v>
      </c>
    </row>
    <row r="435" ht="14.25" customHeight="1">
      <c r="A435" s="9" t="s">
        <v>859</v>
      </c>
      <c r="B435" s="9" t="s">
        <v>858</v>
      </c>
      <c r="C435" s="9" t="str">
        <f t="array" ref="C435">INDEX(Funciones!$G$2:$G$372,MATCH($A435,Funciones!$B$2:$B$372,0))</f>
        <v>Elevar las cargas con momento de 107 kN·m</v>
      </c>
      <c r="D435" s="9" t="s">
        <v>4023</v>
      </c>
      <c r="E435" s="9" t="s">
        <v>948</v>
      </c>
      <c r="F435" s="9" t="s">
        <v>4026</v>
      </c>
      <c r="G435" s="9" t="s">
        <v>2448</v>
      </c>
      <c r="H435" s="18" t="str">
        <f t="array" ref="H435">_xlfn.XLOOKUP(E:E,'Calificación consecuencia'!B:B,'Calificación consecuencia'!K:K,"No encontrada",2)</f>
        <v>Baja</v>
      </c>
      <c r="I435" s="9" t="s">
        <v>2106</v>
      </c>
      <c r="J435" s="20" t="s">
        <v>116</v>
      </c>
      <c r="K435" s="21"/>
      <c r="L435" s="21"/>
      <c r="M435" s="22" t="s">
        <v>120</v>
      </c>
      <c r="N435" s="21"/>
      <c r="O435" s="22" t="s">
        <v>120</v>
      </c>
      <c r="P435" s="21"/>
      <c r="Q435" s="21"/>
      <c r="R435" s="21"/>
      <c r="S435" s="22" t="s">
        <v>120</v>
      </c>
      <c r="T435" s="21"/>
      <c r="U435" s="9" t="s">
        <v>1680</v>
      </c>
      <c r="V435" s="9" t="s">
        <v>1408</v>
      </c>
    </row>
    <row r="436" ht="14.25" customHeight="1">
      <c r="A436" s="9" t="s">
        <v>859</v>
      </c>
      <c r="B436" s="9" t="s">
        <v>858</v>
      </c>
      <c r="C436" s="9" t="str">
        <f t="array" ref="C436">INDEX(Funciones!$G$2:$G$372,MATCH($A436,Funciones!$B$2:$B$372,0))</f>
        <v>Elevar las cargas con momento de 107 kN·m</v>
      </c>
      <c r="D436" s="9" t="s">
        <v>4023</v>
      </c>
      <c r="E436" s="9" t="s">
        <v>2764</v>
      </c>
      <c r="F436" s="9" t="s">
        <v>4027</v>
      </c>
      <c r="G436" s="9" t="s">
        <v>4028</v>
      </c>
      <c r="H436" s="18" t="str">
        <f t="array" ref="H436">_xlfn.XLOOKUP(E:E,'Calificación consecuencia'!B:B,'Calificación consecuencia'!K:K,"No encontrada",2)</f>
        <v>Baja</v>
      </c>
      <c r="I436" s="9" t="s">
        <v>2106</v>
      </c>
      <c r="J436" s="20" t="s">
        <v>116</v>
      </c>
      <c r="K436" s="21"/>
      <c r="L436" s="21"/>
      <c r="M436" s="22" t="s">
        <v>120</v>
      </c>
      <c r="N436" s="21"/>
      <c r="O436" s="22" t="s">
        <v>120</v>
      </c>
      <c r="P436" s="21"/>
      <c r="Q436" s="21"/>
      <c r="R436" s="21"/>
      <c r="S436" s="22" t="s">
        <v>120</v>
      </c>
      <c r="T436" s="21"/>
      <c r="U436" s="9" t="s">
        <v>1680</v>
      </c>
      <c r="V436" s="9" t="s">
        <v>1408</v>
      </c>
    </row>
    <row r="437" ht="14.25" customHeight="1">
      <c r="A437" s="9" t="s">
        <v>859</v>
      </c>
      <c r="B437" s="9" t="s">
        <v>858</v>
      </c>
      <c r="C437" s="9" t="str">
        <f t="array" ref="C437">INDEX(Funciones!$G$2:$G$372,MATCH($A437,Funciones!$B$2:$B$372,0))</f>
        <v>Elevar las cargas con momento de 107 kN·m</v>
      </c>
      <c r="D437" s="9" t="s">
        <v>4029</v>
      </c>
      <c r="E437" s="9" t="s">
        <v>2771</v>
      </c>
      <c r="F437" s="9" t="s">
        <v>4030</v>
      </c>
      <c r="G437" s="9" t="s">
        <v>4031</v>
      </c>
      <c r="H437" s="18" t="str">
        <f t="array" ref="H437">_xlfn.XLOOKUP(E:E,'Calificación consecuencia'!B:B,'Calificación consecuencia'!K:K,"No encontrada",2)</f>
        <v>Media</v>
      </c>
      <c r="I437" s="9" t="s">
        <v>425</v>
      </c>
      <c r="J437" s="20" t="s">
        <v>116</v>
      </c>
      <c r="K437" s="21"/>
      <c r="L437" s="21"/>
      <c r="M437" s="20" t="s">
        <v>116</v>
      </c>
      <c r="N437" s="20" t="s">
        <v>116</v>
      </c>
      <c r="O437" s="21"/>
      <c r="P437" s="21"/>
      <c r="Q437" s="21"/>
      <c r="R437" s="21"/>
      <c r="S437" s="21"/>
      <c r="T437" s="21"/>
      <c r="U437" s="9" t="s">
        <v>195</v>
      </c>
      <c r="V437" s="9" t="s">
        <v>196</v>
      </c>
    </row>
    <row r="438" ht="14.25" customHeight="1">
      <c r="A438" s="27" t="s">
        <v>869</v>
      </c>
      <c r="B438" s="27" t="s">
        <v>868</v>
      </c>
      <c r="C438" s="27" t="str">
        <f t="array" ref="C438">INDEX(Funciones!$G$2:$G$372,MATCH($A438,Funciones!$B$2:$B$372,0))</f>
        <v>Transportar material hasta 1.000 kg</v>
      </c>
      <c r="D438" s="27" t="s">
        <v>4032</v>
      </c>
      <c r="E438" s="27" t="s">
        <v>2780</v>
      </c>
      <c r="F438" s="27" t="s">
        <v>4033</v>
      </c>
      <c r="G438" s="27" t="s">
        <v>4034</v>
      </c>
      <c r="H438" s="18" t="str">
        <f t="array" ref="H438">_xlfn.XLOOKUP(E:E,'Calificación consecuencia'!B:B,'Calificación consecuencia'!K:K,"No encontrada",2)</f>
        <v>Baja</v>
      </c>
      <c r="I438" s="27" t="s">
        <v>425</v>
      </c>
      <c r="J438" s="30" t="s">
        <v>116</v>
      </c>
      <c r="K438" s="21"/>
      <c r="L438" s="21"/>
      <c r="M438" s="30" t="s">
        <v>116</v>
      </c>
      <c r="N438" s="30" t="s">
        <v>116</v>
      </c>
      <c r="O438" s="21"/>
      <c r="P438" s="21"/>
      <c r="Q438" s="21"/>
      <c r="R438" s="21"/>
      <c r="S438" s="21"/>
      <c r="T438" s="21"/>
      <c r="U438" s="27" t="s">
        <v>195</v>
      </c>
      <c r="V438" s="27" t="s">
        <v>196</v>
      </c>
    </row>
    <row r="439" ht="14.25" customHeight="1">
      <c r="A439" s="27" t="s">
        <v>869</v>
      </c>
      <c r="B439" s="27" t="s">
        <v>868</v>
      </c>
      <c r="C439" s="27" t="str">
        <f t="array" ref="C439">INDEX(Funciones!$G$2:$G$372,MATCH($A439,Funciones!$B$2:$B$372,0))</f>
        <v>Transportar material hasta 1.000 kg</v>
      </c>
      <c r="D439" s="27" t="s">
        <v>4035</v>
      </c>
      <c r="E439" s="27" t="s">
        <v>2787</v>
      </c>
      <c r="F439" s="27" t="s">
        <v>4036</v>
      </c>
      <c r="G439" s="27" t="s">
        <v>4037</v>
      </c>
      <c r="H439" s="18" t="str">
        <f t="array" ref="H439">_xlfn.XLOOKUP(E:E,'Calificación consecuencia'!B:B,'Calificación consecuencia'!K:K,"No encontrada",2)</f>
        <v>Media</v>
      </c>
      <c r="I439" s="27" t="s">
        <v>1800</v>
      </c>
      <c r="J439" s="30" t="s">
        <v>116</v>
      </c>
      <c r="K439" s="21"/>
      <c r="L439" s="21"/>
      <c r="M439" s="29" t="s">
        <v>120</v>
      </c>
      <c r="N439" s="21"/>
      <c r="O439" s="30" t="s">
        <v>116</v>
      </c>
      <c r="P439" s="30" t="s">
        <v>116</v>
      </c>
      <c r="Q439" s="21"/>
      <c r="R439" s="21"/>
      <c r="S439" s="21"/>
      <c r="T439" s="21"/>
      <c r="U439" s="27" t="s">
        <v>345</v>
      </c>
      <c r="V439" s="27" t="s">
        <v>196</v>
      </c>
    </row>
    <row r="440" ht="14.25" customHeight="1">
      <c r="A440" s="27" t="s">
        <v>869</v>
      </c>
      <c r="B440" s="27" t="s">
        <v>868</v>
      </c>
      <c r="C440" s="27" t="str">
        <f t="array" ref="C440">INDEX(Funciones!$G$2:$G$372,MATCH($A440,Funciones!$B$2:$B$372,0))</f>
        <v>Transportar material hasta 1.000 kg</v>
      </c>
      <c r="D440" s="27" t="s">
        <v>4038</v>
      </c>
      <c r="E440" s="27" t="s">
        <v>2792</v>
      </c>
      <c r="F440" s="27" t="s">
        <v>4039</v>
      </c>
      <c r="G440" s="27" t="s">
        <v>1638</v>
      </c>
      <c r="H440" s="18" t="str">
        <f t="array" ref="H440">_xlfn.XLOOKUP(E:E,'Calificación consecuencia'!B:B,'Calificación consecuencia'!K:K,"No encontrada",2)</f>
        <v>Media</v>
      </c>
      <c r="I440" s="27" t="s">
        <v>425</v>
      </c>
      <c r="J440" s="30" t="s">
        <v>116</v>
      </c>
      <c r="K440" s="21"/>
      <c r="L440" s="21"/>
      <c r="M440" s="30" t="s">
        <v>116</v>
      </c>
      <c r="N440" s="30" t="s">
        <v>116</v>
      </c>
      <c r="O440" s="21"/>
      <c r="P440" s="21"/>
      <c r="Q440" s="21"/>
      <c r="R440" s="21"/>
      <c r="S440" s="21"/>
      <c r="T440" s="21"/>
      <c r="U440" s="27" t="s">
        <v>195</v>
      </c>
      <c r="V440" s="27" t="s">
        <v>196</v>
      </c>
    </row>
    <row r="441" ht="14.25" customHeight="1">
      <c r="A441" s="9" t="s">
        <v>881</v>
      </c>
      <c r="B441" s="9" t="s">
        <v>880</v>
      </c>
      <c r="C441" s="9" t="str">
        <f t="array" ref="C441">INDEX(Funciones!$G$2:$G$372,MATCH($A441,Funciones!$B$2:$B$372,0))</f>
        <v>Transmitir la fuerza a zapatas con juego de 5 a 7 mm</v>
      </c>
      <c r="D441" s="9" t="s">
        <v>4040</v>
      </c>
      <c r="E441" s="9" t="s">
        <v>1744</v>
      </c>
      <c r="F441" s="9" t="s">
        <v>3581</v>
      </c>
      <c r="G441" s="9" t="s">
        <v>3582</v>
      </c>
      <c r="H441" s="18" t="str">
        <f t="array" ref="H441">_xlfn.XLOOKUP(E:E,'Calificación consecuencia'!B:B,'Calificación consecuencia'!K:K,"No encontrada",2)</f>
        <v>Baja</v>
      </c>
      <c r="I441" s="9" t="s">
        <v>425</v>
      </c>
      <c r="J441" s="20" t="s">
        <v>116</v>
      </c>
      <c r="K441" s="21"/>
      <c r="L441" s="21"/>
      <c r="M441" s="20" t="s">
        <v>116</v>
      </c>
      <c r="N441" s="20" t="s">
        <v>116</v>
      </c>
      <c r="O441" s="21"/>
      <c r="P441" s="21"/>
      <c r="Q441" s="21"/>
      <c r="R441" s="21"/>
      <c r="S441" s="21"/>
      <c r="T441" s="21"/>
      <c r="U441" s="9" t="s">
        <v>195</v>
      </c>
      <c r="V441" s="9" t="s">
        <v>196</v>
      </c>
    </row>
    <row r="442" ht="14.25" customHeight="1">
      <c r="A442" s="9" t="s">
        <v>881</v>
      </c>
      <c r="B442" s="9" t="s">
        <v>880</v>
      </c>
      <c r="C442" s="9" t="str">
        <f t="array" ref="C442">INDEX(Funciones!$G$2:$G$372,MATCH($A442,Funciones!$B$2:$B$372,0))</f>
        <v>Transmitir la fuerza a zapatas con juego de 5 a 7 mm</v>
      </c>
      <c r="D442" s="9" t="s">
        <v>4041</v>
      </c>
      <c r="E442" s="9" t="s">
        <v>1749</v>
      </c>
      <c r="F442" s="9" t="s">
        <v>3584</v>
      </c>
      <c r="G442" s="9" t="s">
        <v>3585</v>
      </c>
      <c r="H442" s="18" t="str">
        <f t="array" ref="H442">_xlfn.XLOOKUP(E:E,'Calificación consecuencia'!B:B,'Calificación consecuencia'!K:K,"No encontrada",2)</f>
        <v>Baja</v>
      </c>
      <c r="I442" s="9" t="s">
        <v>2106</v>
      </c>
      <c r="J442" s="20" t="s">
        <v>116</v>
      </c>
      <c r="K442" s="21"/>
      <c r="L442" s="21"/>
      <c r="M442" s="22" t="s">
        <v>120</v>
      </c>
      <c r="N442" s="21"/>
      <c r="O442" s="22" t="s">
        <v>120</v>
      </c>
      <c r="P442" s="21"/>
      <c r="Q442" s="21"/>
      <c r="R442" s="21"/>
      <c r="S442" s="22" t="s">
        <v>120</v>
      </c>
      <c r="T442" s="21"/>
      <c r="U442" s="9" t="s">
        <v>1680</v>
      </c>
      <c r="V442" s="9" t="s">
        <v>1408</v>
      </c>
    </row>
    <row r="443" ht="14.25" customHeight="1">
      <c r="A443" s="9" t="s">
        <v>881</v>
      </c>
      <c r="B443" s="9" t="s">
        <v>880</v>
      </c>
      <c r="C443" s="9" t="str">
        <f t="array" ref="C443">INDEX(Funciones!$G$2:$G$372,MATCH($A443,Funciones!$B$2:$B$372,0))</f>
        <v>Transmitir la fuerza a zapatas con juego de 5 a 7 mm</v>
      </c>
      <c r="D443" s="9" t="s">
        <v>4042</v>
      </c>
      <c r="E443" s="9" t="s">
        <v>1751</v>
      </c>
      <c r="F443" s="9" t="s">
        <v>3587</v>
      </c>
      <c r="G443" s="9" t="s">
        <v>3588</v>
      </c>
      <c r="H443" s="18" t="str">
        <f t="array" ref="H443">_xlfn.XLOOKUP(E:E,'Calificación consecuencia'!B:B,'Calificación consecuencia'!K:K,"No encontrada",2)</f>
        <v>Baja</v>
      </c>
      <c r="I443" s="9" t="s">
        <v>1351</v>
      </c>
      <c r="J443" s="20" t="s">
        <v>116</v>
      </c>
      <c r="K443" s="21"/>
      <c r="L443" s="21"/>
      <c r="M443" s="20" t="s">
        <v>116</v>
      </c>
      <c r="N443" s="20" t="s">
        <v>116</v>
      </c>
      <c r="O443" s="21"/>
      <c r="P443" s="21"/>
      <c r="Q443" s="21"/>
      <c r="R443" s="21"/>
      <c r="S443" s="21"/>
      <c r="T443" s="21"/>
      <c r="U443" s="9" t="s">
        <v>195</v>
      </c>
      <c r="V443" s="9" t="s">
        <v>196</v>
      </c>
    </row>
    <row r="444" ht="14.25" customHeight="1">
      <c r="A444" s="9" t="s">
        <v>881</v>
      </c>
      <c r="B444" s="9" t="s">
        <v>880</v>
      </c>
      <c r="C444" s="9" t="str">
        <f t="array" ref="C444">INDEX(Funciones!$G$2:$G$372,MATCH($A444,Funciones!$B$2:$B$372,0))</f>
        <v>Transmitir la fuerza a zapatas con juego de 5 a 7 mm</v>
      </c>
      <c r="D444" s="9" t="s">
        <v>4042</v>
      </c>
      <c r="E444" s="9" t="s">
        <v>1753</v>
      </c>
      <c r="F444" s="9" t="s">
        <v>3589</v>
      </c>
      <c r="G444" s="9" t="s">
        <v>940</v>
      </c>
      <c r="H444" s="18" t="str">
        <f t="array" ref="H444">_xlfn.XLOOKUP(E:E,'Calificación consecuencia'!B:B,'Calificación consecuencia'!K:K,"No encontrada",2)</f>
        <v>Baja</v>
      </c>
      <c r="I444" s="9" t="s">
        <v>425</v>
      </c>
      <c r="J444" s="20" t="s">
        <v>116</v>
      </c>
      <c r="K444" s="21"/>
      <c r="L444" s="21"/>
      <c r="M444" s="20" t="s">
        <v>116</v>
      </c>
      <c r="N444" s="20" t="s">
        <v>116</v>
      </c>
      <c r="O444" s="21"/>
      <c r="P444" s="21"/>
      <c r="Q444" s="21"/>
      <c r="R444" s="21"/>
      <c r="S444" s="21"/>
      <c r="T444" s="21"/>
      <c r="U444" s="9" t="s">
        <v>195</v>
      </c>
      <c r="V444" s="9" t="s">
        <v>196</v>
      </c>
    </row>
    <row r="445" ht="14.25" customHeight="1">
      <c r="A445" s="9" t="s">
        <v>881</v>
      </c>
      <c r="B445" s="9" t="s">
        <v>880</v>
      </c>
      <c r="C445" s="9" t="str">
        <f t="array" ref="C445">INDEX(Funciones!$G$2:$G$372,MATCH($A445,Funciones!$B$2:$B$372,0))</f>
        <v>Transmitir la fuerza a zapatas con juego de 5 a 7 mm</v>
      </c>
      <c r="D445" s="9" t="s">
        <v>4042</v>
      </c>
      <c r="E445" s="9" t="s">
        <v>1755</v>
      </c>
      <c r="F445" s="9" t="s">
        <v>3590</v>
      </c>
      <c r="G445" s="9" t="s">
        <v>3591</v>
      </c>
      <c r="H445" s="18" t="str">
        <f t="array" ref="H445">_xlfn.XLOOKUP(E:E,'Calificación consecuencia'!B:B,'Calificación consecuencia'!K:K,"No encontrada",2)</f>
        <v>Media</v>
      </c>
      <c r="I445" s="9" t="s">
        <v>425</v>
      </c>
      <c r="J445" s="20" t="s">
        <v>116</v>
      </c>
      <c r="K445" s="21"/>
      <c r="L445" s="21"/>
      <c r="M445" s="20" t="s">
        <v>116</v>
      </c>
      <c r="N445" s="20" t="s">
        <v>116</v>
      </c>
      <c r="O445" s="21"/>
      <c r="P445" s="21"/>
      <c r="Q445" s="21"/>
      <c r="R445" s="21"/>
      <c r="S445" s="21"/>
      <c r="T445" s="21"/>
      <c r="U445" s="9" t="s">
        <v>195</v>
      </c>
      <c r="V445" s="9" t="s">
        <v>196</v>
      </c>
    </row>
    <row r="446" ht="14.25" customHeight="1">
      <c r="A446" s="27" t="s">
        <v>889</v>
      </c>
      <c r="B446" s="27" t="s">
        <v>888</v>
      </c>
      <c r="C446" s="27" t="str">
        <f t="array" ref="C446">INDEX(Funciones!$G$2:$G$372,MATCH($A446,Funciones!$B$2:$B$372,0))</f>
        <v>Medir la altura del hilo [ESTÁNDAR POR CONFIRMAR]</v>
      </c>
      <c r="D446" s="27" t="s">
        <v>4043</v>
      </c>
      <c r="E446" s="27" t="s">
        <v>2843</v>
      </c>
      <c r="F446" s="27" t="s">
        <v>4044</v>
      </c>
      <c r="G446" s="27" t="s">
        <v>4045</v>
      </c>
      <c r="H446" s="18" t="str">
        <f t="array" ref="H446">_xlfn.XLOOKUP(E:E,'Calificación consecuencia'!B:B,'Calificación consecuencia'!K:K,"No encontrada",2)</f>
        <v>Baja</v>
      </c>
      <c r="I446" s="27" t="s">
        <v>2106</v>
      </c>
      <c r="J446" s="29" t="s">
        <v>120</v>
      </c>
      <c r="K446" s="30" t="s">
        <v>116</v>
      </c>
      <c r="L446" s="21"/>
      <c r="M446" s="21"/>
      <c r="N446" s="21"/>
      <c r="O446" s="21"/>
      <c r="P446" s="21"/>
      <c r="Q446" s="21"/>
      <c r="R446" s="21"/>
      <c r="S446" s="21"/>
      <c r="T446" s="21"/>
      <c r="U446" s="27" t="s">
        <v>439</v>
      </c>
      <c r="V446" s="27" t="s">
        <v>440</v>
      </c>
    </row>
    <row r="447" ht="14.25" customHeight="1">
      <c r="A447" s="27" t="s">
        <v>889</v>
      </c>
      <c r="B447" s="27" t="s">
        <v>888</v>
      </c>
      <c r="C447" s="27" t="str">
        <f t="array" ref="C447">INDEX(Funciones!$G$2:$G$372,MATCH($A447,Funciones!$B$2:$B$372,0))</f>
        <v>Medir la altura del hilo [ESTÁNDAR POR CONFIRMAR]</v>
      </c>
      <c r="D447" s="27" t="s">
        <v>4043</v>
      </c>
      <c r="E447" s="27" t="s">
        <v>2852</v>
      </c>
      <c r="F447" s="27" t="s">
        <v>4046</v>
      </c>
      <c r="G447" s="27" t="s">
        <v>4047</v>
      </c>
      <c r="H447" s="18" t="str">
        <f t="array" ref="H447">_xlfn.XLOOKUP(E:E,'Calificación consecuencia'!B:B,'Calificación consecuencia'!K:K,"No encontrada",2)</f>
        <v>Baja</v>
      </c>
      <c r="I447" s="27" t="s">
        <v>2106</v>
      </c>
      <c r="J447" s="29" t="s">
        <v>120</v>
      </c>
      <c r="K447" s="30" t="s">
        <v>116</v>
      </c>
      <c r="L447" s="21"/>
      <c r="M447" s="21"/>
      <c r="N447" s="21"/>
      <c r="O447" s="21"/>
      <c r="P447" s="21"/>
      <c r="Q447" s="21"/>
      <c r="R447" s="21"/>
      <c r="S447" s="21"/>
      <c r="T447" s="21"/>
      <c r="U447" s="27" t="s">
        <v>439</v>
      </c>
      <c r="V447" s="27" t="s">
        <v>440</v>
      </c>
    </row>
    <row r="448" ht="14.25" customHeight="1">
      <c r="A448" s="27" t="s">
        <v>889</v>
      </c>
      <c r="B448" s="27" t="s">
        <v>888</v>
      </c>
      <c r="C448" s="27" t="str">
        <f t="array" ref="C448">INDEX(Funciones!$G$2:$G$372,MATCH($A448,Funciones!$B$2:$B$372,0))</f>
        <v>Medir la altura del hilo [ESTÁNDAR POR CONFIRMAR]</v>
      </c>
      <c r="D448" s="27" t="s">
        <v>4048</v>
      </c>
      <c r="E448" s="27" t="s">
        <v>2861</v>
      </c>
      <c r="F448" s="27" t="s">
        <v>4049</v>
      </c>
      <c r="G448" s="27" t="s">
        <v>4050</v>
      </c>
      <c r="H448" s="18" t="str">
        <f t="array" ref="H448">_xlfn.XLOOKUP(E:E,'Calificación consecuencia'!B:B,'Calificación consecuencia'!K:K,"No encontrada",2)</f>
        <v>Baja</v>
      </c>
      <c r="I448" s="27" t="s">
        <v>2106</v>
      </c>
      <c r="J448" s="29" t="s">
        <v>120</v>
      </c>
      <c r="K448" s="30" t="s">
        <v>116</v>
      </c>
      <c r="L448" s="21"/>
      <c r="M448" s="21"/>
      <c r="N448" s="21"/>
      <c r="O448" s="21"/>
      <c r="P448" s="21"/>
      <c r="Q448" s="21"/>
      <c r="R448" s="21"/>
      <c r="S448" s="21"/>
      <c r="T448" s="21"/>
      <c r="U448" s="27" t="s">
        <v>439</v>
      </c>
      <c r="V448" s="27" t="s">
        <v>440</v>
      </c>
    </row>
    <row r="449" ht="14.25" customHeight="1">
      <c r="A449" s="27" t="s">
        <v>889</v>
      </c>
      <c r="B449" s="27" t="s">
        <v>888</v>
      </c>
      <c r="C449" s="27" t="str">
        <f t="array" ref="C449">INDEX(Funciones!$G$2:$G$372,MATCH($A449,Funciones!$B$2:$B$372,0))</f>
        <v>Medir la altura del hilo [ESTÁNDAR POR CONFIRMAR]</v>
      </c>
      <c r="D449" s="27" t="s">
        <v>4051</v>
      </c>
      <c r="E449" s="27" t="s">
        <v>2874</v>
      </c>
      <c r="F449" s="27" t="s">
        <v>4052</v>
      </c>
      <c r="G449" s="27" t="s">
        <v>4053</v>
      </c>
      <c r="H449" s="18" t="str">
        <f t="array" ref="H449">_xlfn.XLOOKUP(E:E,'Calificación consecuencia'!B:B,'Calificación consecuencia'!K:K,"No encontrada",2)</f>
        <v>Baja</v>
      </c>
      <c r="I449" s="27" t="s">
        <v>2106</v>
      </c>
      <c r="J449" s="29" t="s">
        <v>120</v>
      </c>
      <c r="K449" s="30" t="s">
        <v>116</v>
      </c>
      <c r="L449" s="21"/>
      <c r="M449" s="21"/>
      <c r="N449" s="21"/>
      <c r="O449" s="21"/>
      <c r="P449" s="21"/>
      <c r="Q449" s="21"/>
      <c r="R449" s="21"/>
      <c r="S449" s="21"/>
      <c r="T449" s="21"/>
      <c r="U449" s="27" t="s">
        <v>439</v>
      </c>
      <c r="V449" s="27" t="s">
        <v>440</v>
      </c>
    </row>
    <row r="450" ht="14.25" customHeight="1">
      <c r="A450" s="9" t="s">
        <v>899</v>
      </c>
      <c r="B450" s="9" t="s">
        <v>888</v>
      </c>
      <c r="C450" s="9" t="str">
        <f t="array" ref="C450">INDEX(Funciones!$G$2:$G$372,MATCH($A450,Funciones!$B$2:$B$372,0))</f>
        <v>Medir el descentramiento del hilo con exactitud de ±_____ mm</v>
      </c>
      <c r="D450" s="9" t="s">
        <v>4054</v>
      </c>
      <c r="E450" s="9" t="s">
        <v>2843</v>
      </c>
      <c r="F450" s="9" t="s">
        <v>4055</v>
      </c>
      <c r="G450" s="9" t="s">
        <v>4045</v>
      </c>
      <c r="H450" s="18" t="str">
        <f t="array" ref="H450">_xlfn.XLOOKUP(E:E,'Calificación consecuencia'!B:B,'Calificación consecuencia'!K:K,"No encontrada",2)</f>
        <v>Baja</v>
      </c>
      <c r="I450" s="9" t="s">
        <v>2106</v>
      </c>
      <c r="J450" s="22" t="s">
        <v>120</v>
      </c>
      <c r="K450" s="20" t="s">
        <v>116</v>
      </c>
      <c r="L450" s="21"/>
      <c r="M450" s="21"/>
      <c r="N450" s="21"/>
      <c r="O450" s="21"/>
      <c r="P450" s="21"/>
      <c r="Q450" s="21"/>
      <c r="R450" s="21"/>
      <c r="S450" s="21"/>
      <c r="T450" s="21"/>
      <c r="U450" s="9" t="s">
        <v>439</v>
      </c>
      <c r="V450" s="9" t="s">
        <v>440</v>
      </c>
    </row>
    <row r="451" ht="14.25" customHeight="1">
      <c r="A451" s="9" t="s">
        <v>899</v>
      </c>
      <c r="B451" s="9" t="s">
        <v>888</v>
      </c>
      <c r="C451" s="9" t="str">
        <f t="array" ref="C451">INDEX(Funciones!$G$2:$G$372,MATCH($A451,Funciones!$B$2:$B$372,0))</f>
        <v>Medir el descentramiento del hilo con exactitud de ±_____ mm</v>
      </c>
      <c r="D451" s="9" t="s">
        <v>4056</v>
      </c>
      <c r="E451" s="9" t="s">
        <v>2861</v>
      </c>
      <c r="F451" s="9" t="s">
        <v>4057</v>
      </c>
      <c r="G451" s="9" t="s">
        <v>4050</v>
      </c>
      <c r="H451" s="18" t="str">
        <f t="array" ref="H451">_xlfn.XLOOKUP(E:E,'Calificación consecuencia'!B:B,'Calificación consecuencia'!K:K,"No encontrada",2)</f>
        <v>Baja</v>
      </c>
      <c r="I451" s="9" t="s">
        <v>2106</v>
      </c>
      <c r="J451" s="22" t="s">
        <v>120</v>
      </c>
      <c r="K451" s="20" t="s">
        <v>116</v>
      </c>
      <c r="L451" s="21"/>
      <c r="M451" s="21"/>
      <c r="N451" s="21"/>
      <c r="O451" s="21"/>
      <c r="P451" s="21"/>
      <c r="Q451" s="21"/>
      <c r="R451" s="21"/>
      <c r="S451" s="21"/>
      <c r="T451" s="21"/>
      <c r="U451" s="9" t="s">
        <v>439</v>
      </c>
      <c r="V451" s="9" t="s">
        <v>440</v>
      </c>
    </row>
    <row r="452" ht="14.25" customHeight="1">
      <c r="A452" s="9" t="s">
        <v>899</v>
      </c>
      <c r="B452" s="9" t="s">
        <v>888</v>
      </c>
      <c r="C452" s="9" t="str">
        <f t="array" ref="C452">INDEX(Funciones!$G$2:$G$372,MATCH($A452,Funciones!$B$2:$B$372,0))</f>
        <v>Medir el descentramiento del hilo con exactitud de ±_____ mm</v>
      </c>
      <c r="D452" s="9" t="s">
        <v>4058</v>
      </c>
      <c r="E452" s="9" t="s">
        <v>2874</v>
      </c>
      <c r="F452" s="9" t="s">
        <v>4059</v>
      </c>
      <c r="G452" s="9" t="s">
        <v>4053</v>
      </c>
      <c r="H452" s="18" t="str">
        <f t="array" ref="H452">_xlfn.XLOOKUP(E:E,'Calificación consecuencia'!B:B,'Calificación consecuencia'!K:K,"No encontrada",2)</f>
        <v>Baja</v>
      </c>
      <c r="I452" s="9" t="s">
        <v>2106</v>
      </c>
      <c r="J452" s="22" t="s">
        <v>120</v>
      </c>
      <c r="K452" s="20" t="s">
        <v>116</v>
      </c>
      <c r="L452" s="21"/>
      <c r="M452" s="21"/>
      <c r="N452" s="21"/>
      <c r="O452" s="21"/>
      <c r="P452" s="21"/>
      <c r="Q452" s="21"/>
      <c r="R452" s="21"/>
      <c r="S452" s="21"/>
      <c r="T452" s="21"/>
      <c r="U452" s="9" t="s">
        <v>439</v>
      </c>
      <c r="V452" s="9" t="s">
        <v>440</v>
      </c>
    </row>
    <row r="453" ht="14.25" customHeight="1">
      <c r="A453" s="27" t="s">
        <v>907</v>
      </c>
      <c r="B453" s="27" t="s">
        <v>906</v>
      </c>
      <c r="C453" s="27" t="str">
        <f t="array" ref="C453">INDEX(Funciones!$G$2:$G$372,MATCH($A453,Funciones!$B$2:$B$372,0))</f>
        <v>Mantener la fuerza de contacto de 60 a 140 N</v>
      </c>
      <c r="D453" s="27" t="s">
        <v>4060</v>
      </c>
      <c r="E453" s="27" t="s">
        <v>2899</v>
      </c>
      <c r="F453" s="27" t="s">
        <v>4061</v>
      </c>
      <c r="G453" s="27" t="s">
        <v>4062</v>
      </c>
      <c r="H453" s="18" t="str">
        <f t="array" ref="H453">_xlfn.XLOOKUP(E:E,'Calificación consecuencia'!B:B,'Calificación consecuencia'!K:K,"No encontrada",2)</f>
        <v>Media</v>
      </c>
      <c r="I453" s="27" t="s">
        <v>1800</v>
      </c>
      <c r="J453" s="30" t="s">
        <v>116</v>
      </c>
      <c r="K453" s="21"/>
      <c r="L453" s="21"/>
      <c r="M453" s="30" t="s">
        <v>116</v>
      </c>
      <c r="N453" s="30" t="s">
        <v>116</v>
      </c>
      <c r="O453" s="21"/>
      <c r="P453" s="21"/>
      <c r="Q453" s="21"/>
      <c r="R453" s="21"/>
      <c r="S453" s="21"/>
      <c r="T453" s="21"/>
      <c r="U453" s="27" t="s">
        <v>195</v>
      </c>
      <c r="V453" s="27" t="s">
        <v>196</v>
      </c>
    </row>
    <row r="454" ht="14.25" customHeight="1">
      <c r="A454" s="27" t="s">
        <v>907</v>
      </c>
      <c r="B454" s="27" t="s">
        <v>906</v>
      </c>
      <c r="C454" s="27" t="str">
        <f t="array" ref="C454">INDEX(Funciones!$G$2:$G$372,MATCH($A454,Funciones!$B$2:$B$372,0))</f>
        <v>Mantener la fuerza de contacto de 60 a 140 N</v>
      </c>
      <c r="D454" s="27" t="s">
        <v>4060</v>
      </c>
      <c r="E454" s="27" t="s">
        <v>2907</v>
      </c>
      <c r="F454" s="27" t="s">
        <v>4063</v>
      </c>
      <c r="G454" s="27" t="s">
        <v>4064</v>
      </c>
      <c r="H454" s="18" t="str">
        <f t="array" ref="H454">_xlfn.XLOOKUP(E:E,'Calificación consecuencia'!B:B,'Calificación consecuencia'!K:K,"No encontrada",2)</f>
        <v>Baja</v>
      </c>
      <c r="I454" s="27" t="s">
        <v>1800</v>
      </c>
      <c r="J454" s="30" t="s">
        <v>116</v>
      </c>
      <c r="K454" s="21"/>
      <c r="L454" s="21"/>
      <c r="M454" s="30" t="s">
        <v>116</v>
      </c>
      <c r="N454" s="30" t="s">
        <v>116</v>
      </c>
      <c r="O454" s="21"/>
      <c r="P454" s="21"/>
      <c r="Q454" s="21"/>
      <c r="R454" s="21"/>
      <c r="S454" s="21"/>
      <c r="T454" s="21"/>
      <c r="U454" s="27" t="s">
        <v>195</v>
      </c>
      <c r="V454" s="27" t="s">
        <v>196</v>
      </c>
    </row>
    <row r="455" ht="14.25" customHeight="1">
      <c r="A455" s="27" t="s">
        <v>907</v>
      </c>
      <c r="B455" s="27" t="s">
        <v>906</v>
      </c>
      <c r="C455" s="27" t="str">
        <f t="array" ref="C455">INDEX(Funciones!$G$2:$G$372,MATCH($A455,Funciones!$B$2:$B$372,0))</f>
        <v>Mantener la fuerza de contacto de 60 a 140 N</v>
      </c>
      <c r="D455" s="27" t="s">
        <v>4065</v>
      </c>
      <c r="E455" s="27" t="s">
        <v>2913</v>
      </c>
      <c r="F455" s="27" t="s">
        <v>4066</v>
      </c>
      <c r="G455" s="27" t="s">
        <v>4067</v>
      </c>
      <c r="H455" s="18" t="str">
        <f t="array" ref="H455">_xlfn.XLOOKUP(E:E,'Calificación consecuencia'!B:B,'Calificación consecuencia'!K:K,"No encontrada",2)</f>
        <v>Baja</v>
      </c>
      <c r="I455" s="27" t="s">
        <v>1800</v>
      </c>
      <c r="J455" s="30" t="s">
        <v>116</v>
      </c>
      <c r="K455" s="21"/>
      <c r="L455" s="21"/>
      <c r="M455" s="29" t="s">
        <v>120</v>
      </c>
      <c r="N455" s="21"/>
      <c r="O455" s="30" t="s">
        <v>116</v>
      </c>
      <c r="P455" s="30" t="s">
        <v>116</v>
      </c>
      <c r="Q455" s="21"/>
      <c r="R455" s="21"/>
      <c r="S455" s="21"/>
      <c r="T455" s="21"/>
      <c r="U455" s="27" t="s">
        <v>345</v>
      </c>
      <c r="V455" s="27" t="s">
        <v>196</v>
      </c>
    </row>
    <row r="456" ht="14.25" customHeight="1">
      <c r="A456" s="27" t="s">
        <v>907</v>
      </c>
      <c r="B456" s="27" t="s">
        <v>906</v>
      </c>
      <c r="C456" s="27" t="str">
        <f t="array" ref="C456">INDEX(Funciones!$G$2:$G$372,MATCH($A456,Funciones!$B$2:$B$372,0))</f>
        <v>Mantener la fuerza de contacto de 60 a 140 N</v>
      </c>
      <c r="D456" s="27" t="s">
        <v>4065</v>
      </c>
      <c r="E456" s="27" t="s">
        <v>2922</v>
      </c>
      <c r="F456" s="27" t="s">
        <v>4068</v>
      </c>
      <c r="G456" s="27" t="s">
        <v>4069</v>
      </c>
      <c r="H456" s="18" t="str">
        <f t="array" ref="H456">_xlfn.XLOOKUP(E:E,'Calificación consecuencia'!B:B,'Calificación consecuencia'!K:K,"No encontrada",2)</f>
        <v>Baja</v>
      </c>
      <c r="I456" s="27" t="s">
        <v>2106</v>
      </c>
      <c r="J456" s="30" t="s">
        <v>116</v>
      </c>
      <c r="K456" s="21"/>
      <c r="L456" s="21"/>
      <c r="M456" s="29" t="s">
        <v>120</v>
      </c>
      <c r="N456" s="21"/>
      <c r="O456" s="29" t="s">
        <v>120</v>
      </c>
      <c r="P456" s="21"/>
      <c r="Q456" s="21"/>
      <c r="R456" s="21"/>
      <c r="S456" s="29" t="s">
        <v>120</v>
      </c>
      <c r="T456" s="21"/>
      <c r="U456" s="27" t="s">
        <v>1680</v>
      </c>
      <c r="V456" s="27" t="s">
        <v>1408</v>
      </c>
    </row>
    <row r="457" ht="14.25" customHeight="1">
      <c r="A457" s="27" t="s">
        <v>907</v>
      </c>
      <c r="B457" s="27" t="s">
        <v>906</v>
      </c>
      <c r="C457" s="27" t="str">
        <f t="array" ref="C457">INDEX(Funciones!$G$2:$G$372,MATCH($A457,Funciones!$B$2:$B$372,0))</f>
        <v>Mantener la fuerza de contacto de 60 a 140 N</v>
      </c>
      <c r="D457" s="27" t="s">
        <v>4070</v>
      </c>
      <c r="E457" s="27" t="s">
        <v>2929</v>
      </c>
      <c r="F457" s="27" t="s">
        <v>4071</v>
      </c>
      <c r="G457" s="27" t="s">
        <v>4072</v>
      </c>
      <c r="H457" s="18" t="str">
        <f t="array" ref="H457">_xlfn.XLOOKUP(E:E,'Calificación consecuencia'!B:B,'Calificación consecuencia'!K:K,"No encontrada",2)</f>
        <v>Baja</v>
      </c>
      <c r="I457" s="27" t="s">
        <v>1449</v>
      </c>
      <c r="J457" s="30" t="s">
        <v>116</v>
      </c>
      <c r="K457" s="21"/>
      <c r="L457" s="21"/>
      <c r="M457" s="29" t="s">
        <v>120</v>
      </c>
      <c r="N457" s="21"/>
      <c r="O457" s="29" t="s">
        <v>120</v>
      </c>
      <c r="P457" s="21"/>
      <c r="Q457" s="21"/>
      <c r="R457" s="21"/>
      <c r="S457" s="30" t="s">
        <v>116</v>
      </c>
      <c r="T457" s="30" t="s">
        <v>116</v>
      </c>
      <c r="U457" s="27" t="s">
        <v>3471</v>
      </c>
      <c r="V457" s="27" t="s">
        <v>196</v>
      </c>
    </row>
    <row r="458" ht="14.25" customHeight="1">
      <c r="A458" s="27" t="s">
        <v>907</v>
      </c>
      <c r="B458" s="27" t="s">
        <v>906</v>
      </c>
      <c r="C458" s="27" t="str">
        <f t="array" ref="C458">INDEX(Funciones!$G$2:$G$372,MATCH($A458,Funciones!$B$2:$B$372,0))</f>
        <v>Mantener la fuerza de contacto de 60 a 140 N</v>
      </c>
      <c r="D458" s="27" t="s">
        <v>4073</v>
      </c>
      <c r="E458" s="27" t="s">
        <v>2936</v>
      </c>
      <c r="F458" s="27" t="s">
        <v>4074</v>
      </c>
      <c r="G458" s="27" t="s">
        <v>4075</v>
      </c>
      <c r="H458" s="18" t="str">
        <f t="array" ref="H458">_xlfn.XLOOKUP(E:E,'Calificación consecuencia'!B:B,'Calificación consecuencia'!K:K,"No encontrada",2)</f>
        <v>Baja</v>
      </c>
      <c r="I458" s="27" t="s">
        <v>1800</v>
      </c>
      <c r="J458" s="30" t="s">
        <v>116</v>
      </c>
      <c r="K458" s="21"/>
      <c r="L458" s="21"/>
      <c r="M458" s="29" t="s">
        <v>120</v>
      </c>
      <c r="N458" s="21"/>
      <c r="O458" s="30" t="s">
        <v>116</v>
      </c>
      <c r="P458" s="30" t="s">
        <v>116</v>
      </c>
      <c r="Q458" s="21"/>
      <c r="R458" s="21"/>
      <c r="S458" s="21"/>
      <c r="T458" s="21"/>
      <c r="U458" s="27" t="s">
        <v>345</v>
      </c>
      <c r="V458" s="27" t="s">
        <v>196</v>
      </c>
    </row>
    <row r="459" ht="14.25" customHeight="1">
      <c r="A459" s="9" t="s">
        <v>922</v>
      </c>
      <c r="B459" s="9" t="s">
        <v>921</v>
      </c>
      <c r="C459" s="9" t="str">
        <f t="array" ref="C459">INDEX(Funciones!$G$2:$G$372,MATCH($A459,Funciones!$B$2:$B$372,0))</f>
        <v>Circular por la vía hasta 40 km/h</v>
      </c>
      <c r="D459" s="9" t="s">
        <v>4076</v>
      </c>
      <c r="E459" s="9" t="s">
        <v>2009</v>
      </c>
      <c r="F459" s="9" t="s">
        <v>4077</v>
      </c>
      <c r="G459" s="9" t="s">
        <v>3764</v>
      </c>
      <c r="H459" s="18" t="str">
        <f t="array" ref="H459">_xlfn.XLOOKUP(E:E,'Calificación consecuencia'!B:B,'Calificación consecuencia'!K:K,"No encontrada",2)</f>
        <v>Baja</v>
      </c>
      <c r="I459" s="9" t="s">
        <v>1449</v>
      </c>
      <c r="J459" s="20" t="s">
        <v>116</v>
      </c>
      <c r="K459" s="21"/>
      <c r="L459" s="21"/>
      <c r="M459" s="22" t="s">
        <v>120</v>
      </c>
      <c r="N459" s="21"/>
      <c r="O459" s="20" t="s">
        <v>116</v>
      </c>
      <c r="P459" s="20" t="s">
        <v>116</v>
      </c>
      <c r="Q459" s="21"/>
      <c r="R459" s="21"/>
      <c r="S459" s="21"/>
      <c r="T459" s="21"/>
      <c r="U459" s="9" t="s">
        <v>345</v>
      </c>
      <c r="V459" s="9" t="s">
        <v>196</v>
      </c>
    </row>
    <row r="460" ht="14.25" customHeight="1">
      <c r="A460" s="9" t="s">
        <v>922</v>
      </c>
      <c r="B460" s="9" t="s">
        <v>921</v>
      </c>
      <c r="C460" s="9" t="str">
        <f t="array" ref="C460">INDEX(Funciones!$G$2:$G$372,MATCH($A460,Funciones!$B$2:$B$372,0))</f>
        <v>Circular por la vía hasta 40 km/h</v>
      </c>
      <c r="D460" s="9" t="s">
        <v>4076</v>
      </c>
      <c r="E460" s="9" t="s">
        <v>2944</v>
      </c>
      <c r="F460" s="9" t="s">
        <v>4078</v>
      </c>
      <c r="G460" s="9" t="s">
        <v>1386</v>
      </c>
      <c r="H460" s="18" t="str">
        <f t="array" ref="H460">_xlfn.XLOOKUP(E:E,'Calificación consecuencia'!B:B,'Calificación consecuencia'!K:K,"No encontrada",2)</f>
        <v>Baja</v>
      </c>
      <c r="I460" s="9" t="s">
        <v>1800</v>
      </c>
      <c r="J460" s="20" t="s">
        <v>116</v>
      </c>
      <c r="K460" s="21"/>
      <c r="L460" s="21"/>
      <c r="M460" s="22" t="s">
        <v>120</v>
      </c>
      <c r="N460" s="21"/>
      <c r="O460" s="20" t="s">
        <v>116</v>
      </c>
      <c r="P460" s="22" t="s">
        <v>120</v>
      </c>
      <c r="Q460" s="22" t="s">
        <v>120</v>
      </c>
      <c r="R460" s="22" t="s">
        <v>120</v>
      </c>
      <c r="S460" s="21"/>
      <c r="T460" s="21"/>
      <c r="U460" s="9" t="s">
        <v>230</v>
      </c>
      <c r="V460" s="9" t="s">
        <v>230</v>
      </c>
    </row>
    <row r="461" ht="14.25" customHeight="1">
      <c r="A461" s="9" t="s">
        <v>922</v>
      </c>
      <c r="B461" s="9" t="s">
        <v>921</v>
      </c>
      <c r="C461" s="9" t="str">
        <f t="array" ref="C461">INDEX(Funciones!$G$2:$G$372,MATCH($A461,Funciones!$B$2:$B$372,0))</f>
        <v>Circular por la vía hasta 40 km/h</v>
      </c>
      <c r="D461" s="9" t="s">
        <v>4076</v>
      </c>
      <c r="E461" s="9" t="s">
        <v>2953</v>
      </c>
      <c r="F461" s="9" t="s">
        <v>4079</v>
      </c>
      <c r="G461" s="9" t="s">
        <v>4080</v>
      </c>
      <c r="H461" s="18" t="str">
        <f t="array" ref="H461">_xlfn.XLOOKUP(E:E,'Calificación consecuencia'!B:B,'Calificación consecuencia'!K:K,"No encontrada",2)</f>
        <v>Baja</v>
      </c>
      <c r="I461" s="9" t="s">
        <v>339</v>
      </c>
      <c r="J461" s="20" t="s">
        <v>116</v>
      </c>
      <c r="K461" s="21"/>
      <c r="L461" s="21"/>
      <c r="M461" s="22" t="s">
        <v>120</v>
      </c>
      <c r="N461" s="21"/>
      <c r="O461" s="20" t="s">
        <v>116</v>
      </c>
      <c r="P461" s="22" t="s">
        <v>120</v>
      </c>
      <c r="Q461" s="22" t="s">
        <v>120</v>
      </c>
      <c r="R461" s="20" t="s">
        <v>116</v>
      </c>
      <c r="S461" s="21"/>
      <c r="T461" s="21"/>
      <c r="U461" s="9" t="s">
        <v>1680</v>
      </c>
      <c r="V461" s="9" t="s">
        <v>1408</v>
      </c>
    </row>
    <row r="462" ht="14.25" customHeight="1">
      <c r="A462" s="9" t="s">
        <v>922</v>
      </c>
      <c r="B462" s="9" t="s">
        <v>921</v>
      </c>
      <c r="C462" s="9" t="str">
        <f t="array" ref="C462">INDEX(Funciones!$G$2:$G$372,MATCH($A462,Funciones!$B$2:$B$372,0))</f>
        <v>Circular por la vía hasta 40 km/h</v>
      </c>
      <c r="D462" s="9" t="s">
        <v>4081</v>
      </c>
      <c r="E462" s="9" t="s">
        <v>623</v>
      </c>
      <c r="F462" s="9" t="s">
        <v>4082</v>
      </c>
      <c r="G462" s="9" t="s">
        <v>1444</v>
      </c>
      <c r="H462" s="18" t="str">
        <f t="array" ref="H462">_xlfn.XLOOKUP(E:E,'Calificación consecuencia'!B:B,'Calificación consecuencia'!K:K,"No encontrada",2)</f>
        <v>Baja</v>
      </c>
      <c r="I462" s="9" t="s">
        <v>1449</v>
      </c>
      <c r="J462" s="20" t="s">
        <v>116</v>
      </c>
      <c r="K462" s="21"/>
      <c r="L462" s="21"/>
      <c r="M462" s="22" t="s">
        <v>120</v>
      </c>
      <c r="N462" s="21"/>
      <c r="O462" s="20" t="s">
        <v>116</v>
      </c>
      <c r="P462" s="20" t="s">
        <v>116</v>
      </c>
      <c r="Q462" s="21"/>
      <c r="R462" s="21"/>
      <c r="S462" s="21"/>
      <c r="T462" s="21"/>
      <c r="U462" s="9" t="s">
        <v>345</v>
      </c>
      <c r="V462" s="9" t="s">
        <v>196</v>
      </c>
    </row>
    <row r="463" ht="14.25" customHeight="1">
      <c r="A463" s="27" t="s">
        <v>934</v>
      </c>
      <c r="B463" s="27" t="s">
        <v>933</v>
      </c>
      <c r="C463" s="27" t="str">
        <f t="array" ref="C463">INDEX(Funciones!$G$2:$G$372,MATCH($A463,Funciones!$B$2:$B$372,0))</f>
        <v>Entregar potencia mecánica de _____ kW</v>
      </c>
      <c r="D463" s="27" t="s">
        <v>4083</v>
      </c>
      <c r="E463" s="27" t="s">
        <v>1339</v>
      </c>
      <c r="F463" s="27" t="s">
        <v>3995</v>
      </c>
      <c r="G463" s="27" t="s">
        <v>3374</v>
      </c>
      <c r="H463" s="18" t="str">
        <f t="array" ref="H463">_xlfn.XLOOKUP(E:E,'Calificación consecuencia'!B:B,'Calificación consecuencia'!K:K,"No encontrada",2)</f>
        <v>Media</v>
      </c>
      <c r="I463" s="27" t="s">
        <v>1800</v>
      </c>
      <c r="J463" s="30" t="s">
        <v>116</v>
      </c>
      <c r="K463" s="21"/>
      <c r="L463" s="21"/>
      <c r="M463" s="29" t="s">
        <v>120</v>
      </c>
      <c r="N463" s="21"/>
      <c r="O463" s="30" t="s">
        <v>116</v>
      </c>
      <c r="P463" s="30" t="s">
        <v>116</v>
      </c>
      <c r="Q463" s="21"/>
      <c r="R463" s="21"/>
      <c r="S463" s="21"/>
      <c r="T463" s="21"/>
      <c r="U463" s="27" t="s">
        <v>345</v>
      </c>
      <c r="V463" s="27" t="s">
        <v>196</v>
      </c>
    </row>
    <row r="464" ht="14.25" customHeight="1">
      <c r="A464" s="27" t="s">
        <v>934</v>
      </c>
      <c r="B464" s="27" t="s">
        <v>933</v>
      </c>
      <c r="C464" s="27" t="str">
        <f t="array" ref="C464">INDEX(Funciones!$G$2:$G$372,MATCH($A464,Funciones!$B$2:$B$372,0))</f>
        <v>Entregar potencia mecánica de _____ kW</v>
      </c>
      <c r="D464" s="27" t="s">
        <v>4083</v>
      </c>
      <c r="E464" s="27" t="s">
        <v>1786</v>
      </c>
      <c r="F464" s="27" t="s">
        <v>3996</v>
      </c>
      <c r="G464" s="27" t="s">
        <v>3378</v>
      </c>
      <c r="H464" s="18" t="str">
        <f t="array" ref="H464">_xlfn.XLOOKUP(E:E,'Calificación consecuencia'!B:B,'Calificación consecuencia'!K:K,"No encontrada",2)</f>
        <v>Baja</v>
      </c>
      <c r="I464" s="27" t="s">
        <v>2106</v>
      </c>
      <c r="J464" s="30" t="s">
        <v>116</v>
      </c>
      <c r="K464" s="21"/>
      <c r="L464" s="21"/>
      <c r="M464" s="29" t="s">
        <v>120</v>
      </c>
      <c r="N464" s="21"/>
      <c r="O464" s="29" t="s">
        <v>120</v>
      </c>
      <c r="P464" s="21"/>
      <c r="Q464" s="21"/>
      <c r="R464" s="21"/>
      <c r="S464" s="29" t="s">
        <v>120</v>
      </c>
      <c r="T464" s="21"/>
      <c r="U464" s="27" t="s">
        <v>1680</v>
      </c>
      <c r="V464" s="27" t="s">
        <v>1408</v>
      </c>
    </row>
    <row r="465" ht="14.25" customHeight="1">
      <c r="A465" s="27" t="s">
        <v>934</v>
      </c>
      <c r="B465" s="27" t="s">
        <v>933</v>
      </c>
      <c r="C465" s="27" t="str">
        <f t="array" ref="C465">INDEX(Funciones!$G$2:$G$372,MATCH($A465,Funciones!$B$2:$B$372,0))</f>
        <v>Entregar potencia mecánica de _____ kW</v>
      </c>
      <c r="D465" s="27" t="s">
        <v>4084</v>
      </c>
      <c r="E465" s="27" t="s">
        <v>1350</v>
      </c>
      <c r="F465" s="27" t="s">
        <v>3998</v>
      </c>
      <c r="G465" s="27" t="s">
        <v>3382</v>
      </c>
      <c r="H465" s="18" t="str">
        <f t="array" ref="H465">_xlfn.XLOOKUP(E:E,'Calificación consecuencia'!B:B,'Calificación consecuencia'!K:K,"No encontrada",2)</f>
        <v>Baja</v>
      </c>
      <c r="I465" s="27" t="s">
        <v>2106</v>
      </c>
      <c r="J465" s="30" t="s">
        <v>116</v>
      </c>
      <c r="K465" s="21"/>
      <c r="L465" s="21"/>
      <c r="M465" s="29" t="s">
        <v>120</v>
      </c>
      <c r="N465" s="21"/>
      <c r="O465" s="29" t="s">
        <v>120</v>
      </c>
      <c r="P465" s="21"/>
      <c r="Q465" s="21"/>
      <c r="R465" s="21"/>
      <c r="S465" s="29" t="s">
        <v>120</v>
      </c>
      <c r="T465" s="21"/>
      <c r="U465" s="27" t="s">
        <v>1680</v>
      </c>
      <c r="V465" s="27" t="s">
        <v>1408</v>
      </c>
    </row>
    <row r="466" ht="14.25" customHeight="1">
      <c r="A466" s="27" t="s">
        <v>934</v>
      </c>
      <c r="B466" s="27" t="s">
        <v>933</v>
      </c>
      <c r="C466" s="27" t="str">
        <f t="array" ref="C466">INDEX(Funciones!$G$2:$G$372,MATCH($A466,Funciones!$B$2:$B$372,0))</f>
        <v>Entregar potencia mecánica de _____ kW</v>
      </c>
      <c r="D466" s="27" t="s">
        <v>4084</v>
      </c>
      <c r="E466" s="27" t="s">
        <v>1794</v>
      </c>
      <c r="F466" s="27" t="s">
        <v>3999</v>
      </c>
      <c r="G466" s="27" t="s">
        <v>3614</v>
      </c>
      <c r="H466" s="18" t="str">
        <f t="array" ref="H466">_xlfn.XLOOKUP(E:E,'Calificación consecuencia'!B:B,'Calificación consecuencia'!K:K,"No encontrada",2)</f>
        <v>Baja</v>
      </c>
      <c r="I466" s="27" t="s">
        <v>1800</v>
      </c>
      <c r="J466" s="30" t="s">
        <v>116</v>
      </c>
      <c r="K466" s="21"/>
      <c r="L466" s="21"/>
      <c r="M466" s="29" t="s">
        <v>120</v>
      </c>
      <c r="N466" s="21"/>
      <c r="O466" s="30" t="s">
        <v>116</v>
      </c>
      <c r="P466" s="30" t="s">
        <v>116</v>
      </c>
      <c r="Q466" s="21"/>
      <c r="R466" s="21"/>
      <c r="S466" s="21"/>
      <c r="T466" s="21"/>
      <c r="U466" s="27" t="s">
        <v>345</v>
      </c>
      <c r="V466" s="27" t="s">
        <v>196</v>
      </c>
    </row>
    <row r="467" ht="14.25" customHeight="1">
      <c r="A467" s="27" t="s">
        <v>934</v>
      </c>
      <c r="B467" s="27" t="s">
        <v>933</v>
      </c>
      <c r="C467" s="27" t="str">
        <f t="array" ref="C467">INDEX(Funciones!$G$2:$G$372,MATCH($A467,Funciones!$B$2:$B$372,0))</f>
        <v>Entregar potencia mecánica de _____ kW</v>
      </c>
      <c r="D467" s="27" t="s">
        <v>4084</v>
      </c>
      <c r="E467" s="27" t="s">
        <v>2376</v>
      </c>
      <c r="F467" s="27" t="s">
        <v>4000</v>
      </c>
      <c r="G467" s="27" t="s">
        <v>1493</v>
      </c>
      <c r="H467" s="18" t="str">
        <f t="array" ref="H467">_xlfn.XLOOKUP(E:E,'Calificación consecuencia'!B:B,'Calificación consecuencia'!K:K,"No encontrada",2)</f>
        <v>Baja</v>
      </c>
      <c r="I467" s="27" t="s">
        <v>2106</v>
      </c>
      <c r="J467" s="30" t="s">
        <v>116</v>
      </c>
      <c r="K467" s="21"/>
      <c r="L467" s="21"/>
      <c r="M467" s="29" t="s">
        <v>120</v>
      </c>
      <c r="N467" s="21"/>
      <c r="O467" s="29" t="s">
        <v>120</v>
      </c>
      <c r="P467" s="21"/>
      <c r="Q467" s="21"/>
      <c r="R467" s="21"/>
      <c r="S467" s="29" t="s">
        <v>120</v>
      </c>
      <c r="T467" s="21"/>
      <c r="U467" s="27" t="s">
        <v>1680</v>
      </c>
      <c r="V467" s="27" t="s">
        <v>1408</v>
      </c>
    </row>
    <row r="468" ht="14.25" customHeight="1">
      <c r="A468" s="9" t="s">
        <v>947</v>
      </c>
      <c r="B468" s="9" t="s">
        <v>946</v>
      </c>
      <c r="C468" s="9" t="str">
        <f t="array" ref="C468">INDEX(Funciones!$G$2:$G$372,MATCH($A468,Funciones!$B$2:$B$372,0))</f>
        <v>Distribuir el par entre ejes hasta _____ N·m</v>
      </c>
      <c r="D468" s="9" t="s">
        <v>4085</v>
      </c>
      <c r="E468" s="9" t="s">
        <v>1770</v>
      </c>
      <c r="F468" s="9" t="s">
        <v>3601</v>
      </c>
      <c r="G468" s="9" t="s">
        <v>3602</v>
      </c>
      <c r="H468" s="18" t="str">
        <f t="array" ref="H468">_xlfn.XLOOKUP(E:E,'Calificación consecuencia'!B:B,'Calificación consecuencia'!K:K,"No encontrada",2)</f>
        <v>Baja</v>
      </c>
      <c r="I468" s="9" t="s">
        <v>1800</v>
      </c>
      <c r="J468" s="20" t="s">
        <v>116</v>
      </c>
      <c r="K468" s="21"/>
      <c r="L468" s="21"/>
      <c r="M468" s="22" t="s">
        <v>120</v>
      </c>
      <c r="N468" s="21"/>
      <c r="O468" s="20" t="s">
        <v>116</v>
      </c>
      <c r="P468" s="20" t="s">
        <v>116</v>
      </c>
      <c r="Q468" s="21"/>
      <c r="R468" s="21"/>
      <c r="S468" s="21"/>
      <c r="T468" s="21"/>
      <c r="U468" s="9" t="s">
        <v>345</v>
      </c>
      <c r="V468" s="9" t="s">
        <v>196</v>
      </c>
    </row>
    <row r="469" ht="14.25" customHeight="1">
      <c r="A469" s="9" t="s">
        <v>947</v>
      </c>
      <c r="B469" s="9" t="s">
        <v>946</v>
      </c>
      <c r="C469" s="9" t="str">
        <f t="array" ref="C469">INDEX(Funciones!$G$2:$G$372,MATCH($A469,Funciones!$B$2:$B$372,0))</f>
        <v>Distribuir el par entre ejes hasta _____ N·m</v>
      </c>
      <c r="D469" s="9" t="s">
        <v>4086</v>
      </c>
      <c r="E469" s="9" t="s">
        <v>1775</v>
      </c>
      <c r="F469" s="9" t="s">
        <v>3604</v>
      </c>
      <c r="G469" s="9" t="s">
        <v>3605</v>
      </c>
      <c r="H469" s="18" t="str">
        <f t="array" ref="H469">_xlfn.XLOOKUP(E:E,'Calificación consecuencia'!B:B,'Calificación consecuencia'!K:K,"No encontrada",2)</f>
        <v>Baja</v>
      </c>
      <c r="I469" s="9" t="s">
        <v>1800</v>
      </c>
      <c r="J469" s="20" t="s">
        <v>116</v>
      </c>
      <c r="K469" s="21"/>
      <c r="L469" s="21"/>
      <c r="M469" s="22" t="s">
        <v>120</v>
      </c>
      <c r="N469" s="21"/>
      <c r="O469" s="20" t="s">
        <v>116</v>
      </c>
      <c r="P469" s="20" t="s">
        <v>116</v>
      </c>
      <c r="Q469" s="21"/>
      <c r="R469" s="21"/>
      <c r="S469" s="21"/>
      <c r="T469" s="21"/>
      <c r="U469" s="9" t="s">
        <v>345</v>
      </c>
      <c r="V469" s="9" t="s">
        <v>196</v>
      </c>
    </row>
    <row r="470" ht="14.25" customHeight="1">
      <c r="A470" s="9" t="s">
        <v>947</v>
      </c>
      <c r="B470" s="9" t="s">
        <v>946</v>
      </c>
      <c r="C470" s="9" t="str">
        <f t="array" ref="C470">INDEX(Funciones!$G$2:$G$372,MATCH($A470,Funciones!$B$2:$B$372,0))</f>
        <v>Distribuir el par entre ejes hasta _____ N·m</v>
      </c>
      <c r="D470" s="9" t="s">
        <v>4086</v>
      </c>
      <c r="E470" s="9" t="s">
        <v>1779</v>
      </c>
      <c r="F470" s="9" t="s">
        <v>3606</v>
      </c>
      <c r="G470" s="9" t="s">
        <v>3607</v>
      </c>
      <c r="H470" s="18" t="str">
        <f t="array" ref="H470">_xlfn.XLOOKUP(E:E,'Calificación consecuencia'!B:B,'Calificación consecuencia'!K:K,"No encontrada",2)</f>
        <v>Baja</v>
      </c>
      <c r="I470" s="9" t="s">
        <v>1800</v>
      </c>
      <c r="J470" s="20" t="s">
        <v>116</v>
      </c>
      <c r="K470" s="21"/>
      <c r="L470" s="21"/>
      <c r="M470" s="22" t="s">
        <v>120</v>
      </c>
      <c r="N470" s="21"/>
      <c r="O470" s="20" t="s">
        <v>116</v>
      </c>
      <c r="P470" s="20" t="s">
        <v>116</v>
      </c>
      <c r="Q470" s="21"/>
      <c r="R470" s="21"/>
      <c r="S470" s="21"/>
      <c r="T470" s="21"/>
      <c r="U470" s="9" t="s">
        <v>345</v>
      </c>
      <c r="V470" s="9" t="s">
        <v>196</v>
      </c>
    </row>
    <row r="471" ht="14.25" customHeight="1">
      <c r="A471" s="27" t="s">
        <v>957</v>
      </c>
      <c r="B471" s="27" t="s">
        <v>956</v>
      </c>
      <c r="C471" s="27" t="str">
        <f t="array" ref="C471">INDEX(Funciones!$G$2:$G$372,MATCH($A471,Funciones!$B$2:$B$372,0))</f>
        <v>Soportar la carga por eje hasta _____ t</v>
      </c>
      <c r="D471" s="27" t="s">
        <v>4087</v>
      </c>
      <c r="E471" s="27" t="s">
        <v>1609</v>
      </c>
      <c r="F471" s="27" t="s">
        <v>4088</v>
      </c>
      <c r="G471" s="27" t="s">
        <v>3498</v>
      </c>
      <c r="H471" s="18" t="str">
        <f t="array" ref="H471">_xlfn.XLOOKUP(E:E,'Calificación consecuencia'!B:B,'Calificación consecuencia'!K:K,"No encontrada",2)</f>
        <v>Baja</v>
      </c>
      <c r="I471" s="27" t="s">
        <v>425</v>
      </c>
      <c r="J471" s="29" t="s">
        <v>120</v>
      </c>
      <c r="K471" s="30" t="s">
        <v>116</v>
      </c>
      <c r="L471" s="21"/>
      <c r="M471" s="21"/>
      <c r="N471" s="21"/>
      <c r="O471" s="21"/>
      <c r="P471" s="21"/>
      <c r="Q471" s="21"/>
      <c r="R471" s="21"/>
      <c r="S471" s="21"/>
      <c r="T471" s="21"/>
      <c r="U471" s="27" t="s">
        <v>439</v>
      </c>
      <c r="V471" s="27" t="s">
        <v>440</v>
      </c>
    </row>
    <row r="472" ht="14.25" customHeight="1">
      <c r="A472" s="27" t="s">
        <v>957</v>
      </c>
      <c r="B472" s="27" t="s">
        <v>956</v>
      </c>
      <c r="C472" s="27" t="str">
        <f t="array" ref="C472">INDEX(Funciones!$G$2:$G$372,MATCH($A472,Funciones!$B$2:$B$372,0))</f>
        <v>Soportar la carga por eje hasta _____ t</v>
      </c>
      <c r="D472" s="27" t="s">
        <v>4087</v>
      </c>
      <c r="E472" s="27" t="s">
        <v>1615</v>
      </c>
      <c r="F472" s="27" t="s">
        <v>4089</v>
      </c>
      <c r="G472" s="27" t="s">
        <v>3501</v>
      </c>
      <c r="H472" s="18" t="str">
        <f t="array" ref="H472">_xlfn.XLOOKUP(E:E,'Calificación consecuencia'!B:B,'Calificación consecuencia'!K:K,"No encontrada",2)</f>
        <v>Baja</v>
      </c>
      <c r="I472" s="27" t="s">
        <v>425</v>
      </c>
      <c r="J472" s="29" t="s">
        <v>120</v>
      </c>
      <c r="K472" s="30" t="s">
        <v>116</v>
      </c>
      <c r="L472" s="21"/>
      <c r="M472" s="21"/>
      <c r="N472" s="21"/>
      <c r="O472" s="21"/>
      <c r="P472" s="21"/>
      <c r="Q472" s="21"/>
      <c r="R472" s="21"/>
      <c r="S472" s="21"/>
      <c r="T472" s="21"/>
      <c r="U472" s="27" t="s">
        <v>439</v>
      </c>
      <c r="V472" s="27" t="s">
        <v>440</v>
      </c>
    </row>
    <row r="473" ht="14.25" customHeight="1">
      <c r="A473" s="27" t="s">
        <v>957</v>
      </c>
      <c r="B473" s="27" t="s">
        <v>956</v>
      </c>
      <c r="C473" s="27" t="str">
        <f t="array" ref="C473">INDEX(Funciones!$G$2:$G$372,MATCH($A473,Funciones!$B$2:$B$372,0))</f>
        <v>Soportar la carga por eje hasta _____ t</v>
      </c>
      <c r="D473" s="27" t="s">
        <v>4090</v>
      </c>
      <c r="E473" s="27" t="s">
        <v>1622</v>
      </c>
      <c r="F473" s="27" t="s">
        <v>4091</v>
      </c>
      <c r="G473" s="27" t="s">
        <v>3498</v>
      </c>
      <c r="H473" s="18" t="str">
        <f t="array" ref="H473">_xlfn.XLOOKUP(E:E,'Calificación consecuencia'!B:B,'Calificación consecuencia'!K:K,"No encontrada",2)</f>
        <v>Baja</v>
      </c>
      <c r="I473" s="27" t="s">
        <v>1800</v>
      </c>
      <c r="J473" s="29" t="s">
        <v>120</v>
      </c>
      <c r="K473" s="30" t="s">
        <v>116</v>
      </c>
      <c r="L473" s="21"/>
      <c r="M473" s="21"/>
      <c r="N473" s="21"/>
      <c r="O473" s="21"/>
      <c r="P473" s="21"/>
      <c r="Q473" s="21"/>
      <c r="R473" s="21"/>
      <c r="S473" s="21"/>
      <c r="T473" s="21"/>
      <c r="U473" s="27" t="s">
        <v>439</v>
      </c>
      <c r="V473" s="27" t="s">
        <v>440</v>
      </c>
    </row>
    <row r="474" ht="14.25" customHeight="1">
      <c r="A474" s="27" t="s">
        <v>957</v>
      </c>
      <c r="B474" s="27" t="s">
        <v>956</v>
      </c>
      <c r="C474" s="27" t="str">
        <f t="array" ref="C474">INDEX(Funciones!$G$2:$G$372,MATCH($A474,Funciones!$B$2:$B$372,0))</f>
        <v>Soportar la carga por eje hasta _____ t</v>
      </c>
      <c r="D474" s="27" t="s">
        <v>4090</v>
      </c>
      <c r="E474" s="27" t="s">
        <v>1625</v>
      </c>
      <c r="F474" s="27" t="s">
        <v>4092</v>
      </c>
      <c r="G474" s="27" t="s">
        <v>3513</v>
      </c>
      <c r="H474" s="18" t="str">
        <f t="array" ref="H474">_xlfn.XLOOKUP(E:E,'Calificación consecuencia'!B:B,'Calificación consecuencia'!K:K,"No encontrada",2)</f>
        <v>Media</v>
      </c>
      <c r="I474" s="27" t="s">
        <v>1351</v>
      </c>
      <c r="J474" s="29" t="s">
        <v>120</v>
      </c>
      <c r="K474" s="30" t="s">
        <v>116</v>
      </c>
      <c r="L474" s="21"/>
      <c r="M474" s="21"/>
      <c r="N474" s="21"/>
      <c r="O474" s="21"/>
      <c r="P474" s="21"/>
      <c r="Q474" s="21"/>
      <c r="R474" s="21"/>
      <c r="S474" s="21"/>
      <c r="T474" s="21"/>
      <c r="U474" s="27" t="s">
        <v>439</v>
      </c>
      <c r="V474" s="27" t="s">
        <v>440</v>
      </c>
    </row>
    <row r="475" ht="14.25" customHeight="1">
      <c r="A475" s="9" t="s">
        <v>968</v>
      </c>
      <c r="B475" s="9" t="s">
        <v>956</v>
      </c>
      <c r="C475" s="9" t="str">
        <f t="array" ref="C475">INDEX(Funciones!$G$2:$G$372,MATCH($A475,Funciones!$B$2:$B$372,0))</f>
        <v>Impedir el remonte de pestaña con cota qR ≥ 6,5 mm</v>
      </c>
      <c r="D475" s="9" t="s">
        <v>3220</v>
      </c>
      <c r="E475" s="9" t="s">
        <v>1127</v>
      </c>
      <c r="F475" s="9" t="s">
        <v>3221</v>
      </c>
      <c r="G475" s="9" t="s">
        <v>3222</v>
      </c>
      <c r="H475" s="18" t="str">
        <f t="array" ref="H475">_xlfn.XLOOKUP(E:E,'Calificación consecuencia'!B:B,'Calificación consecuencia'!K:K,"No encontrada",2)</f>
        <v>Baja</v>
      </c>
      <c r="I475" s="9" t="s">
        <v>425</v>
      </c>
      <c r="J475" s="22" t="s">
        <v>120</v>
      </c>
      <c r="K475" s="20" t="s">
        <v>116</v>
      </c>
      <c r="L475" s="21"/>
      <c r="M475" s="21"/>
      <c r="N475" s="21"/>
      <c r="O475" s="21"/>
      <c r="P475" s="21"/>
      <c r="Q475" s="21"/>
      <c r="R475" s="21"/>
      <c r="S475" s="21"/>
      <c r="T475" s="21"/>
      <c r="U475" s="9" t="s">
        <v>439</v>
      </c>
      <c r="V475" s="9" t="s">
        <v>440</v>
      </c>
    </row>
    <row r="476" ht="14.25" customHeight="1">
      <c r="A476" s="9" t="s">
        <v>968</v>
      </c>
      <c r="B476" s="9" t="s">
        <v>956</v>
      </c>
      <c r="C476" s="9" t="str">
        <f t="array" ref="C476">INDEX(Funciones!$G$2:$G$372,MATCH($A476,Funciones!$B$2:$B$372,0))</f>
        <v>Impedir el remonte de pestaña con cota qR ≥ 6,5 mm</v>
      </c>
      <c r="D476" s="9" t="s">
        <v>3230</v>
      </c>
      <c r="E476" s="9" t="s">
        <v>1134</v>
      </c>
      <c r="F476" s="9" t="s">
        <v>3231</v>
      </c>
      <c r="G476" s="9" t="s">
        <v>3232</v>
      </c>
      <c r="H476" s="18" t="str">
        <f t="array" ref="H476">_xlfn.XLOOKUP(E:E,'Calificación consecuencia'!B:B,'Calificación consecuencia'!K:K,"No encontrada",2)</f>
        <v>Media</v>
      </c>
      <c r="I476" s="9" t="s">
        <v>1800</v>
      </c>
      <c r="J476" s="22" t="s">
        <v>120</v>
      </c>
      <c r="K476" s="20" t="s">
        <v>116</v>
      </c>
      <c r="L476" s="21"/>
      <c r="M476" s="21"/>
      <c r="N476" s="21"/>
      <c r="O476" s="21"/>
      <c r="P476" s="21"/>
      <c r="Q476" s="21"/>
      <c r="R476" s="21"/>
      <c r="S476" s="21"/>
      <c r="T476" s="21"/>
      <c r="U476" s="9" t="s">
        <v>439</v>
      </c>
      <c r="V476" s="9" t="s">
        <v>440</v>
      </c>
    </row>
    <row r="477" ht="14.25" customHeight="1">
      <c r="A477" s="9" t="s">
        <v>968</v>
      </c>
      <c r="B477" s="9" t="s">
        <v>956</v>
      </c>
      <c r="C477" s="9" t="str">
        <f t="array" ref="C477">INDEX(Funciones!$G$2:$G$372,MATCH($A477,Funciones!$B$2:$B$372,0))</f>
        <v>Impedir el remonte de pestaña con cota qR ≥ 6,5 mm</v>
      </c>
      <c r="D477" s="9" t="s">
        <v>3230</v>
      </c>
      <c r="E477" s="9" t="s">
        <v>1141</v>
      </c>
      <c r="F477" s="9" t="s">
        <v>3250</v>
      </c>
      <c r="G477" s="9" t="s">
        <v>3251</v>
      </c>
      <c r="H477" s="18" t="str">
        <f t="array" ref="H477">_xlfn.XLOOKUP(E:E,'Calificación consecuencia'!B:B,'Calificación consecuencia'!K:K,"No encontrada",2)</f>
        <v>Media</v>
      </c>
      <c r="I477" s="9" t="s">
        <v>425</v>
      </c>
      <c r="J477" s="22" t="s">
        <v>120</v>
      </c>
      <c r="K477" s="20" t="s">
        <v>116</v>
      </c>
      <c r="L477" s="21"/>
      <c r="M477" s="21"/>
      <c r="N477" s="21"/>
      <c r="O477" s="21"/>
      <c r="P477" s="21"/>
      <c r="Q477" s="21"/>
      <c r="R477" s="21"/>
      <c r="S477" s="21"/>
      <c r="T477" s="21"/>
      <c r="U477" s="9" t="s">
        <v>439</v>
      </c>
      <c r="V477" s="9" t="s">
        <v>440</v>
      </c>
    </row>
    <row r="478" ht="14.25" customHeight="1">
      <c r="A478" s="9" t="s">
        <v>968</v>
      </c>
      <c r="B478" s="9" t="s">
        <v>956</v>
      </c>
      <c r="C478" s="9" t="str">
        <f t="array" ref="C478">INDEX(Funciones!$G$2:$G$372,MATCH($A478,Funciones!$B$2:$B$372,0))</f>
        <v>Impedir el remonte de pestaña con cota qR ≥ 6,5 mm</v>
      </c>
      <c r="D478" s="9" t="s">
        <v>3230</v>
      </c>
      <c r="E478" s="9" t="s">
        <v>1147</v>
      </c>
      <c r="F478" s="9" t="s">
        <v>3271</v>
      </c>
      <c r="G478" s="9" t="s">
        <v>3272</v>
      </c>
      <c r="H478" s="18" t="str">
        <f t="array" ref="H478">_xlfn.XLOOKUP(E:E,'Calificación consecuencia'!B:B,'Calificación consecuencia'!K:K,"No encontrada",2)</f>
        <v>Media</v>
      </c>
      <c r="I478" s="9" t="s">
        <v>1800</v>
      </c>
      <c r="J478" s="22" t="s">
        <v>120</v>
      </c>
      <c r="K478" s="20" t="s">
        <v>116</v>
      </c>
      <c r="L478" s="21"/>
      <c r="M478" s="21"/>
      <c r="N478" s="21"/>
      <c r="O478" s="21"/>
      <c r="P478" s="21"/>
      <c r="Q478" s="21"/>
      <c r="R478" s="21"/>
      <c r="S478" s="21"/>
      <c r="T478" s="21"/>
      <c r="U478" s="9" t="s">
        <v>439</v>
      </c>
      <c r="V478" s="9" t="s">
        <v>440</v>
      </c>
    </row>
    <row r="479" ht="14.25" customHeight="1">
      <c r="A479" s="27" t="s">
        <v>973</v>
      </c>
      <c r="B479" s="27" t="s">
        <v>956</v>
      </c>
      <c r="C479" s="27" t="str">
        <f t="array" ref="C479">INDEX(Funciones!$G$2:$G$372,MATCH($A479,Funciones!$B$2:$B$372,0))</f>
        <v>Mantener la distancia entre ruedas de 1.357 a 1.363 mm</v>
      </c>
      <c r="D479" s="27" t="s">
        <v>3523</v>
      </c>
      <c r="E479" s="27" t="s">
        <v>1644</v>
      </c>
      <c r="F479" s="27" t="s">
        <v>3524</v>
      </c>
      <c r="G479" s="27" t="s">
        <v>3525</v>
      </c>
      <c r="H479" s="18" t="str">
        <f t="array" ref="H479">_xlfn.XLOOKUP(E:E,'Calificación consecuencia'!B:B,'Calificación consecuencia'!K:K,"No encontrada",2)</f>
        <v>Baja</v>
      </c>
      <c r="I479" s="27" t="s">
        <v>425</v>
      </c>
      <c r="J479" s="29" t="s">
        <v>120</v>
      </c>
      <c r="K479" s="30" t="s">
        <v>116</v>
      </c>
      <c r="L479" s="21"/>
      <c r="M479" s="21"/>
      <c r="N479" s="21"/>
      <c r="O479" s="21"/>
      <c r="P479" s="21"/>
      <c r="Q479" s="21"/>
      <c r="R479" s="21"/>
      <c r="S479" s="21"/>
      <c r="T479" s="21"/>
      <c r="U479" s="27" t="s">
        <v>439</v>
      </c>
      <c r="V479" s="27" t="s">
        <v>440</v>
      </c>
    </row>
    <row r="480" ht="14.25" customHeight="1">
      <c r="A480" s="27" t="s">
        <v>973</v>
      </c>
      <c r="B480" s="27" t="s">
        <v>956</v>
      </c>
      <c r="C480" s="27" t="str">
        <f t="array" ref="C480">INDEX(Funciones!$G$2:$G$372,MATCH($A480,Funciones!$B$2:$B$372,0))</f>
        <v>Mantener la distancia entre ruedas de 1.357 a 1.363 mm</v>
      </c>
      <c r="D480" s="27" t="s">
        <v>3526</v>
      </c>
      <c r="E480" s="27" t="s">
        <v>1650</v>
      </c>
      <c r="F480" s="27" t="s">
        <v>3527</v>
      </c>
      <c r="G480" s="27" t="s">
        <v>3528</v>
      </c>
      <c r="H480" s="18" t="str">
        <f t="array" ref="H480">_xlfn.XLOOKUP(E:E,'Calificación consecuencia'!B:B,'Calificación consecuencia'!K:K,"No encontrada",2)</f>
        <v>Baja</v>
      </c>
      <c r="I480" s="27" t="s">
        <v>1351</v>
      </c>
      <c r="J480" s="29" t="s">
        <v>120</v>
      </c>
      <c r="K480" s="30" t="s">
        <v>116</v>
      </c>
      <c r="L480" s="21"/>
      <c r="M480" s="21"/>
      <c r="N480" s="21"/>
      <c r="O480" s="21"/>
      <c r="P480" s="21"/>
      <c r="Q480" s="21"/>
      <c r="R480" s="21"/>
      <c r="S480" s="21"/>
      <c r="T480" s="21"/>
      <c r="U480" s="27" t="s">
        <v>439</v>
      </c>
      <c r="V480" s="27" t="s">
        <v>440</v>
      </c>
    </row>
    <row r="481" ht="14.25" customHeight="1">
      <c r="A481" s="27" t="s">
        <v>973</v>
      </c>
      <c r="B481" s="27" t="s">
        <v>956</v>
      </c>
      <c r="C481" s="27" t="str">
        <f t="array" ref="C481">INDEX(Funciones!$G$2:$G$372,MATCH($A481,Funciones!$B$2:$B$372,0))</f>
        <v>Mantener la distancia entre ruedas de 1.357 a 1.363 mm</v>
      </c>
      <c r="D481" s="27" t="s">
        <v>3529</v>
      </c>
      <c r="E481" s="27" t="s">
        <v>1655</v>
      </c>
      <c r="F481" s="27" t="s">
        <v>3530</v>
      </c>
      <c r="G481" s="27" t="s">
        <v>3531</v>
      </c>
      <c r="H481" s="18" t="str">
        <f t="array" ref="H481">_xlfn.XLOOKUP(E:E,'Calificación consecuencia'!B:B,'Calificación consecuencia'!K:K,"No encontrada",2)</f>
        <v>Baja</v>
      </c>
      <c r="I481" s="27" t="s">
        <v>1800</v>
      </c>
      <c r="J481" s="29" t="s">
        <v>120</v>
      </c>
      <c r="K481" s="30" t="s">
        <v>116</v>
      </c>
      <c r="L481" s="21"/>
      <c r="M481" s="21"/>
      <c r="N481" s="21"/>
      <c r="O481" s="21"/>
      <c r="P481" s="21"/>
      <c r="Q481" s="21"/>
      <c r="R481" s="21"/>
      <c r="S481" s="21"/>
      <c r="T481" s="21"/>
      <c r="U481" s="27" t="s">
        <v>439</v>
      </c>
      <c r="V481" s="27" t="s">
        <v>440</v>
      </c>
    </row>
    <row r="482" ht="14.25" customHeight="1">
      <c r="A482" s="9" t="s">
        <v>977</v>
      </c>
      <c r="B482" s="9" t="s">
        <v>956</v>
      </c>
      <c r="C482" s="9" t="str">
        <f t="array" ref="C482">INDEX(Funciones!$G$2:$G$372,MATCH($A482,Funciones!$B$2:$B$372,0))</f>
        <v>Guiar el eje con pestaña de _____ mm</v>
      </c>
      <c r="D482" s="9" t="s">
        <v>4093</v>
      </c>
      <c r="E482" s="9" t="s">
        <v>1127</v>
      </c>
      <c r="F482" s="9" t="s">
        <v>4094</v>
      </c>
      <c r="G482" s="9" t="s">
        <v>3222</v>
      </c>
      <c r="H482" s="18" t="str">
        <f t="array" ref="H482">_xlfn.XLOOKUP(E:E,'Calificación consecuencia'!B:B,'Calificación consecuencia'!K:K,"No encontrada",2)</f>
        <v>Baja</v>
      </c>
      <c r="I482" s="9" t="s">
        <v>425</v>
      </c>
      <c r="J482" s="22" t="s">
        <v>120</v>
      </c>
      <c r="K482" s="20" t="s">
        <v>116</v>
      </c>
      <c r="L482" s="21"/>
      <c r="M482" s="21"/>
      <c r="N482" s="21"/>
      <c r="O482" s="21"/>
      <c r="P482" s="21"/>
      <c r="Q482" s="21"/>
      <c r="R482" s="21"/>
      <c r="S482" s="21"/>
      <c r="T482" s="21"/>
      <c r="U482" s="9" t="s">
        <v>439</v>
      </c>
      <c r="V482" s="9" t="s">
        <v>440</v>
      </c>
    </row>
    <row r="483" ht="14.25" customHeight="1">
      <c r="A483" s="9" t="s">
        <v>977</v>
      </c>
      <c r="B483" s="9" t="s">
        <v>956</v>
      </c>
      <c r="C483" s="9" t="str">
        <f t="array" ref="C483">INDEX(Funciones!$G$2:$G$372,MATCH($A483,Funciones!$B$2:$B$372,0))</f>
        <v>Guiar el eje con pestaña de _____ mm</v>
      </c>
      <c r="D483" s="9" t="s">
        <v>4095</v>
      </c>
      <c r="E483" s="9" t="s">
        <v>3154</v>
      </c>
      <c r="F483" s="9" t="s">
        <v>4096</v>
      </c>
      <c r="G483" s="9" t="s">
        <v>3232</v>
      </c>
      <c r="H483" s="18" t="str">
        <f t="array" ref="H483">_xlfn.XLOOKUP(E:E,'Calificación consecuencia'!B:B,'Calificación consecuencia'!K:K,"No encontrada",2)</f>
        <v>Media</v>
      </c>
      <c r="I483" s="9" t="s">
        <v>1800</v>
      </c>
      <c r="J483" s="22" t="s">
        <v>120</v>
      </c>
      <c r="K483" s="20" t="s">
        <v>116</v>
      </c>
      <c r="L483" s="21"/>
      <c r="M483" s="21"/>
      <c r="N483" s="21"/>
      <c r="O483" s="21"/>
      <c r="P483" s="21"/>
      <c r="Q483" s="21"/>
      <c r="R483" s="21"/>
      <c r="S483" s="21"/>
      <c r="T483" s="21"/>
      <c r="U483" s="9" t="s">
        <v>439</v>
      </c>
      <c r="V483" s="9" t="s">
        <v>440</v>
      </c>
    </row>
    <row r="484" ht="14.25" customHeight="1">
      <c r="A484" s="9" t="s">
        <v>977</v>
      </c>
      <c r="B484" s="9" t="s">
        <v>956</v>
      </c>
      <c r="C484" s="9" t="str">
        <f t="array" ref="C484">INDEX(Funciones!$G$2:$G$372,MATCH($A484,Funciones!$B$2:$B$372,0))</f>
        <v>Guiar el eje con pestaña de _____ mm</v>
      </c>
      <c r="D484" s="9" t="s">
        <v>4095</v>
      </c>
      <c r="E484" s="9" t="s">
        <v>1141</v>
      </c>
      <c r="F484" s="9" t="s">
        <v>4097</v>
      </c>
      <c r="G484" s="9" t="s">
        <v>3251</v>
      </c>
      <c r="H484" s="18" t="str">
        <f t="array" ref="H484">_xlfn.XLOOKUP(E:E,'Calificación consecuencia'!B:B,'Calificación consecuencia'!K:K,"No encontrada",2)</f>
        <v>Media</v>
      </c>
      <c r="I484" s="9" t="s">
        <v>425</v>
      </c>
      <c r="J484" s="22" t="s">
        <v>120</v>
      </c>
      <c r="K484" s="20" t="s">
        <v>116</v>
      </c>
      <c r="L484" s="21"/>
      <c r="M484" s="21"/>
      <c r="N484" s="21"/>
      <c r="O484" s="21"/>
      <c r="P484" s="21"/>
      <c r="Q484" s="21"/>
      <c r="R484" s="21"/>
      <c r="S484" s="21"/>
      <c r="T484" s="21"/>
      <c r="U484" s="9" t="s">
        <v>439</v>
      </c>
      <c r="V484" s="9" t="s">
        <v>440</v>
      </c>
    </row>
    <row r="485" ht="14.25" customHeight="1">
      <c r="A485" s="27" t="s">
        <v>985</v>
      </c>
      <c r="B485" s="27" t="s">
        <v>984</v>
      </c>
      <c r="C485" s="27" t="str">
        <f t="array" ref="C485">INDEX(Funciones!$G$2:$G$372,MATCH($A485,Funciones!$B$2:$B$372,0))</f>
        <v>Recorrer curvas con radio mínimo de 90 m</v>
      </c>
      <c r="D485" s="27" t="s">
        <v>4098</v>
      </c>
      <c r="E485" s="27" t="s">
        <v>2410</v>
      </c>
      <c r="F485" s="27" t="s">
        <v>4004</v>
      </c>
      <c r="G485" s="27" t="s">
        <v>4005</v>
      </c>
      <c r="H485" s="18" t="str">
        <f t="array" ref="H485">_xlfn.XLOOKUP(E:E,'Calificación consecuencia'!B:B,'Calificación consecuencia'!K:K,"No encontrada",2)</f>
        <v>Media</v>
      </c>
      <c r="I485" s="27" t="s">
        <v>425</v>
      </c>
      <c r="J485" s="30" t="s">
        <v>116</v>
      </c>
      <c r="K485" s="21"/>
      <c r="L485" s="21"/>
      <c r="M485" s="30" t="s">
        <v>116</v>
      </c>
      <c r="N485" s="30" t="s">
        <v>116</v>
      </c>
      <c r="O485" s="21"/>
      <c r="P485" s="21"/>
      <c r="Q485" s="21"/>
      <c r="R485" s="21"/>
      <c r="S485" s="21"/>
      <c r="T485" s="21"/>
      <c r="U485" s="27" t="s">
        <v>195</v>
      </c>
      <c r="V485" s="27" t="s">
        <v>196</v>
      </c>
    </row>
    <row r="486" ht="14.25" customHeight="1">
      <c r="A486" s="27" t="s">
        <v>985</v>
      </c>
      <c r="B486" s="27" t="s">
        <v>984</v>
      </c>
      <c r="C486" s="27" t="str">
        <f t="array" ref="C486">INDEX(Funciones!$G$2:$G$372,MATCH($A486,Funciones!$B$2:$B$372,0))</f>
        <v>Recorrer curvas con radio mínimo de 90 m</v>
      </c>
      <c r="D486" s="27" t="s">
        <v>4099</v>
      </c>
      <c r="E486" s="27" t="s">
        <v>2413</v>
      </c>
      <c r="F486" s="27" t="s">
        <v>4007</v>
      </c>
      <c r="G486" s="27" t="s">
        <v>4008</v>
      </c>
      <c r="H486" s="18" t="str">
        <f t="array" ref="H486">_xlfn.XLOOKUP(E:E,'Calificación consecuencia'!B:B,'Calificación consecuencia'!K:K,"No encontrada",2)</f>
        <v>Media</v>
      </c>
      <c r="I486" s="27" t="s">
        <v>1351</v>
      </c>
      <c r="J486" s="30" t="s">
        <v>116</v>
      </c>
      <c r="K486" s="21"/>
      <c r="L486" s="21"/>
      <c r="M486" s="30" t="s">
        <v>116</v>
      </c>
      <c r="N486" s="30" t="s">
        <v>116</v>
      </c>
      <c r="O486" s="21"/>
      <c r="P486" s="21"/>
      <c r="Q486" s="21"/>
      <c r="R486" s="21"/>
      <c r="S486" s="21"/>
      <c r="T486" s="21"/>
      <c r="U486" s="27" t="s">
        <v>195</v>
      </c>
      <c r="V486" s="27" t="s">
        <v>196</v>
      </c>
    </row>
    <row r="487" ht="14.25" customHeight="1">
      <c r="A487" s="27" t="s">
        <v>985</v>
      </c>
      <c r="B487" s="27" t="s">
        <v>984</v>
      </c>
      <c r="C487" s="27" t="str">
        <f t="array" ref="C487">INDEX(Funciones!$G$2:$G$372,MATCH($A487,Funciones!$B$2:$B$372,0))</f>
        <v>Recorrer curvas con radio mínimo de 90 m</v>
      </c>
      <c r="D487" s="27" t="s">
        <v>4099</v>
      </c>
      <c r="E487" s="27" t="s">
        <v>2415</v>
      </c>
      <c r="F487" s="27" t="s">
        <v>4009</v>
      </c>
      <c r="G487" s="27" t="s">
        <v>4010</v>
      </c>
      <c r="H487" s="18" t="str">
        <f t="array" ref="H487">_xlfn.XLOOKUP(E:E,'Calificación consecuencia'!B:B,'Calificación consecuencia'!K:K,"No encontrada",2)</f>
        <v>Media</v>
      </c>
      <c r="I487" s="27" t="s">
        <v>1800</v>
      </c>
      <c r="J487" s="30" t="s">
        <v>116</v>
      </c>
      <c r="K487" s="21"/>
      <c r="L487" s="21"/>
      <c r="M487" s="30" t="s">
        <v>116</v>
      </c>
      <c r="N487" s="29" t="s">
        <v>120</v>
      </c>
      <c r="O487" s="21"/>
      <c r="P487" s="21"/>
      <c r="Q487" s="21"/>
      <c r="R487" s="21"/>
      <c r="S487" s="21"/>
      <c r="T487" s="21"/>
      <c r="U487" s="27" t="s">
        <v>230</v>
      </c>
      <c r="V487" s="27" t="s">
        <v>230</v>
      </c>
    </row>
    <row r="488" ht="14.25" customHeight="1">
      <c r="A488" s="9" t="s">
        <v>995</v>
      </c>
      <c r="B488" s="9" t="s">
        <v>994</v>
      </c>
      <c r="C488" s="9" t="str">
        <f t="array" ref="C488">INDEX(Funciones!$G$2:$G$372,MATCH($A488,Funciones!$B$2:$B$372,0))</f>
        <v>Evitar el vuelco de la máquina en izaje con momento de _____ kN·m</v>
      </c>
      <c r="D488" s="9" t="s">
        <v>4100</v>
      </c>
      <c r="E488" s="9" t="s">
        <v>2243</v>
      </c>
      <c r="F488" s="9" t="s">
        <v>3953</v>
      </c>
      <c r="G488" s="9" t="s">
        <v>3954</v>
      </c>
      <c r="H488" s="18" t="str">
        <f t="array" ref="H488">_xlfn.XLOOKUP(E:E,'Calificación consecuencia'!B:B,'Calificación consecuencia'!K:K,"No encontrada",2)</f>
        <v>Baja</v>
      </c>
      <c r="I488" s="9" t="s">
        <v>425</v>
      </c>
      <c r="J488" s="20" t="s">
        <v>116</v>
      </c>
      <c r="K488" s="21"/>
      <c r="L488" s="21"/>
      <c r="M488" s="20" t="s">
        <v>116</v>
      </c>
      <c r="N488" s="20" t="s">
        <v>116</v>
      </c>
      <c r="O488" s="21"/>
      <c r="P488" s="21"/>
      <c r="Q488" s="21"/>
      <c r="R488" s="21"/>
      <c r="S488" s="21"/>
      <c r="T488" s="21"/>
      <c r="U488" s="9" t="s">
        <v>195</v>
      </c>
      <c r="V488" s="9" t="s">
        <v>196</v>
      </c>
    </row>
    <row r="489" ht="14.25" customHeight="1">
      <c r="A489" s="9" t="s">
        <v>995</v>
      </c>
      <c r="B489" s="9" t="s">
        <v>994</v>
      </c>
      <c r="C489" s="9" t="str">
        <f t="array" ref="C489">INDEX(Funciones!$G$2:$G$372,MATCH($A489,Funciones!$B$2:$B$372,0))</f>
        <v>Evitar el vuelco de la máquina en izaje con momento de _____ kN·m</v>
      </c>
      <c r="D489" s="9" t="s">
        <v>4100</v>
      </c>
      <c r="E489" s="9" t="s">
        <v>2249</v>
      </c>
      <c r="F489" s="9" t="s">
        <v>3955</v>
      </c>
      <c r="G489" s="9" t="s">
        <v>3956</v>
      </c>
      <c r="H489" s="18" t="str">
        <f t="array" ref="H489">_xlfn.XLOOKUP(E:E,'Calificación consecuencia'!B:B,'Calificación consecuencia'!K:K,"No encontrada",2)</f>
        <v>Media</v>
      </c>
      <c r="I489" s="9" t="s">
        <v>425</v>
      </c>
      <c r="J489" s="20" t="s">
        <v>116</v>
      </c>
      <c r="K489" s="21"/>
      <c r="L489" s="21"/>
      <c r="M489" s="20" t="s">
        <v>116</v>
      </c>
      <c r="N489" s="20" t="s">
        <v>116</v>
      </c>
      <c r="O489" s="21"/>
      <c r="P489" s="21"/>
      <c r="Q489" s="21"/>
      <c r="R489" s="21"/>
      <c r="S489" s="21"/>
      <c r="T489" s="21"/>
      <c r="U489" s="9" t="s">
        <v>195</v>
      </c>
      <c r="V489" s="9" t="s">
        <v>196</v>
      </c>
    </row>
    <row r="490" ht="14.25" customHeight="1">
      <c r="A490" s="9" t="s">
        <v>995</v>
      </c>
      <c r="B490" s="9" t="s">
        <v>994</v>
      </c>
      <c r="C490" s="9" t="str">
        <f t="array" ref="C490">INDEX(Funciones!$G$2:$G$372,MATCH($A490,Funciones!$B$2:$B$372,0))</f>
        <v>Evitar el vuelco de la máquina en izaje con momento de _____ kN·m</v>
      </c>
      <c r="D490" s="9" t="s">
        <v>4101</v>
      </c>
      <c r="E490" s="9" t="s">
        <v>2258</v>
      </c>
      <c r="F490" s="9" t="s">
        <v>3958</v>
      </c>
      <c r="G490" s="9" t="s">
        <v>3959</v>
      </c>
      <c r="H490" s="18" t="str">
        <f t="array" ref="H490">_xlfn.XLOOKUP(E:E,'Calificación consecuencia'!B:B,'Calificación consecuencia'!K:K,"No encontrada",2)</f>
        <v>Media</v>
      </c>
      <c r="I490" s="9" t="s">
        <v>425</v>
      </c>
      <c r="J490" s="20" t="s">
        <v>116</v>
      </c>
      <c r="K490" s="21"/>
      <c r="L490" s="21"/>
      <c r="M490" s="20" t="s">
        <v>116</v>
      </c>
      <c r="N490" s="20" t="s">
        <v>116</v>
      </c>
      <c r="O490" s="21"/>
      <c r="P490" s="21"/>
      <c r="Q490" s="21"/>
      <c r="R490" s="21"/>
      <c r="S490" s="21"/>
      <c r="T490" s="21"/>
      <c r="U490" s="9" t="s">
        <v>195</v>
      </c>
      <c r="V490" s="9" t="s">
        <v>196</v>
      </c>
    </row>
    <row r="491" ht="14.25" customHeight="1">
      <c r="A491" s="27" t="s">
        <v>1007</v>
      </c>
      <c r="B491" s="27" t="s">
        <v>1006</v>
      </c>
      <c r="C491" s="27" t="str">
        <f t="array" ref="C491">INDEX(Funciones!$G$2:$G$372,MATCH($A491,Funciones!$B$2:$B$372,0))</f>
        <v>Acoplar vehículos con tracción de _____ kN</v>
      </c>
      <c r="D491" s="27" t="s">
        <v>4102</v>
      </c>
      <c r="E491" s="27" t="s">
        <v>3185</v>
      </c>
      <c r="F491" s="27" t="s">
        <v>4103</v>
      </c>
      <c r="G491" s="27" t="s">
        <v>4104</v>
      </c>
      <c r="H491" s="18" t="str">
        <f t="array" ref="H491">_xlfn.XLOOKUP(E:E,'Calificación consecuencia'!B:B,'Calificación consecuencia'!K:K,"No encontrada",2)</f>
        <v>Media</v>
      </c>
      <c r="I491" s="27" t="s">
        <v>425</v>
      </c>
      <c r="J491" s="30" t="s">
        <v>116</v>
      </c>
      <c r="K491" s="21"/>
      <c r="L491" s="21"/>
      <c r="M491" s="30" t="s">
        <v>116</v>
      </c>
      <c r="N491" s="29" t="s">
        <v>120</v>
      </c>
      <c r="O491" s="21"/>
      <c r="P491" s="21"/>
      <c r="Q491" s="21"/>
      <c r="R491" s="21"/>
      <c r="S491" s="21"/>
      <c r="T491" s="21"/>
      <c r="U491" s="27" t="s">
        <v>230</v>
      </c>
      <c r="V491" s="27" t="s">
        <v>230</v>
      </c>
    </row>
    <row r="492" ht="14.25" customHeight="1">
      <c r="A492" s="27" t="s">
        <v>1007</v>
      </c>
      <c r="B492" s="27" t="s">
        <v>1006</v>
      </c>
      <c r="C492" s="27" t="str">
        <f t="array" ref="C492">INDEX(Funciones!$G$2:$G$372,MATCH($A492,Funciones!$B$2:$B$372,0))</f>
        <v>Acoplar vehículos con tracción de _____ kN</v>
      </c>
      <c r="D492" s="27" t="s">
        <v>4102</v>
      </c>
      <c r="E492" s="27" t="s">
        <v>3190</v>
      </c>
      <c r="F492" s="27" t="s">
        <v>4105</v>
      </c>
      <c r="G492" s="27" t="s">
        <v>4106</v>
      </c>
      <c r="H492" s="18" t="str">
        <f t="array" ref="H492">_xlfn.XLOOKUP(E:E,'Calificación consecuencia'!B:B,'Calificación consecuencia'!K:K,"No encontrada",2)</f>
        <v>Media</v>
      </c>
      <c r="I492" s="27" t="s">
        <v>425</v>
      </c>
      <c r="J492" s="30" t="s">
        <v>116</v>
      </c>
      <c r="K492" s="21"/>
      <c r="L492" s="21"/>
      <c r="M492" s="30" t="s">
        <v>116</v>
      </c>
      <c r="N492" s="30" t="s">
        <v>116</v>
      </c>
      <c r="O492" s="21"/>
      <c r="P492" s="21"/>
      <c r="Q492" s="21"/>
      <c r="R492" s="21"/>
      <c r="S492" s="21"/>
      <c r="T492" s="21"/>
      <c r="U492" s="27" t="s">
        <v>195</v>
      </c>
      <c r="V492" s="27" t="s">
        <v>196</v>
      </c>
    </row>
    <row r="493" ht="14.25" customHeight="1">
      <c r="A493" s="27" t="s">
        <v>1007</v>
      </c>
      <c r="B493" s="27" t="s">
        <v>1006</v>
      </c>
      <c r="C493" s="27" t="str">
        <f t="array" ref="C493">INDEX(Funciones!$G$2:$G$372,MATCH($A493,Funciones!$B$2:$B$372,0))</f>
        <v>Acoplar vehículos con tracción de _____ kN</v>
      </c>
      <c r="D493" s="27" t="s">
        <v>4102</v>
      </c>
      <c r="E493" s="27" t="s">
        <v>3196</v>
      </c>
      <c r="F493" s="27" t="s">
        <v>4107</v>
      </c>
      <c r="G493" s="27" t="s">
        <v>4108</v>
      </c>
      <c r="H493" s="18" t="str">
        <f t="array" ref="H493">_xlfn.XLOOKUP(E:E,'Calificación consecuencia'!B:B,'Calificación consecuencia'!K:K,"No encontrada",2)</f>
        <v>Media</v>
      </c>
      <c r="I493" s="27" t="s">
        <v>425</v>
      </c>
      <c r="J493" s="30" t="s">
        <v>116</v>
      </c>
      <c r="K493" s="21"/>
      <c r="L493" s="21"/>
      <c r="M493" s="30" t="s">
        <v>116</v>
      </c>
      <c r="N493" s="30" t="s">
        <v>116</v>
      </c>
      <c r="O493" s="21"/>
      <c r="P493" s="21"/>
      <c r="Q493" s="21"/>
      <c r="R493" s="21"/>
      <c r="S493" s="21"/>
      <c r="T493" s="21"/>
      <c r="U493" s="27" t="s">
        <v>195</v>
      </c>
      <c r="V493" s="27" t="s">
        <v>196</v>
      </c>
    </row>
    <row r="494" ht="14.25" customHeight="1">
      <c r="A494" s="27" t="s">
        <v>1007</v>
      </c>
      <c r="B494" s="27" t="s">
        <v>1006</v>
      </c>
      <c r="C494" s="27" t="str">
        <f t="array" ref="C494">INDEX(Funciones!$G$2:$G$372,MATCH($A494,Funciones!$B$2:$B$372,0))</f>
        <v>Acoplar vehículos con tracción de _____ kN</v>
      </c>
      <c r="D494" s="27" t="s">
        <v>4109</v>
      </c>
      <c r="E494" s="27" t="s">
        <v>3201</v>
      </c>
      <c r="F494" s="27" t="s">
        <v>4110</v>
      </c>
      <c r="G494" s="27" t="s">
        <v>4111</v>
      </c>
      <c r="H494" s="18" t="str">
        <f t="array" ref="H494">_xlfn.XLOOKUP(E:E,'Calificación consecuencia'!B:B,'Calificación consecuencia'!K:K,"No encontrada",2)</f>
        <v>Baja</v>
      </c>
      <c r="I494" s="27" t="s">
        <v>425</v>
      </c>
      <c r="J494" s="30" t="s">
        <v>116</v>
      </c>
      <c r="K494" s="21"/>
      <c r="L494" s="21"/>
      <c r="M494" s="30" t="s">
        <v>116</v>
      </c>
      <c r="N494" s="30" t="s">
        <v>116</v>
      </c>
      <c r="O494" s="21"/>
      <c r="P494" s="21"/>
      <c r="Q494" s="21"/>
      <c r="R494" s="21"/>
      <c r="S494" s="21"/>
      <c r="T494" s="21"/>
      <c r="U494" s="27" t="s">
        <v>195</v>
      </c>
      <c r="V494" s="27" t="s">
        <v>196</v>
      </c>
    </row>
    <row r="495" ht="14.25" customHeight="1">
      <c r="A495" s="9" t="s">
        <v>1021</v>
      </c>
      <c r="B495" s="9" t="s">
        <v>1006</v>
      </c>
      <c r="C495" s="9" t="str">
        <f t="array" ref="C495">INDEX(Funciones!$G$2:$G$372,MATCH($A495,Funciones!$B$2:$B$372,0))</f>
        <v>Mantener la altura del enganche entre _____ y _____ mm</v>
      </c>
      <c r="D495" s="9" t="s">
        <v>4112</v>
      </c>
      <c r="E495" s="9" t="s">
        <v>3210</v>
      </c>
      <c r="F495" s="9" t="s">
        <v>4113</v>
      </c>
      <c r="G495" s="9" t="s">
        <v>4114</v>
      </c>
      <c r="H495" s="18" t="str">
        <f t="array" ref="H495">_xlfn.XLOOKUP(E:E,'Calificación consecuencia'!B:B,'Calificación consecuencia'!K:K,"No encontrada",2)</f>
        <v>Baja</v>
      </c>
      <c r="I495" s="9" t="s">
        <v>1351</v>
      </c>
      <c r="J495" s="20" t="s">
        <v>116</v>
      </c>
      <c r="K495" s="21"/>
      <c r="L495" s="21"/>
      <c r="M495" s="20" t="s">
        <v>116</v>
      </c>
      <c r="N495" s="20" t="s">
        <v>116</v>
      </c>
      <c r="O495" s="21"/>
      <c r="P495" s="21"/>
      <c r="Q495" s="21"/>
      <c r="R495" s="21"/>
      <c r="S495" s="21"/>
      <c r="T495" s="21"/>
      <c r="U495" s="9" t="s">
        <v>195</v>
      </c>
      <c r="V495" s="9" t="s">
        <v>196</v>
      </c>
    </row>
    <row r="496" ht="14.25" customHeight="1">
      <c r="A496" s="9" t="s">
        <v>1021</v>
      </c>
      <c r="B496" s="9" t="s">
        <v>1006</v>
      </c>
      <c r="C496" s="9" t="str">
        <f t="array" ref="C496">INDEX(Funciones!$G$2:$G$372,MATCH($A496,Funciones!$B$2:$B$372,0))</f>
        <v>Mantener la altura del enganche entre _____ y _____ mm</v>
      </c>
      <c r="D496" s="9" t="s">
        <v>4115</v>
      </c>
      <c r="E496" s="9" t="s">
        <v>3217</v>
      </c>
      <c r="F496" s="9" t="s">
        <v>4116</v>
      </c>
      <c r="G496" s="9" t="s">
        <v>4117</v>
      </c>
      <c r="H496" s="18" t="str">
        <f t="array" ref="H496">_xlfn.XLOOKUP(E:E,'Calificación consecuencia'!B:B,'Calificación consecuencia'!K:K,"No encontrada",2)</f>
        <v>Baja</v>
      </c>
      <c r="I496" s="9" t="s">
        <v>1800</v>
      </c>
      <c r="J496" s="20" t="s">
        <v>116</v>
      </c>
      <c r="K496" s="21"/>
      <c r="L496" s="21"/>
      <c r="M496" s="22" t="s">
        <v>120</v>
      </c>
      <c r="N496" s="21"/>
      <c r="O496" s="20" t="s">
        <v>116</v>
      </c>
      <c r="P496" s="20" t="s">
        <v>116</v>
      </c>
      <c r="Q496" s="21"/>
      <c r="R496" s="21"/>
      <c r="S496" s="21"/>
      <c r="T496" s="21"/>
      <c r="U496" s="9" t="s">
        <v>345</v>
      </c>
      <c r="V496" s="9" t="s">
        <v>196</v>
      </c>
    </row>
    <row r="497" ht="14.25" customHeight="1">
      <c r="A497" s="9" t="s">
        <v>1021</v>
      </c>
      <c r="B497" s="9" t="s">
        <v>1006</v>
      </c>
      <c r="C497" s="9" t="str">
        <f t="array" ref="C497">INDEX(Funciones!$G$2:$G$372,MATCH($A497,Funciones!$B$2:$B$372,0))</f>
        <v>Mantener la altura del enganche entre _____ y _____ mm</v>
      </c>
      <c r="D497" s="9" t="s">
        <v>4118</v>
      </c>
      <c r="E497" s="9" t="s">
        <v>3225</v>
      </c>
      <c r="F497" s="9" t="s">
        <v>4119</v>
      </c>
      <c r="G497" s="9" t="s">
        <v>4120</v>
      </c>
      <c r="H497" s="18" t="str">
        <f t="array" ref="H497">_xlfn.XLOOKUP(E:E,'Calificación consecuencia'!B:B,'Calificación consecuencia'!K:K,"No encontrada",2)</f>
        <v>Media</v>
      </c>
      <c r="I497" s="9" t="s">
        <v>1800</v>
      </c>
      <c r="J497" s="20" t="s">
        <v>116</v>
      </c>
      <c r="K497" s="21"/>
      <c r="L497" s="21"/>
      <c r="M497" s="22" t="s">
        <v>120</v>
      </c>
      <c r="N497" s="21"/>
      <c r="O497" s="20" t="s">
        <v>116</v>
      </c>
      <c r="P497" s="22" t="s">
        <v>120</v>
      </c>
      <c r="Q497" s="22" t="s">
        <v>120</v>
      </c>
      <c r="R497" s="22" t="s">
        <v>120</v>
      </c>
      <c r="S497" s="21"/>
      <c r="T497" s="21"/>
      <c r="U497" s="9" t="s">
        <v>230</v>
      </c>
      <c r="V497" s="9" t="s">
        <v>230</v>
      </c>
    </row>
    <row r="498" ht="14.25" customHeight="1">
      <c r="A498" s="27" t="s">
        <v>1030</v>
      </c>
      <c r="B498" s="27" t="s">
        <v>1029</v>
      </c>
      <c r="C498" s="27" t="str">
        <f t="array" ref="C498">INDEX(Funciones!$G$2:$G$372,MATCH($A498,Funciones!$B$2:$B$372,0))</f>
        <v>Remolcar trenes de trabajo hasta _____ t</v>
      </c>
      <c r="D498" s="27" t="s">
        <v>4121</v>
      </c>
      <c r="E498" s="27" t="s">
        <v>1813</v>
      </c>
      <c r="F498" s="27" t="s">
        <v>3762</v>
      </c>
      <c r="G498" s="27" t="s">
        <v>3628</v>
      </c>
      <c r="H498" s="18" t="str">
        <f t="array" ref="H498">_xlfn.XLOOKUP(E:E,'Calificación consecuencia'!B:B,'Calificación consecuencia'!K:K,"No encontrada",2)</f>
        <v>Baja</v>
      </c>
      <c r="I498" s="27" t="s">
        <v>425</v>
      </c>
      <c r="J498" s="30" t="s">
        <v>116</v>
      </c>
      <c r="K498" s="21"/>
      <c r="L498" s="21"/>
      <c r="M498" s="30" t="s">
        <v>116</v>
      </c>
      <c r="N498" s="30" t="s">
        <v>116</v>
      </c>
      <c r="O498" s="21"/>
      <c r="P498" s="21"/>
      <c r="Q498" s="21"/>
      <c r="R498" s="21"/>
      <c r="S498" s="21"/>
      <c r="T498" s="21"/>
      <c r="U498" s="27" t="s">
        <v>195</v>
      </c>
      <c r="V498" s="27" t="s">
        <v>196</v>
      </c>
    </row>
    <row r="499" ht="14.25" customHeight="1">
      <c r="A499" s="27" t="s">
        <v>1030</v>
      </c>
      <c r="B499" s="27" t="s">
        <v>1029</v>
      </c>
      <c r="C499" s="27" t="str">
        <f t="array" ref="C499">INDEX(Funciones!$G$2:$G$372,MATCH($A499,Funciones!$B$2:$B$372,0))</f>
        <v>Remolcar trenes de trabajo hasta _____ t</v>
      </c>
      <c r="D499" s="27" t="s">
        <v>4121</v>
      </c>
      <c r="E499" s="27" t="s">
        <v>2009</v>
      </c>
      <c r="F499" s="27" t="s">
        <v>3763</v>
      </c>
      <c r="G499" s="27" t="s">
        <v>3764</v>
      </c>
      <c r="H499" s="18" t="str">
        <f t="array" ref="H499">_xlfn.XLOOKUP(E:E,'Calificación consecuencia'!B:B,'Calificación consecuencia'!K:K,"No encontrada",2)</f>
        <v>Baja</v>
      </c>
      <c r="I499" s="27" t="s">
        <v>2694</v>
      </c>
      <c r="J499" s="30" t="s">
        <v>116</v>
      </c>
      <c r="K499" s="21"/>
      <c r="L499" s="21"/>
      <c r="M499" s="30" t="s">
        <v>116</v>
      </c>
      <c r="N499" s="30" t="s">
        <v>116</v>
      </c>
      <c r="O499" s="21"/>
      <c r="P499" s="21"/>
      <c r="Q499" s="21"/>
      <c r="R499" s="21"/>
      <c r="S499" s="21"/>
      <c r="T499" s="21"/>
      <c r="U499" s="27" t="s">
        <v>195</v>
      </c>
      <c r="V499" s="27" t="s">
        <v>196</v>
      </c>
    </row>
    <row r="500" ht="14.25" customHeight="1">
      <c r="A500" s="27" t="s">
        <v>1030</v>
      </c>
      <c r="B500" s="27" t="s">
        <v>1029</v>
      </c>
      <c r="C500" s="27" t="str">
        <f t="array" ref="C500">INDEX(Funciones!$G$2:$G$372,MATCH($A500,Funciones!$B$2:$B$372,0))</f>
        <v>Remolcar trenes de trabajo hasta _____ t</v>
      </c>
      <c r="D500" s="27" t="s">
        <v>4122</v>
      </c>
      <c r="E500" s="27" t="s">
        <v>1822</v>
      </c>
      <c r="F500" s="27" t="s">
        <v>3766</v>
      </c>
      <c r="G500" s="27" t="s">
        <v>3634</v>
      </c>
      <c r="H500" s="18" t="str">
        <f t="array" ref="H500">_xlfn.XLOOKUP(E:E,'Calificación consecuencia'!B:B,'Calificación consecuencia'!K:K,"No encontrada",2)</f>
        <v>Media</v>
      </c>
      <c r="I500" s="27" t="s">
        <v>425</v>
      </c>
      <c r="J500" s="30" t="s">
        <v>116</v>
      </c>
      <c r="K500" s="21"/>
      <c r="L500" s="21"/>
      <c r="M500" s="30" t="s">
        <v>116</v>
      </c>
      <c r="N500" s="30" t="s">
        <v>116</v>
      </c>
      <c r="O500" s="21"/>
      <c r="P500" s="21"/>
      <c r="Q500" s="21"/>
      <c r="R500" s="21"/>
      <c r="S500" s="21"/>
      <c r="T500" s="21"/>
      <c r="U500" s="27" t="s">
        <v>195</v>
      </c>
      <c r="V500" s="27" t="s">
        <v>196</v>
      </c>
    </row>
    <row r="501" ht="14.25" customHeight="1">
      <c r="A501" s="27" t="s">
        <v>1030</v>
      </c>
      <c r="B501" s="27" t="s">
        <v>1029</v>
      </c>
      <c r="C501" s="27" t="str">
        <f t="array" ref="C501">INDEX(Funciones!$G$2:$G$372,MATCH($A501,Funciones!$B$2:$B$372,0))</f>
        <v>Remolcar trenes de trabajo hasta _____ t</v>
      </c>
      <c r="D501" s="27" t="s">
        <v>4122</v>
      </c>
      <c r="E501" s="27" t="s">
        <v>2011</v>
      </c>
      <c r="F501" s="27" t="s">
        <v>3767</v>
      </c>
      <c r="G501" s="27" t="s">
        <v>3630</v>
      </c>
      <c r="H501" s="18" t="str">
        <f t="array" ref="H501">_xlfn.XLOOKUP(E:E,'Calificación consecuencia'!B:B,'Calificación consecuencia'!K:K,"No encontrada",2)</f>
        <v>Media</v>
      </c>
      <c r="I501" s="27" t="s">
        <v>1351</v>
      </c>
      <c r="J501" s="30" t="s">
        <v>116</v>
      </c>
      <c r="K501" s="21"/>
      <c r="L501" s="21"/>
      <c r="M501" s="30" t="s">
        <v>116</v>
      </c>
      <c r="N501" s="30" t="s">
        <v>116</v>
      </c>
      <c r="O501" s="21"/>
      <c r="P501" s="21"/>
      <c r="Q501" s="21"/>
      <c r="R501" s="21"/>
      <c r="S501" s="21"/>
      <c r="T501" s="21"/>
      <c r="U501" s="27" t="s">
        <v>195</v>
      </c>
      <c r="V501" s="27" t="s">
        <v>196</v>
      </c>
    </row>
    <row r="502" ht="14.25" customHeight="1">
      <c r="A502" s="9" t="s">
        <v>1038</v>
      </c>
      <c r="B502" s="9" t="s">
        <v>1037</v>
      </c>
      <c r="C502" s="9" t="str">
        <f t="array" ref="C502">INDEX(Funciones!$G$2:$G$372,MATCH($A502,Funciones!$B$2:$B$372,0))</f>
        <v>Comprimir el aire a una presión de _____ bar</v>
      </c>
      <c r="D502" s="9" t="s">
        <v>3403</v>
      </c>
      <c r="E502" s="9" t="s">
        <v>999</v>
      </c>
      <c r="F502" s="9" t="s">
        <v>2657</v>
      </c>
      <c r="G502" s="9" t="s">
        <v>2658</v>
      </c>
      <c r="H502" s="18" t="str">
        <f t="array" ref="H502">_xlfn.XLOOKUP(E:E,'Calificación consecuencia'!B:B,'Calificación consecuencia'!K:K,"No encontrada",2)</f>
        <v>Media</v>
      </c>
      <c r="I502" s="9" t="s">
        <v>1800</v>
      </c>
      <c r="J502" s="20" t="s">
        <v>116</v>
      </c>
      <c r="K502" s="21"/>
      <c r="L502" s="21"/>
      <c r="M502" s="20" t="s">
        <v>116</v>
      </c>
      <c r="N502" s="20" t="s">
        <v>116</v>
      </c>
      <c r="O502" s="21"/>
      <c r="P502" s="21"/>
      <c r="Q502" s="21"/>
      <c r="R502" s="21"/>
      <c r="S502" s="21"/>
      <c r="T502" s="21"/>
      <c r="U502" s="9" t="s">
        <v>195</v>
      </c>
      <c r="V502" s="9" t="s">
        <v>196</v>
      </c>
    </row>
    <row r="503" ht="14.25" customHeight="1">
      <c r="A503" s="9" t="s">
        <v>1038</v>
      </c>
      <c r="B503" s="9" t="s">
        <v>1037</v>
      </c>
      <c r="C503" s="9" t="str">
        <f t="array" ref="C503">INDEX(Funciones!$G$2:$G$372,MATCH($A503,Funciones!$B$2:$B$372,0))</f>
        <v>Comprimir el aire a una presión de _____ bar</v>
      </c>
      <c r="D503" s="9" t="s">
        <v>3403</v>
      </c>
      <c r="E503" s="9" t="s">
        <v>1005</v>
      </c>
      <c r="F503" s="9" t="s">
        <v>2677</v>
      </c>
      <c r="G503" s="9" t="s">
        <v>2679</v>
      </c>
      <c r="H503" s="18" t="str">
        <f t="array" ref="H503">_xlfn.XLOOKUP(E:E,'Calificación consecuencia'!B:B,'Calificación consecuencia'!K:K,"No encontrada",2)</f>
        <v>Baja</v>
      </c>
      <c r="I503" s="9" t="s">
        <v>2694</v>
      </c>
      <c r="J503" s="20" t="s">
        <v>116</v>
      </c>
      <c r="K503" s="21"/>
      <c r="L503" s="21"/>
      <c r="M503" s="20" t="s">
        <v>116</v>
      </c>
      <c r="N503" s="20" t="s">
        <v>116</v>
      </c>
      <c r="O503" s="21"/>
      <c r="P503" s="21"/>
      <c r="Q503" s="21"/>
      <c r="R503" s="21"/>
      <c r="S503" s="21"/>
      <c r="T503" s="21"/>
      <c r="U503" s="9" t="s">
        <v>195</v>
      </c>
      <c r="V503" s="9" t="s">
        <v>196</v>
      </c>
    </row>
    <row r="504" ht="14.25" customHeight="1">
      <c r="A504" s="9" t="s">
        <v>1038</v>
      </c>
      <c r="B504" s="9" t="s">
        <v>1037</v>
      </c>
      <c r="C504" s="9" t="str">
        <f t="array" ref="C504">INDEX(Funciones!$G$2:$G$372,MATCH($A504,Funciones!$B$2:$B$372,0))</f>
        <v>Comprimir el aire a una presión de _____ bar</v>
      </c>
      <c r="D504" s="9" t="s">
        <v>3403</v>
      </c>
      <c r="E504" s="9" t="s">
        <v>1017</v>
      </c>
      <c r="F504" s="9" t="s">
        <v>2709</v>
      </c>
      <c r="G504" s="9" t="s">
        <v>2710</v>
      </c>
      <c r="H504" s="18" t="str">
        <f t="array" ref="H504">_xlfn.XLOOKUP(E:E,'Calificación consecuencia'!B:B,'Calificación consecuencia'!K:K,"No encontrada",2)</f>
        <v>Media</v>
      </c>
      <c r="I504" s="9" t="s">
        <v>1800</v>
      </c>
      <c r="J504" s="20" t="s">
        <v>116</v>
      </c>
      <c r="K504" s="21"/>
      <c r="L504" s="21"/>
      <c r="M504" s="20" t="s">
        <v>116</v>
      </c>
      <c r="N504" s="20" t="s">
        <v>116</v>
      </c>
      <c r="O504" s="21"/>
      <c r="P504" s="21"/>
      <c r="Q504" s="21"/>
      <c r="R504" s="21"/>
      <c r="S504" s="21"/>
      <c r="T504" s="21"/>
      <c r="U504" s="9" t="s">
        <v>195</v>
      </c>
      <c r="V504" s="9" t="s">
        <v>196</v>
      </c>
    </row>
    <row r="505" ht="14.25" customHeight="1">
      <c r="A505" s="9" t="s">
        <v>1038</v>
      </c>
      <c r="B505" s="9" t="s">
        <v>1037</v>
      </c>
      <c r="C505" s="9" t="str">
        <f t="array" ref="C505">INDEX(Funciones!$G$2:$G$372,MATCH($A505,Funciones!$B$2:$B$372,0))</f>
        <v>Comprimir el aire a una presión de _____ bar</v>
      </c>
      <c r="D505" s="9" t="s">
        <v>3404</v>
      </c>
      <c r="E505" s="9" t="s">
        <v>727</v>
      </c>
      <c r="F505" s="9" t="s">
        <v>3405</v>
      </c>
      <c r="G505" s="9" t="s">
        <v>1792</v>
      </c>
      <c r="H505" s="18" t="str">
        <f t="array" ref="H505">_xlfn.XLOOKUP(E:E,'Calificación consecuencia'!B:B,'Calificación consecuencia'!K:K,"No encontrada",2)</f>
        <v>Baja</v>
      </c>
      <c r="I505" s="9" t="s">
        <v>1800</v>
      </c>
      <c r="J505" s="20" t="s">
        <v>116</v>
      </c>
      <c r="K505" s="21"/>
      <c r="L505" s="21"/>
      <c r="M505" s="22" t="s">
        <v>120</v>
      </c>
      <c r="N505" s="21"/>
      <c r="O505" s="20" t="s">
        <v>116</v>
      </c>
      <c r="P505" s="20" t="s">
        <v>116</v>
      </c>
      <c r="Q505" s="21"/>
      <c r="R505" s="21"/>
      <c r="S505" s="21"/>
      <c r="T505" s="21"/>
      <c r="U505" s="9" t="s">
        <v>345</v>
      </c>
      <c r="V505" s="9" t="s">
        <v>196</v>
      </c>
    </row>
    <row r="506" ht="14.25" customHeight="1">
      <c r="A506" s="9" t="s">
        <v>1038</v>
      </c>
      <c r="B506" s="9" t="s">
        <v>1037</v>
      </c>
      <c r="C506" s="9" t="str">
        <f t="array" ref="C506">INDEX(Funciones!$G$2:$G$372,MATCH($A506,Funciones!$B$2:$B$372,0))</f>
        <v>Comprimir el aire a una presión de _____ bar</v>
      </c>
      <c r="D506" s="9" t="s">
        <v>3404</v>
      </c>
      <c r="E506" s="9" t="s">
        <v>1036</v>
      </c>
      <c r="F506" s="9" t="s">
        <v>3406</v>
      </c>
      <c r="G506" s="9" t="s">
        <v>2810</v>
      </c>
      <c r="H506" s="18" t="str">
        <f t="array" ref="H506">_xlfn.XLOOKUP(E:E,'Calificación consecuencia'!B:B,'Calificación consecuencia'!K:K,"No encontrada",2)</f>
        <v>Baja</v>
      </c>
      <c r="I506" s="9" t="s">
        <v>2106</v>
      </c>
      <c r="J506" s="20" t="s">
        <v>116</v>
      </c>
      <c r="K506" s="21"/>
      <c r="L506" s="21"/>
      <c r="M506" s="22" t="s">
        <v>120</v>
      </c>
      <c r="N506" s="21"/>
      <c r="O506" s="20" t="s">
        <v>116</v>
      </c>
      <c r="P506" s="20" t="s">
        <v>116</v>
      </c>
      <c r="Q506" s="21"/>
      <c r="R506" s="21"/>
      <c r="S506" s="21"/>
      <c r="T506" s="21"/>
      <c r="U506" s="9" t="s">
        <v>345</v>
      </c>
      <c r="V506" s="9" t="s">
        <v>196</v>
      </c>
    </row>
    <row r="507" ht="14.25" customHeight="1">
      <c r="A507" s="9" t="s">
        <v>1038</v>
      </c>
      <c r="B507" s="9" t="s">
        <v>1037</v>
      </c>
      <c r="C507" s="9" t="str">
        <f t="array" ref="C507">INDEX(Funciones!$G$2:$G$372,MATCH($A507,Funciones!$B$2:$B$372,0))</f>
        <v>Comprimir el aire a una presión de _____ bar</v>
      </c>
      <c r="D507" s="9" t="s">
        <v>3409</v>
      </c>
      <c r="E507" s="9" t="s">
        <v>1421</v>
      </c>
      <c r="F507" s="9" t="s">
        <v>3410</v>
      </c>
      <c r="G507" s="9" t="s">
        <v>2841</v>
      </c>
      <c r="H507" s="18" t="str">
        <f t="array" ref="H507">_xlfn.XLOOKUP(E:E,'Calificación consecuencia'!B:B,'Calificación consecuencia'!K:K,"No encontrada",2)</f>
        <v>Baja</v>
      </c>
      <c r="I507" s="9" t="s">
        <v>2106</v>
      </c>
      <c r="J507" s="20" t="s">
        <v>116</v>
      </c>
      <c r="K507" s="21"/>
      <c r="L507" s="21"/>
      <c r="M507" s="22" t="s">
        <v>120</v>
      </c>
      <c r="N507" s="21"/>
      <c r="O507" s="22" t="s">
        <v>120</v>
      </c>
      <c r="P507" s="21"/>
      <c r="Q507" s="21"/>
      <c r="R507" s="21"/>
      <c r="S507" s="22" t="s">
        <v>120</v>
      </c>
      <c r="T507" s="21"/>
      <c r="U507" s="9" t="s">
        <v>1680</v>
      </c>
      <c r="V507" s="9" t="s">
        <v>1408</v>
      </c>
    </row>
    <row r="508" ht="14.25" customHeight="1">
      <c r="A508" s="9" t="s">
        <v>1038</v>
      </c>
      <c r="B508" s="9" t="s">
        <v>1037</v>
      </c>
      <c r="C508" s="9" t="str">
        <f t="array" ref="C508">INDEX(Funciones!$G$2:$G$372,MATCH($A508,Funciones!$B$2:$B$372,0))</f>
        <v>Comprimir el aire a una presión de _____ bar</v>
      </c>
      <c r="D508" s="9" t="s">
        <v>3409</v>
      </c>
      <c r="E508" s="9" t="s">
        <v>1426</v>
      </c>
      <c r="F508" s="9" t="s">
        <v>3411</v>
      </c>
      <c r="G508" s="9" t="s">
        <v>1888</v>
      </c>
      <c r="H508" s="18" t="str">
        <f t="array" ref="H508">_xlfn.XLOOKUP(E:E,'Calificación consecuencia'!B:B,'Calificación consecuencia'!K:K,"No encontrada",2)</f>
        <v>Baja</v>
      </c>
      <c r="I508" s="9" t="s">
        <v>2106</v>
      </c>
      <c r="J508" s="20" t="s">
        <v>116</v>
      </c>
      <c r="K508" s="21"/>
      <c r="L508" s="21"/>
      <c r="M508" s="22" t="s">
        <v>120</v>
      </c>
      <c r="N508" s="21"/>
      <c r="O508" s="22" t="s">
        <v>120</v>
      </c>
      <c r="P508" s="21"/>
      <c r="Q508" s="21"/>
      <c r="R508" s="21"/>
      <c r="S508" s="22" t="s">
        <v>120</v>
      </c>
      <c r="T508" s="21"/>
      <c r="U508" s="9" t="s">
        <v>1680</v>
      </c>
      <c r="V508" s="9" t="s">
        <v>1408</v>
      </c>
    </row>
    <row r="509" ht="14.25" customHeight="1">
      <c r="A509" s="27" t="s">
        <v>1045</v>
      </c>
      <c r="B509" s="27" t="s">
        <v>1037</v>
      </c>
      <c r="C509" s="27" t="str">
        <f t="array" ref="C509">INDEX(Funciones!$G$2:$G$372,MATCH($A509,Funciones!$B$2:$B$372,0))</f>
        <v>Suministrar caudal de aire de _____ L/min</v>
      </c>
      <c r="D509" s="27" t="s">
        <v>4123</v>
      </c>
      <c r="E509" s="27" t="s">
        <v>999</v>
      </c>
      <c r="F509" s="27" t="s">
        <v>2657</v>
      </c>
      <c r="G509" s="27" t="s">
        <v>2658</v>
      </c>
      <c r="H509" s="18" t="str">
        <f t="array" ref="H509">_xlfn.XLOOKUP(E:E,'Calificación consecuencia'!B:B,'Calificación consecuencia'!K:K,"No encontrada",2)</f>
        <v>Media</v>
      </c>
      <c r="I509" s="27" t="s">
        <v>1800</v>
      </c>
      <c r="J509" s="30" t="s">
        <v>116</v>
      </c>
      <c r="K509" s="21"/>
      <c r="L509" s="21"/>
      <c r="M509" s="30" t="s">
        <v>116</v>
      </c>
      <c r="N509" s="30" t="s">
        <v>116</v>
      </c>
      <c r="O509" s="21"/>
      <c r="P509" s="21"/>
      <c r="Q509" s="21"/>
      <c r="R509" s="21"/>
      <c r="S509" s="21"/>
      <c r="T509" s="21"/>
      <c r="U509" s="27" t="s">
        <v>195</v>
      </c>
      <c r="V509" s="27" t="s">
        <v>196</v>
      </c>
    </row>
    <row r="510" ht="14.25" customHeight="1">
      <c r="A510" s="27" t="s">
        <v>1045</v>
      </c>
      <c r="B510" s="27" t="s">
        <v>1037</v>
      </c>
      <c r="C510" s="27" t="str">
        <f t="array" ref="C510">INDEX(Funciones!$G$2:$G$372,MATCH($A510,Funciones!$B$2:$B$372,0))</f>
        <v>Suministrar caudal de aire de _____ L/min</v>
      </c>
      <c r="D510" s="27" t="s">
        <v>4123</v>
      </c>
      <c r="E510" s="27" t="s">
        <v>1005</v>
      </c>
      <c r="F510" s="27" t="s">
        <v>2677</v>
      </c>
      <c r="G510" s="27" t="s">
        <v>2679</v>
      </c>
      <c r="H510" s="18" t="str">
        <f t="array" ref="H510">_xlfn.XLOOKUP(E:E,'Calificación consecuencia'!B:B,'Calificación consecuencia'!K:K,"No encontrada",2)</f>
        <v>Baja</v>
      </c>
      <c r="I510" s="27" t="s">
        <v>2694</v>
      </c>
      <c r="J510" s="30" t="s">
        <v>116</v>
      </c>
      <c r="K510" s="21"/>
      <c r="L510" s="21"/>
      <c r="M510" s="30" t="s">
        <v>116</v>
      </c>
      <c r="N510" s="30" t="s">
        <v>116</v>
      </c>
      <c r="O510" s="21"/>
      <c r="P510" s="21"/>
      <c r="Q510" s="21"/>
      <c r="R510" s="21"/>
      <c r="S510" s="21"/>
      <c r="T510" s="21"/>
      <c r="U510" s="27" t="s">
        <v>195</v>
      </c>
      <c r="V510" s="27" t="s">
        <v>196</v>
      </c>
    </row>
    <row r="511" ht="14.25" customHeight="1">
      <c r="A511" s="27" t="s">
        <v>1045</v>
      </c>
      <c r="B511" s="27" t="s">
        <v>1037</v>
      </c>
      <c r="C511" s="27" t="str">
        <f t="array" ref="C511">INDEX(Funciones!$G$2:$G$372,MATCH($A511,Funciones!$B$2:$B$372,0))</f>
        <v>Suministrar caudal de aire de _____ L/min</v>
      </c>
      <c r="D511" s="27" t="s">
        <v>4123</v>
      </c>
      <c r="E511" s="27" t="s">
        <v>1017</v>
      </c>
      <c r="F511" s="27" t="s">
        <v>2709</v>
      </c>
      <c r="G511" s="27" t="s">
        <v>2710</v>
      </c>
      <c r="H511" s="18" t="str">
        <f t="array" ref="H511">_xlfn.XLOOKUP(E:E,'Calificación consecuencia'!B:B,'Calificación consecuencia'!K:K,"No encontrada",2)</f>
        <v>Media</v>
      </c>
      <c r="I511" s="27" t="s">
        <v>1800</v>
      </c>
      <c r="J511" s="30" t="s">
        <v>116</v>
      </c>
      <c r="K511" s="21"/>
      <c r="L511" s="21"/>
      <c r="M511" s="30" t="s">
        <v>116</v>
      </c>
      <c r="N511" s="30" t="s">
        <v>116</v>
      </c>
      <c r="O511" s="21"/>
      <c r="P511" s="21"/>
      <c r="Q511" s="21"/>
      <c r="R511" s="21"/>
      <c r="S511" s="21"/>
      <c r="T511" s="21"/>
      <c r="U511" s="27" t="s">
        <v>195</v>
      </c>
      <c r="V511" s="27" t="s">
        <v>196</v>
      </c>
    </row>
    <row r="512" ht="14.25" customHeight="1">
      <c r="A512" s="27" t="s">
        <v>1045</v>
      </c>
      <c r="B512" s="27" t="s">
        <v>1037</v>
      </c>
      <c r="C512" s="27" t="str">
        <f t="array" ref="C512">INDEX(Funciones!$G$2:$G$372,MATCH($A512,Funciones!$B$2:$B$372,0))</f>
        <v>Suministrar caudal de aire de _____ L/min</v>
      </c>
      <c r="D512" s="27" t="s">
        <v>4124</v>
      </c>
      <c r="E512" s="27" t="s">
        <v>727</v>
      </c>
      <c r="F512" s="27" t="s">
        <v>2744</v>
      </c>
      <c r="G512" s="27" t="s">
        <v>1792</v>
      </c>
      <c r="H512" s="18" t="str">
        <f t="array" ref="H512">_xlfn.XLOOKUP(E:E,'Calificación consecuencia'!B:B,'Calificación consecuencia'!K:K,"No encontrada",2)</f>
        <v>Baja</v>
      </c>
      <c r="I512" s="27" t="s">
        <v>1800</v>
      </c>
      <c r="J512" s="30" t="s">
        <v>116</v>
      </c>
      <c r="K512" s="21"/>
      <c r="L512" s="21"/>
      <c r="M512" s="29" t="s">
        <v>120</v>
      </c>
      <c r="N512" s="21"/>
      <c r="O512" s="30" t="s">
        <v>116</v>
      </c>
      <c r="P512" s="30" t="s">
        <v>116</v>
      </c>
      <c r="Q512" s="21"/>
      <c r="R512" s="21"/>
      <c r="S512" s="21"/>
      <c r="T512" s="21"/>
      <c r="U512" s="27" t="s">
        <v>345</v>
      </c>
      <c r="V512" s="27" t="s">
        <v>196</v>
      </c>
    </row>
    <row r="513" ht="14.25" customHeight="1">
      <c r="A513" s="27" t="s">
        <v>1045</v>
      </c>
      <c r="B513" s="27" t="s">
        <v>1037</v>
      </c>
      <c r="C513" s="27" t="str">
        <f t="array" ref="C513">INDEX(Funciones!$G$2:$G$372,MATCH($A513,Funciones!$B$2:$B$372,0))</f>
        <v>Suministrar caudal de aire de _____ L/min</v>
      </c>
      <c r="D513" s="27" t="s">
        <v>4124</v>
      </c>
      <c r="E513" s="27" t="s">
        <v>1031</v>
      </c>
      <c r="F513" s="27" t="s">
        <v>2776</v>
      </c>
      <c r="G513" s="27" t="s">
        <v>2777</v>
      </c>
      <c r="H513" s="18" t="str">
        <f t="array" ref="H513">_xlfn.XLOOKUP(E:E,'Calificación consecuencia'!B:B,'Calificación consecuencia'!K:K,"No encontrada",2)</f>
        <v>Baja</v>
      </c>
      <c r="I513" s="27" t="s">
        <v>2106</v>
      </c>
      <c r="J513" s="30" t="s">
        <v>116</v>
      </c>
      <c r="K513" s="21"/>
      <c r="L513" s="21"/>
      <c r="M513" s="29" t="s">
        <v>120</v>
      </c>
      <c r="N513" s="21"/>
      <c r="O513" s="29" t="s">
        <v>120</v>
      </c>
      <c r="P513" s="21"/>
      <c r="Q513" s="21"/>
      <c r="R513" s="21"/>
      <c r="S513" s="29" t="s">
        <v>120</v>
      </c>
      <c r="T513" s="21"/>
      <c r="U513" s="27" t="s">
        <v>1680</v>
      </c>
      <c r="V513" s="27" t="s">
        <v>1408</v>
      </c>
    </row>
    <row r="514" ht="14.25" customHeight="1">
      <c r="A514" s="27" t="s">
        <v>1045</v>
      </c>
      <c r="B514" s="27" t="s">
        <v>1037</v>
      </c>
      <c r="C514" s="27" t="str">
        <f t="array" ref="C514">INDEX(Funciones!$G$2:$G$372,MATCH($A514,Funciones!$B$2:$B$372,0))</f>
        <v>Suministrar caudal de aire de _____ L/min</v>
      </c>
      <c r="D514" s="27" t="s">
        <v>4124</v>
      </c>
      <c r="E514" s="27" t="s">
        <v>1036</v>
      </c>
      <c r="F514" s="27" t="s">
        <v>2808</v>
      </c>
      <c r="G514" s="27" t="s">
        <v>2810</v>
      </c>
      <c r="H514" s="18" t="str">
        <f t="array" ref="H514">_xlfn.XLOOKUP(E:E,'Calificación consecuencia'!B:B,'Calificación consecuencia'!K:K,"No encontrada",2)</f>
        <v>Baja</v>
      </c>
      <c r="I514" s="27" t="s">
        <v>2106</v>
      </c>
      <c r="J514" s="30" t="s">
        <v>116</v>
      </c>
      <c r="K514" s="21"/>
      <c r="L514" s="21"/>
      <c r="M514" s="29" t="s">
        <v>120</v>
      </c>
      <c r="N514" s="21"/>
      <c r="O514" s="30" t="s">
        <v>116</v>
      </c>
      <c r="P514" s="30" t="s">
        <v>116</v>
      </c>
      <c r="Q514" s="21"/>
      <c r="R514" s="21"/>
      <c r="S514" s="21"/>
      <c r="T514" s="21"/>
      <c r="U514" s="27" t="s">
        <v>345</v>
      </c>
      <c r="V514" s="27" t="s">
        <v>196</v>
      </c>
    </row>
    <row r="515" ht="14.25" customHeight="1">
      <c r="A515" s="27" t="s">
        <v>1045</v>
      </c>
      <c r="B515" s="27" t="s">
        <v>1037</v>
      </c>
      <c r="C515" s="27" t="str">
        <f t="array" ref="C515">INDEX(Funciones!$G$2:$G$372,MATCH($A515,Funciones!$B$2:$B$372,0))</f>
        <v>Suministrar caudal de aire de _____ L/min</v>
      </c>
      <c r="D515" s="27" t="s">
        <v>4124</v>
      </c>
      <c r="E515" s="27" t="s">
        <v>1041</v>
      </c>
      <c r="F515" s="27" t="s">
        <v>2838</v>
      </c>
      <c r="G515" s="27" t="s">
        <v>2841</v>
      </c>
      <c r="H515" s="18" t="str">
        <f t="array" ref="H515">_xlfn.XLOOKUP(E:E,'Calificación consecuencia'!B:B,'Calificación consecuencia'!K:K,"No encontrada",2)</f>
        <v>Baja</v>
      </c>
      <c r="I515" s="27" t="s">
        <v>2106</v>
      </c>
      <c r="J515" s="30" t="s">
        <v>116</v>
      </c>
      <c r="K515" s="21"/>
      <c r="L515" s="21"/>
      <c r="M515" s="29" t="s">
        <v>120</v>
      </c>
      <c r="N515" s="21"/>
      <c r="O515" s="29" t="s">
        <v>120</v>
      </c>
      <c r="P515" s="21"/>
      <c r="Q515" s="21"/>
      <c r="R515" s="21"/>
      <c r="S515" s="29" t="s">
        <v>120</v>
      </c>
      <c r="T515" s="21"/>
      <c r="U515" s="27" t="s">
        <v>1680</v>
      </c>
      <c r="V515" s="27" t="s">
        <v>1408</v>
      </c>
    </row>
    <row r="516" ht="14.25" customHeight="1">
      <c r="A516" s="27" t="s">
        <v>1045</v>
      </c>
      <c r="B516" s="27" t="s">
        <v>1037</v>
      </c>
      <c r="C516" s="27" t="str">
        <f t="array" ref="C516">INDEX(Funciones!$G$2:$G$372,MATCH($A516,Funciones!$B$2:$B$372,0))</f>
        <v>Suministrar caudal de aire de _____ L/min</v>
      </c>
      <c r="D516" s="27" t="s">
        <v>4124</v>
      </c>
      <c r="E516" s="27" t="s">
        <v>1047</v>
      </c>
      <c r="F516" s="27" t="s">
        <v>2875</v>
      </c>
      <c r="G516" s="27" t="s">
        <v>1888</v>
      </c>
      <c r="H516" s="18" t="str">
        <f t="array" ref="H516">_xlfn.XLOOKUP(E:E,'Calificación consecuencia'!B:B,'Calificación consecuencia'!K:K,"No encontrada",2)</f>
        <v>Baja</v>
      </c>
      <c r="I516" s="27" t="s">
        <v>2106</v>
      </c>
      <c r="J516" s="30" t="s">
        <v>116</v>
      </c>
      <c r="K516" s="21"/>
      <c r="L516" s="21"/>
      <c r="M516" s="29" t="s">
        <v>120</v>
      </c>
      <c r="N516" s="21"/>
      <c r="O516" s="29" t="s">
        <v>120</v>
      </c>
      <c r="P516" s="21"/>
      <c r="Q516" s="21"/>
      <c r="R516" s="21"/>
      <c r="S516" s="29" t="s">
        <v>120</v>
      </c>
      <c r="T516" s="21"/>
      <c r="U516" s="27" t="s">
        <v>1680</v>
      </c>
      <c r="V516" s="27" t="s">
        <v>1408</v>
      </c>
    </row>
    <row r="517" ht="14.25" customHeight="1">
      <c r="A517" s="9" t="s">
        <v>1051</v>
      </c>
      <c r="B517" s="9" t="s">
        <v>1050</v>
      </c>
      <c r="C517" s="9" t="str">
        <f t="array" ref="C517">INDEX(Funciones!$G$2:$G$372,MATCH($A517,Funciones!$B$2:$B$372,0))</f>
        <v>Secar el aire comprimido con punto de rocío máximo de +3 °C</v>
      </c>
      <c r="D517" s="9" t="s">
        <v>2016</v>
      </c>
      <c r="E517" s="9" t="s">
        <v>820</v>
      </c>
      <c r="F517" s="9" t="s">
        <v>2017</v>
      </c>
      <c r="G517" s="9" t="s">
        <v>2019</v>
      </c>
      <c r="H517" s="18" t="str">
        <f t="array" ref="H517">_xlfn.XLOOKUP(E:E,'Calificación consecuencia'!B:B,'Calificación consecuencia'!K:K,"No encontrada",2)</f>
        <v>Media</v>
      </c>
      <c r="I517" s="9" t="s">
        <v>425</v>
      </c>
      <c r="J517" s="22" t="s">
        <v>120</v>
      </c>
      <c r="K517" s="20" t="s">
        <v>116</v>
      </c>
      <c r="L517" s="21"/>
      <c r="M517" s="21"/>
      <c r="N517" s="21"/>
      <c r="O517" s="21"/>
      <c r="P517" s="21"/>
      <c r="Q517" s="21"/>
      <c r="R517" s="21"/>
      <c r="S517" s="21"/>
      <c r="T517" s="21"/>
      <c r="U517" s="9" t="s">
        <v>439</v>
      </c>
      <c r="V517" s="9" t="s">
        <v>440</v>
      </c>
    </row>
    <row r="518" ht="14.25" customHeight="1">
      <c r="A518" s="9" t="s">
        <v>1051</v>
      </c>
      <c r="B518" s="9" t="s">
        <v>1050</v>
      </c>
      <c r="C518" s="9" t="str">
        <f t="array" ref="C518">INDEX(Funciones!$G$2:$G$372,MATCH($A518,Funciones!$B$2:$B$372,0))</f>
        <v>Secar el aire comprimido con punto de rocío máximo de +3 °C</v>
      </c>
      <c r="D518" s="9" t="s">
        <v>2016</v>
      </c>
      <c r="E518" s="9" t="s">
        <v>825</v>
      </c>
      <c r="F518" s="9" t="s">
        <v>2044</v>
      </c>
      <c r="G518" s="9" t="s">
        <v>2045</v>
      </c>
      <c r="H518" s="18" t="str">
        <f t="array" ref="H518">_xlfn.XLOOKUP(E:E,'Calificación consecuencia'!B:B,'Calificación consecuencia'!K:K,"No encontrada",2)</f>
        <v>Media</v>
      </c>
      <c r="I518" s="9" t="s">
        <v>425</v>
      </c>
      <c r="J518" s="22" t="s">
        <v>120</v>
      </c>
      <c r="K518" s="20" t="s">
        <v>116</v>
      </c>
      <c r="L518" s="21"/>
      <c r="M518" s="21"/>
      <c r="N518" s="21"/>
      <c r="O518" s="21"/>
      <c r="P518" s="21"/>
      <c r="Q518" s="21"/>
      <c r="R518" s="21"/>
      <c r="S518" s="21"/>
      <c r="T518" s="21"/>
      <c r="U518" s="9" t="s">
        <v>439</v>
      </c>
      <c r="V518" s="9" t="s">
        <v>440</v>
      </c>
    </row>
    <row r="519" ht="14.25" customHeight="1">
      <c r="A519" s="9" t="s">
        <v>1051</v>
      </c>
      <c r="B519" s="9" t="s">
        <v>1050</v>
      </c>
      <c r="C519" s="9" t="str">
        <f t="array" ref="C519">INDEX(Funciones!$G$2:$G$372,MATCH($A519,Funciones!$B$2:$B$372,0))</f>
        <v>Secar el aire comprimido con punto de rocío máximo de +3 °C</v>
      </c>
      <c r="D519" s="9" t="s">
        <v>2016</v>
      </c>
      <c r="E519" s="9" t="s">
        <v>827</v>
      </c>
      <c r="F519" s="9" t="s">
        <v>2056</v>
      </c>
      <c r="G519" s="9" t="s">
        <v>2057</v>
      </c>
      <c r="H519" s="18" t="str">
        <f t="array" ref="H519">_xlfn.XLOOKUP(E:E,'Calificación consecuencia'!B:B,'Calificación consecuencia'!K:K,"No encontrada",2)</f>
        <v>Media</v>
      </c>
      <c r="I519" s="9" t="s">
        <v>425</v>
      </c>
      <c r="J519" s="22" t="s">
        <v>120</v>
      </c>
      <c r="K519" s="20" t="s">
        <v>116</v>
      </c>
      <c r="L519" s="21"/>
      <c r="M519" s="21"/>
      <c r="N519" s="21"/>
      <c r="O519" s="21"/>
      <c r="P519" s="21"/>
      <c r="Q519" s="21"/>
      <c r="R519" s="21"/>
      <c r="S519" s="21"/>
      <c r="T519" s="21"/>
      <c r="U519" s="9" t="s">
        <v>439</v>
      </c>
      <c r="V519" s="9" t="s">
        <v>440</v>
      </c>
    </row>
    <row r="520" ht="14.25" customHeight="1">
      <c r="A520" s="9" t="s">
        <v>1051</v>
      </c>
      <c r="B520" s="9" t="s">
        <v>1050</v>
      </c>
      <c r="C520" s="9" t="str">
        <f t="array" ref="C520">INDEX(Funciones!$G$2:$G$372,MATCH($A520,Funciones!$B$2:$B$372,0))</f>
        <v>Secar el aire comprimido con punto de rocío máximo de +3 °C</v>
      </c>
      <c r="D520" s="9" t="s">
        <v>2090</v>
      </c>
      <c r="E520" s="9" t="s">
        <v>836</v>
      </c>
      <c r="F520" s="9" t="s">
        <v>2091</v>
      </c>
      <c r="G520" s="9" t="s">
        <v>2093</v>
      </c>
      <c r="H520" s="18" t="str">
        <f t="array" ref="H520">_xlfn.XLOOKUP(E:E,'Calificación consecuencia'!B:B,'Calificación consecuencia'!K:K,"No encontrada",2)</f>
        <v>Baja</v>
      </c>
      <c r="I520" s="9" t="s">
        <v>2106</v>
      </c>
      <c r="J520" s="22" t="s">
        <v>120</v>
      </c>
      <c r="K520" s="20" t="s">
        <v>116</v>
      </c>
      <c r="L520" s="21"/>
      <c r="M520" s="21"/>
      <c r="N520" s="21"/>
      <c r="O520" s="21"/>
      <c r="P520" s="21"/>
      <c r="Q520" s="21"/>
      <c r="R520" s="21"/>
      <c r="S520" s="21"/>
      <c r="T520" s="21"/>
      <c r="U520" s="9" t="s">
        <v>439</v>
      </c>
      <c r="V520" s="9" t="s">
        <v>440</v>
      </c>
    </row>
    <row r="521" ht="14.25" customHeight="1">
      <c r="A521" s="9" t="s">
        <v>1051</v>
      </c>
      <c r="B521" s="9" t="s">
        <v>1050</v>
      </c>
      <c r="C521" s="9" t="str">
        <f t="array" ref="C521">INDEX(Funciones!$G$2:$G$372,MATCH($A521,Funciones!$B$2:$B$372,0))</f>
        <v>Secar el aire comprimido con punto de rocío máximo de +3 °C</v>
      </c>
      <c r="D521" s="9" t="s">
        <v>2090</v>
      </c>
      <c r="E521" s="9" t="s">
        <v>842</v>
      </c>
      <c r="F521" s="9" t="s">
        <v>2126</v>
      </c>
      <c r="G521" s="9" t="s">
        <v>2127</v>
      </c>
      <c r="H521" s="18" t="str">
        <f t="array" ref="H521">_xlfn.XLOOKUP(E:E,'Calificación consecuencia'!B:B,'Calificación consecuencia'!K:K,"No encontrada",2)</f>
        <v>Baja</v>
      </c>
      <c r="I521" s="9" t="s">
        <v>2106</v>
      </c>
      <c r="J521" s="22" t="s">
        <v>120</v>
      </c>
      <c r="K521" s="20" t="s">
        <v>116</v>
      </c>
      <c r="L521" s="21"/>
      <c r="M521" s="21"/>
      <c r="N521" s="21"/>
      <c r="O521" s="21"/>
      <c r="P521" s="21"/>
      <c r="Q521" s="21"/>
      <c r="R521" s="21"/>
      <c r="S521" s="21"/>
      <c r="T521" s="21"/>
      <c r="U521" s="9" t="s">
        <v>439</v>
      </c>
      <c r="V521" s="9" t="s">
        <v>440</v>
      </c>
    </row>
    <row r="522" ht="14.25" customHeight="1">
      <c r="A522" s="9" t="s">
        <v>1051</v>
      </c>
      <c r="B522" s="9" t="s">
        <v>1050</v>
      </c>
      <c r="C522" s="9" t="str">
        <f t="array" ref="C522">INDEX(Funciones!$G$2:$G$372,MATCH($A522,Funciones!$B$2:$B$372,0))</f>
        <v>Secar el aire comprimido con punto de rocío máximo de +3 °C</v>
      </c>
      <c r="D522" s="9" t="s">
        <v>2090</v>
      </c>
      <c r="E522" s="9" t="s">
        <v>848</v>
      </c>
      <c r="F522" s="9" t="s">
        <v>2145</v>
      </c>
      <c r="G522" s="9" t="s">
        <v>2146</v>
      </c>
      <c r="H522" s="18" t="str">
        <f t="array" ref="H522">_xlfn.XLOOKUP(E:E,'Calificación consecuencia'!B:B,'Calificación consecuencia'!K:K,"No encontrada",2)</f>
        <v>Baja</v>
      </c>
      <c r="I522" s="9" t="s">
        <v>2106</v>
      </c>
      <c r="J522" s="22" t="s">
        <v>120</v>
      </c>
      <c r="K522" s="20" t="s">
        <v>116</v>
      </c>
      <c r="L522" s="21"/>
      <c r="M522" s="21"/>
      <c r="N522" s="21"/>
      <c r="O522" s="21"/>
      <c r="P522" s="21"/>
      <c r="Q522" s="21"/>
      <c r="R522" s="21"/>
      <c r="S522" s="21"/>
      <c r="T522" s="21"/>
      <c r="U522" s="9" t="s">
        <v>439</v>
      </c>
      <c r="V522" s="9" t="s">
        <v>440</v>
      </c>
    </row>
    <row r="523" ht="14.25" customHeight="1">
      <c r="A523" s="27" t="s">
        <v>1060</v>
      </c>
      <c r="B523" s="27" t="s">
        <v>1059</v>
      </c>
      <c r="C523" s="27" t="str">
        <f t="array" ref="C523">INDEX(Funciones!$G$2:$G$372,MATCH($A523,Funciones!$B$2:$B$372,0))</f>
        <v>Conducir el aceite hidráulico a presión máxima de _____ bar</v>
      </c>
      <c r="D523" s="27" t="s">
        <v>4125</v>
      </c>
      <c r="E523" s="27" t="s">
        <v>930</v>
      </c>
      <c r="F523" s="27" t="s">
        <v>4126</v>
      </c>
      <c r="G523" s="27" t="s">
        <v>2419</v>
      </c>
      <c r="H523" s="18" t="str">
        <f t="array" ref="H523">_xlfn.XLOOKUP(E:E,'Calificación consecuencia'!B:B,'Calificación consecuencia'!K:K,"No encontrada",2)</f>
        <v>Baja</v>
      </c>
      <c r="I523" s="27" t="s">
        <v>425</v>
      </c>
      <c r="J523" s="30" t="s">
        <v>116</v>
      </c>
      <c r="K523" s="21"/>
      <c r="L523" s="21"/>
      <c r="M523" s="30" t="s">
        <v>116</v>
      </c>
      <c r="N523" s="30" t="s">
        <v>116</v>
      </c>
      <c r="O523" s="21"/>
      <c r="P523" s="21"/>
      <c r="Q523" s="21"/>
      <c r="R523" s="21"/>
      <c r="S523" s="21"/>
      <c r="T523" s="21"/>
      <c r="U523" s="27" t="s">
        <v>195</v>
      </c>
      <c r="V523" s="27" t="s">
        <v>196</v>
      </c>
    </row>
    <row r="524" ht="14.25" customHeight="1">
      <c r="A524" s="27" t="s">
        <v>1060</v>
      </c>
      <c r="B524" s="27" t="s">
        <v>1059</v>
      </c>
      <c r="C524" s="27" t="str">
        <f t="array" ref="C524">INDEX(Funciones!$G$2:$G$372,MATCH($A524,Funciones!$B$2:$B$372,0))</f>
        <v>Conducir el aceite hidráulico a presión máxima de _____ bar</v>
      </c>
      <c r="D524" s="27" t="s">
        <v>4125</v>
      </c>
      <c r="E524" s="27" t="s">
        <v>3294</v>
      </c>
      <c r="F524" s="27" t="s">
        <v>4127</v>
      </c>
      <c r="G524" s="27" t="s">
        <v>4128</v>
      </c>
      <c r="H524" s="18" t="str">
        <f t="array" ref="H524">_xlfn.XLOOKUP(E:E,'Calificación consecuencia'!B:B,'Calificación consecuencia'!K:K,"No encontrada",2)</f>
        <v>Media</v>
      </c>
      <c r="I524" s="27" t="s">
        <v>1351</v>
      </c>
      <c r="J524" s="30" t="s">
        <v>116</v>
      </c>
      <c r="K524" s="21"/>
      <c r="L524" s="21"/>
      <c r="M524" s="30" t="s">
        <v>116</v>
      </c>
      <c r="N524" s="30" t="s">
        <v>116</v>
      </c>
      <c r="O524" s="21"/>
      <c r="P524" s="21"/>
      <c r="Q524" s="21"/>
      <c r="R524" s="21"/>
      <c r="S524" s="21"/>
      <c r="T524" s="21"/>
      <c r="U524" s="27" t="s">
        <v>195</v>
      </c>
      <c r="V524" s="27" t="s">
        <v>196</v>
      </c>
    </row>
    <row r="525" ht="14.25" customHeight="1">
      <c r="A525" s="27" t="s">
        <v>1060</v>
      </c>
      <c r="B525" s="27" t="s">
        <v>1059</v>
      </c>
      <c r="C525" s="27" t="str">
        <f t="array" ref="C525">INDEX(Funciones!$G$2:$G$372,MATCH($A525,Funciones!$B$2:$B$372,0))</f>
        <v>Conducir el aceite hidráulico a presión máxima de _____ bar</v>
      </c>
      <c r="D525" s="27" t="s">
        <v>4129</v>
      </c>
      <c r="E525" s="27" t="s">
        <v>3295</v>
      </c>
      <c r="F525" s="27" t="s">
        <v>4130</v>
      </c>
      <c r="G525" s="27" t="s">
        <v>4131</v>
      </c>
      <c r="H525" s="18" t="str">
        <f t="array" ref="H525">_xlfn.XLOOKUP(E:E,'Calificación consecuencia'!B:B,'Calificación consecuencia'!K:K,"No encontrada",2)</f>
        <v>Baja</v>
      </c>
      <c r="I525" s="27" t="s">
        <v>2106</v>
      </c>
      <c r="J525" s="30" t="s">
        <v>116</v>
      </c>
      <c r="K525" s="21"/>
      <c r="L525" s="21"/>
      <c r="M525" s="29" t="s">
        <v>120</v>
      </c>
      <c r="N525" s="21"/>
      <c r="O525" s="29" t="s">
        <v>120</v>
      </c>
      <c r="P525" s="21"/>
      <c r="Q525" s="21"/>
      <c r="R525" s="21"/>
      <c r="S525" s="29" t="s">
        <v>120</v>
      </c>
      <c r="T525" s="21"/>
      <c r="U525" s="27" t="s">
        <v>1680</v>
      </c>
      <c r="V525" s="27" t="s">
        <v>1408</v>
      </c>
    </row>
    <row r="526" ht="14.25" customHeight="1">
      <c r="A526" s="27" t="s">
        <v>1060</v>
      </c>
      <c r="B526" s="27" t="s">
        <v>1059</v>
      </c>
      <c r="C526" s="27" t="str">
        <f t="array" ref="C526">INDEX(Funciones!$G$2:$G$372,MATCH($A526,Funciones!$B$2:$B$372,0))</f>
        <v>Conducir el aceite hidráulico a presión máxima de _____ bar</v>
      </c>
      <c r="D526" s="27" t="s">
        <v>4129</v>
      </c>
      <c r="E526" s="27" t="s">
        <v>3296</v>
      </c>
      <c r="F526" s="27" t="s">
        <v>4132</v>
      </c>
      <c r="G526" s="27" t="s">
        <v>4133</v>
      </c>
      <c r="H526" s="18" t="str">
        <f t="array" ref="H526">_xlfn.XLOOKUP(E:E,'Calificación consecuencia'!B:B,'Calificación consecuencia'!K:K,"No encontrada",2)</f>
        <v>Baja</v>
      </c>
      <c r="I526" s="27" t="s">
        <v>2106</v>
      </c>
      <c r="J526" s="30" t="s">
        <v>116</v>
      </c>
      <c r="K526" s="21"/>
      <c r="L526" s="21"/>
      <c r="M526" s="29" t="s">
        <v>120</v>
      </c>
      <c r="N526" s="21"/>
      <c r="O526" s="29" t="s">
        <v>120</v>
      </c>
      <c r="P526" s="21"/>
      <c r="Q526" s="21"/>
      <c r="R526" s="21"/>
      <c r="S526" s="29" t="s">
        <v>120</v>
      </c>
      <c r="T526" s="21"/>
      <c r="U526" s="27" t="s">
        <v>1680</v>
      </c>
      <c r="V526" s="27" t="s">
        <v>1408</v>
      </c>
    </row>
    <row r="527" ht="14.25" customHeight="1">
      <c r="A527" s="27" t="s">
        <v>1060</v>
      </c>
      <c r="B527" s="27" t="s">
        <v>1059</v>
      </c>
      <c r="C527" s="27" t="str">
        <f t="array" ref="C527">INDEX(Funciones!$G$2:$G$372,MATCH($A527,Funciones!$B$2:$B$372,0))</f>
        <v>Conducir el aceite hidráulico a presión máxima de _____ bar</v>
      </c>
      <c r="D527" s="27" t="s">
        <v>4134</v>
      </c>
      <c r="E527" s="27" t="s">
        <v>3299</v>
      </c>
      <c r="F527" s="27" t="s">
        <v>4135</v>
      </c>
      <c r="G527" s="27" t="s">
        <v>4136</v>
      </c>
      <c r="H527" s="18" t="str">
        <f t="array" ref="H527">_xlfn.XLOOKUP(E:E,'Calificación consecuencia'!B:B,'Calificación consecuencia'!K:K,"No encontrada",2)</f>
        <v>Baja</v>
      </c>
      <c r="I527" s="27" t="s">
        <v>2106</v>
      </c>
      <c r="J527" s="30" t="s">
        <v>116</v>
      </c>
      <c r="K527" s="21"/>
      <c r="L527" s="21"/>
      <c r="M527" s="29" t="s">
        <v>120</v>
      </c>
      <c r="N527" s="21"/>
      <c r="O527" s="29" t="s">
        <v>120</v>
      </c>
      <c r="P527" s="21"/>
      <c r="Q527" s="21"/>
      <c r="R527" s="21"/>
      <c r="S527" s="29" t="s">
        <v>120</v>
      </c>
      <c r="T527" s="21"/>
      <c r="U527" s="27" t="s">
        <v>1680</v>
      </c>
      <c r="V527" s="27" t="s">
        <v>1408</v>
      </c>
    </row>
    <row r="528" ht="14.25" customHeight="1">
      <c r="A528" s="27" t="s">
        <v>1060</v>
      </c>
      <c r="B528" s="27" t="s">
        <v>1059</v>
      </c>
      <c r="C528" s="27" t="str">
        <f t="array" ref="C528">INDEX(Funciones!$G$2:$G$372,MATCH($A528,Funciones!$B$2:$B$372,0))</f>
        <v>Conducir el aceite hidráulico a presión máxima de _____ bar</v>
      </c>
      <c r="D528" s="27" t="s">
        <v>4134</v>
      </c>
      <c r="E528" s="27" t="s">
        <v>3300</v>
      </c>
      <c r="F528" s="27" t="s">
        <v>4137</v>
      </c>
      <c r="G528" s="27" t="s">
        <v>4138</v>
      </c>
      <c r="H528" s="18" t="str">
        <f t="array" ref="H528">_xlfn.XLOOKUP(E:E,'Calificación consecuencia'!B:B,'Calificación consecuencia'!K:K,"No encontrada",2)</f>
        <v>Baja</v>
      </c>
      <c r="I528" s="27" t="s">
        <v>2106</v>
      </c>
      <c r="J528" s="30" t="s">
        <v>116</v>
      </c>
      <c r="K528" s="21"/>
      <c r="L528" s="21"/>
      <c r="M528" s="29" t="s">
        <v>120</v>
      </c>
      <c r="N528" s="21"/>
      <c r="O528" s="29" t="s">
        <v>120</v>
      </c>
      <c r="P528" s="21"/>
      <c r="Q528" s="21"/>
      <c r="R528" s="21"/>
      <c r="S528" s="29" t="s">
        <v>120</v>
      </c>
      <c r="T528" s="21"/>
      <c r="U528" s="27" t="s">
        <v>1680</v>
      </c>
      <c r="V528" s="27" t="s">
        <v>1408</v>
      </c>
    </row>
    <row r="529" ht="14.25" customHeight="1">
      <c r="A529" s="9" t="s">
        <v>1077</v>
      </c>
      <c r="B529" s="9" t="s">
        <v>1076</v>
      </c>
      <c r="C529" s="9" t="str">
        <f t="array" ref="C529">INDEX(Funciones!$G$2:$G$372,MATCH($A529,Funciones!$B$2:$B$372,0))</f>
        <v>Entregar esfuerzo de tracción de _____ kN</v>
      </c>
      <c r="D529" s="9" t="s">
        <v>4139</v>
      </c>
      <c r="E529" s="9" t="s">
        <v>3303</v>
      </c>
      <c r="F529" s="9" t="s">
        <v>4140</v>
      </c>
      <c r="G529" s="9" t="s">
        <v>1444</v>
      </c>
      <c r="H529" s="18" t="str">
        <f t="array" ref="H529">_xlfn.XLOOKUP(E:E,'Calificación consecuencia'!B:B,'Calificación consecuencia'!K:K,"No encontrada",2)</f>
        <v>Baja</v>
      </c>
      <c r="I529" s="9" t="s">
        <v>1449</v>
      </c>
      <c r="J529" s="20" t="s">
        <v>116</v>
      </c>
      <c r="K529" s="21"/>
      <c r="L529" s="21"/>
      <c r="M529" s="22" t="s">
        <v>120</v>
      </c>
      <c r="N529" s="21"/>
      <c r="O529" s="20" t="s">
        <v>116</v>
      </c>
      <c r="P529" s="20" t="s">
        <v>116</v>
      </c>
      <c r="Q529" s="21"/>
      <c r="R529" s="21"/>
      <c r="S529" s="21"/>
      <c r="T529" s="21"/>
      <c r="U529" s="9" t="s">
        <v>345</v>
      </c>
      <c r="V529" s="9" t="s">
        <v>196</v>
      </c>
    </row>
    <row r="530" ht="14.25" customHeight="1">
      <c r="A530" s="9" t="s">
        <v>1077</v>
      </c>
      <c r="B530" s="9" t="s">
        <v>1076</v>
      </c>
      <c r="C530" s="9" t="str">
        <f t="array" ref="C530">INDEX(Funciones!$G$2:$G$372,MATCH($A530,Funciones!$B$2:$B$372,0))</f>
        <v>Entregar esfuerzo de tracción de _____ kN</v>
      </c>
      <c r="D530" s="9" t="s">
        <v>4141</v>
      </c>
      <c r="E530" s="9" t="s">
        <v>2011</v>
      </c>
      <c r="F530" s="9" t="s">
        <v>4142</v>
      </c>
      <c r="G530" s="9" t="s">
        <v>3630</v>
      </c>
      <c r="H530" s="18" t="str">
        <f t="array" ref="H530">_xlfn.XLOOKUP(E:E,'Calificación consecuencia'!B:B,'Calificación consecuencia'!K:K,"No encontrada",2)</f>
        <v>Media</v>
      </c>
      <c r="I530" s="9" t="s">
        <v>1800</v>
      </c>
      <c r="J530" s="20" t="s">
        <v>116</v>
      </c>
      <c r="K530" s="21"/>
      <c r="L530" s="21"/>
      <c r="M530" s="22" t="s">
        <v>120</v>
      </c>
      <c r="N530" s="21"/>
      <c r="O530" s="20" t="s">
        <v>116</v>
      </c>
      <c r="P530" s="20" t="s">
        <v>116</v>
      </c>
      <c r="Q530" s="21"/>
      <c r="R530" s="21"/>
      <c r="S530" s="21"/>
      <c r="T530" s="21"/>
      <c r="U530" s="9" t="s">
        <v>345</v>
      </c>
      <c r="V530" s="9" t="s">
        <v>196</v>
      </c>
    </row>
    <row r="531" ht="14.25" customHeight="1">
      <c r="A531" s="9" t="s">
        <v>1077</v>
      </c>
      <c r="B531" s="9" t="s">
        <v>1076</v>
      </c>
      <c r="C531" s="9" t="str">
        <f t="array" ref="C531">INDEX(Funciones!$G$2:$G$372,MATCH($A531,Funciones!$B$2:$B$372,0))</f>
        <v>Entregar esfuerzo de tracción de _____ kN</v>
      </c>
      <c r="D531" s="9" t="s">
        <v>4141</v>
      </c>
      <c r="E531" s="9" t="s">
        <v>1984</v>
      </c>
      <c r="F531" s="9" t="s">
        <v>4143</v>
      </c>
      <c r="G531" s="9" t="s">
        <v>3731</v>
      </c>
      <c r="H531" s="18" t="str">
        <f t="array" ref="H531">_xlfn.XLOOKUP(E:E,'Calificación consecuencia'!B:B,'Calificación consecuencia'!K:K,"No encontrada",2)</f>
        <v>Baja</v>
      </c>
      <c r="I531" s="9" t="s">
        <v>1800</v>
      </c>
      <c r="J531" s="20" t="s">
        <v>116</v>
      </c>
      <c r="K531" s="21"/>
      <c r="L531" s="21"/>
      <c r="M531" s="22" t="s">
        <v>120</v>
      </c>
      <c r="N531" s="21"/>
      <c r="O531" s="22" t="s">
        <v>120</v>
      </c>
      <c r="P531" s="21"/>
      <c r="Q531" s="21"/>
      <c r="R531" s="21"/>
      <c r="S531" s="20" t="s">
        <v>116</v>
      </c>
      <c r="T531" s="20" t="s">
        <v>116</v>
      </c>
      <c r="U531" s="9" t="s">
        <v>3471</v>
      </c>
      <c r="V531" s="9" t="s">
        <v>196</v>
      </c>
    </row>
    <row r="532" ht="14.25" customHeight="1">
      <c r="A532" s="27" t="s">
        <v>1089</v>
      </c>
      <c r="B532" s="27" t="s">
        <v>1088</v>
      </c>
      <c r="C532" s="27" t="str">
        <f t="array" ref="C532">INDEX(Funciones!$G$2:$G$372,MATCH($A532,Funciones!$B$2:$B$372,0))</f>
        <v>Soportar la carga vertical hasta _____ t</v>
      </c>
      <c r="D532" s="27" t="s">
        <v>4144</v>
      </c>
      <c r="E532" s="27" t="s">
        <v>1108</v>
      </c>
      <c r="F532" s="27" t="s">
        <v>3163</v>
      </c>
      <c r="G532" s="27" t="s">
        <v>3164</v>
      </c>
      <c r="H532" s="18" t="str">
        <f t="array" ref="H532">_xlfn.XLOOKUP(E:E,'Calificación consecuencia'!B:B,'Calificación consecuencia'!K:K,"No encontrada",2)</f>
        <v>Baja</v>
      </c>
      <c r="I532" s="27" t="s">
        <v>425</v>
      </c>
      <c r="J532" s="29" t="s">
        <v>120</v>
      </c>
      <c r="K532" s="30" t="s">
        <v>116</v>
      </c>
      <c r="L532" s="21"/>
      <c r="M532" s="21"/>
      <c r="N532" s="21"/>
      <c r="O532" s="21"/>
      <c r="P532" s="21"/>
      <c r="Q532" s="21"/>
      <c r="R532" s="21"/>
      <c r="S532" s="21"/>
      <c r="T532" s="21"/>
      <c r="U532" s="27" t="s">
        <v>439</v>
      </c>
      <c r="V532" s="27" t="s">
        <v>440</v>
      </c>
    </row>
    <row r="533" ht="14.25" customHeight="1">
      <c r="A533" s="27" t="s">
        <v>1089</v>
      </c>
      <c r="B533" s="27" t="s">
        <v>1088</v>
      </c>
      <c r="C533" s="27" t="str">
        <f t="array" ref="C533">INDEX(Funciones!$G$2:$G$372,MATCH($A533,Funciones!$B$2:$B$372,0))</f>
        <v>Soportar la carga vertical hasta _____ t</v>
      </c>
      <c r="D533" s="27" t="s">
        <v>4144</v>
      </c>
      <c r="E533" s="27" t="s">
        <v>1113</v>
      </c>
      <c r="F533" s="27" t="s">
        <v>3168</v>
      </c>
      <c r="G533" s="27" t="s">
        <v>3169</v>
      </c>
      <c r="H533" s="18" t="str">
        <f t="array" ref="H533">_xlfn.XLOOKUP(E:E,'Calificación consecuencia'!B:B,'Calificación consecuencia'!K:K,"No encontrada",2)</f>
        <v>Baja</v>
      </c>
      <c r="I533" s="27" t="s">
        <v>2694</v>
      </c>
      <c r="J533" s="29" t="s">
        <v>120</v>
      </c>
      <c r="K533" s="30" t="s">
        <v>116</v>
      </c>
      <c r="L533" s="21"/>
      <c r="M533" s="21"/>
      <c r="N533" s="21"/>
      <c r="O533" s="21"/>
      <c r="P533" s="21"/>
      <c r="Q533" s="21"/>
      <c r="R533" s="21"/>
      <c r="S533" s="21"/>
      <c r="T533" s="21"/>
      <c r="U533" s="27" t="s">
        <v>439</v>
      </c>
      <c r="V533" s="27" t="s">
        <v>440</v>
      </c>
    </row>
    <row r="534" ht="14.25" customHeight="1">
      <c r="A534" s="27" t="s">
        <v>1089</v>
      </c>
      <c r="B534" s="27" t="s">
        <v>1088</v>
      </c>
      <c r="C534" s="27" t="str">
        <f t="array" ref="C534">INDEX(Funciones!$G$2:$G$372,MATCH($A534,Funciones!$B$2:$B$372,0))</f>
        <v>Soportar la carga vertical hasta _____ t</v>
      </c>
      <c r="D534" s="27" t="s">
        <v>4145</v>
      </c>
      <c r="E534" s="27" t="s">
        <v>1119</v>
      </c>
      <c r="F534" s="27" t="s">
        <v>3184</v>
      </c>
      <c r="G534" s="27" t="s">
        <v>3186</v>
      </c>
      <c r="H534" s="18" t="str">
        <f t="array" ref="H534">_xlfn.XLOOKUP(E:E,'Calificación consecuencia'!B:B,'Calificación consecuencia'!K:K,"No encontrada",2)</f>
        <v>Media</v>
      </c>
      <c r="I534" s="27" t="s">
        <v>1351</v>
      </c>
      <c r="J534" s="29" t="s">
        <v>120</v>
      </c>
      <c r="K534" s="30" t="s">
        <v>116</v>
      </c>
      <c r="L534" s="21"/>
      <c r="M534" s="21"/>
      <c r="N534" s="21"/>
      <c r="O534" s="21"/>
      <c r="P534" s="21"/>
      <c r="Q534" s="21"/>
      <c r="R534" s="21"/>
      <c r="S534" s="21"/>
      <c r="T534" s="21"/>
      <c r="U534" s="27" t="s">
        <v>439</v>
      </c>
      <c r="V534" s="27" t="s">
        <v>440</v>
      </c>
    </row>
    <row r="535" ht="14.25" customHeight="1">
      <c r="A535" s="27" t="s">
        <v>1089</v>
      </c>
      <c r="B535" s="27" t="s">
        <v>1088</v>
      </c>
      <c r="C535" s="27" t="str">
        <f t="array" ref="C535">INDEX(Funciones!$G$2:$G$372,MATCH($A535,Funciones!$B$2:$B$372,0))</f>
        <v>Soportar la carga vertical hasta _____ t</v>
      </c>
      <c r="D535" s="27" t="s">
        <v>4145</v>
      </c>
      <c r="E535" s="27" t="s">
        <v>1124</v>
      </c>
      <c r="F535" s="27" t="s">
        <v>3199</v>
      </c>
      <c r="G535" s="27" t="s">
        <v>3200</v>
      </c>
      <c r="H535" s="18" t="str">
        <f t="array" ref="H535">_xlfn.XLOOKUP(E:E,'Calificación consecuencia'!B:B,'Calificación consecuencia'!K:K,"No encontrada",2)</f>
        <v>Baja</v>
      </c>
      <c r="I535" s="27" t="s">
        <v>1351</v>
      </c>
      <c r="J535" s="29" t="s">
        <v>120</v>
      </c>
      <c r="K535" s="30" t="s">
        <v>116</v>
      </c>
      <c r="L535" s="21"/>
      <c r="M535" s="21"/>
      <c r="N535" s="21"/>
      <c r="O535" s="21"/>
      <c r="P535" s="21"/>
      <c r="Q535" s="21"/>
      <c r="R535" s="21"/>
      <c r="S535" s="21"/>
      <c r="T535" s="21"/>
      <c r="U535" s="27" t="s">
        <v>439</v>
      </c>
      <c r="V535" s="27" t="s">
        <v>440</v>
      </c>
    </row>
    <row r="536" ht="14.25" customHeight="1">
      <c r="A536" s="9" t="s">
        <v>1097</v>
      </c>
      <c r="B536" s="9" t="s">
        <v>1088</v>
      </c>
      <c r="C536" s="9" t="str">
        <f t="array" ref="C536">INDEX(Funciones!$G$2:$G$372,MATCH($A536,Funciones!$B$2:$B$372,0))</f>
        <v>Impedir el remonte de pestaña con cota qR ≥ 6,5 mm</v>
      </c>
      <c r="D536" s="9" t="s">
        <v>3220</v>
      </c>
      <c r="E536" s="9" t="s">
        <v>1127</v>
      </c>
      <c r="F536" s="9" t="s">
        <v>3221</v>
      </c>
      <c r="G536" s="9" t="s">
        <v>3222</v>
      </c>
      <c r="H536" s="18" t="str">
        <f t="array" ref="H536">_xlfn.XLOOKUP(E:E,'Calificación consecuencia'!B:B,'Calificación consecuencia'!K:K,"No encontrada",2)</f>
        <v>Baja</v>
      </c>
      <c r="I536" s="9" t="s">
        <v>425</v>
      </c>
      <c r="J536" s="22" t="s">
        <v>120</v>
      </c>
      <c r="K536" s="20" t="s">
        <v>116</v>
      </c>
      <c r="L536" s="21"/>
      <c r="M536" s="21"/>
      <c r="N536" s="21"/>
      <c r="O536" s="21"/>
      <c r="P536" s="21"/>
      <c r="Q536" s="21"/>
      <c r="R536" s="21"/>
      <c r="S536" s="21"/>
      <c r="T536" s="21"/>
      <c r="U536" s="9" t="s">
        <v>439</v>
      </c>
      <c r="V536" s="9" t="s">
        <v>440</v>
      </c>
    </row>
    <row r="537" ht="14.25" customHeight="1">
      <c r="A537" s="9" t="s">
        <v>1097</v>
      </c>
      <c r="B537" s="9" t="s">
        <v>1088</v>
      </c>
      <c r="C537" s="9" t="str">
        <f t="array" ref="C537">INDEX(Funciones!$G$2:$G$372,MATCH($A537,Funciones!$B$2:$B$372,0))</f>
        <v>Impedir el remonte de pestaña con cota qR ≥ 6,5 mm</v>
      </c>
      <c r="D537" s="9" t="s">
        <v>3230</v>
      </c>
      <c r="E537" s="9" t="s">
        <v>1134</v>
      </c>
      <c r="F537" s="9" t="s">
        <v>3231</v>
      </c>
      <c r="G537" s="9" t="s">
        <v>3232</v>
      </c>
      <c r="H537" s="18" t="str">
        <f t="array" ref="H537">_xlfn.XLOOKUP(E:E,'Calificación consecuencia'!B:B,'Calificación consecuencia'!K:K,"No encontrada",2)</f>
        <v>Media</v>
      </c>
      <c r="I537" s="9" t="s">
        <v>1800</v>
      </c>
      <c r="J537" s="22" t="s">
        <v>120</v>
      </c>
      <c r="K537" s="20" t="s">
        <v>116</v>
      </c>
      <c r="L537" s="21"/>
      <c r="M537" s="21"/>
      <c r="N537" s="21"/>
      <c r="O537" s="21"/>
      <c r="P537" s="21"/>
      <c r="Q537" s="21"/>
      <c r="R537" s="21"/>
      <c r="S537" s="21"/>
      <c r="T537" s="21"/>
      <c r="U537" s="9" t="s">
        <v>439</v>
      </c>
      <c r="V537" s="9" t="s">
        <v>440</v>
      </c>
    </row>
    <row r="538" ht="14.25" customHeight="1">
      <c r="A538" s="9" t="s">
        <v>1097</v>
      </c>
      <c r="B538" s="9" t="s">
        <v>1088</v>
      </c>
      <c r="C538" s="9" t="str">
        <f t="array" ref="C538">INDEX(Funciones!$G$2:$G$372,MATCH($A538,Funciones!$B$2:$B$372,0))</f>
        <v>Impedir el remonte de pestaña con cota qR ≥ 6,5 mm</v>
      </c>
      <c r="D538" s="9" t="s">
        <v>3230</v>
      </c>
      <c r="E538" s="9" t="s">
        <v>1141</v>
      </c>
      <c r="F538" s="9" t="s">
        <v>3250</v>
      </c>
      <c r="G538" s="9" t="s">
        <v>3251</v>
      </c>
      <c r="H538" s="18" t="str">
        <f t="array" ref="H538">_xlfn.XLOOKUP(E:E,'Calificación consecuencia'!B:B,'Calificación consecuencia'!K:K,"No encontrada",2)</f>
        <v>Media</v>
      </c>
      <c r="I538" s="9" t="s">
        <v>425</v>
      </c>
      <c r="J538" s="22" t="s">
        <v>120</v>
      </c>
      <c r="K538" s="20" t="s">
        <v>116</v>
      </c>
      <c r="L538" s="21"/>
      <c r="M538" s="21"/>
      <c r="N538" s="21"/>
      <c r="O538" s="21"/>
      <c r="P538" s="21"/>
      <c r="Q538" s="21"/>
      <c r="R538" s="21"/>
      <c r="S538" s="21"/>
      <c r="T538" s="21"/>
      <c r="U538" s="9" t="s">
        <v>439</v>
      </c>
      <c r="V538" s="9" t="s">
        <v>440</v>
      </c>
    </row>
    <row r="539" ht="14.25" customHeight="1">
      <c r="A539" s="9" t="s">
        <v>1097</v>
      </c>
      <c r="B539" s="9" t="s">
        <v>1088</v>
      </c>
      <c r="C539" s="9" t="str">
        <f t="array" ref="C539">INDEX(Funciones!$G$2:$G$372,MATCH($A539,Funciones!$B$2:$B$372,0))</f>
        <v>Impedir el remonte de pestaña con cota qR ≥ 6,5 mm</v>
      </c>
      <c r="D539" s="9" t="s">
        <v>3230</v>
      </c>
      <c r="E539" s="9" t="s">
        <v>1147</v>
      </c>
      <c r="F539" s="9" t="s">
        <v>3271</v>
      </c>
      <c r="G539" s="9" t="s">
        <v>3272</v>
      </c>
      <c r="H539" s="18" t="str">
        <f t="array" ref="H539">_xlfn.XLOOKUP(E:E,'Calificación consecuencia'!B:B,'Calificación consecuencia'!K:K,"No encontrada",2)</f>
        <v>Media</v>
      </c>
      <c r="I539" s="9" t="s">
        <v>1800</v>
      </c>
      <c r="J539" s="22" t="s">
        <v>120</v>
      </c>
      <c r="K539" s="20" t="s">
        <v>116</v>
      </c>
      <c r="L539" s="21"/>
      <c r="M539" s="21"/>
      <c r="N539" s="21"/>
      <c r="O539" s="21"/>
      <c r="P539" s="21"/>
      <c r="Q539" s="21"/>
      <c r="R539" s="21"/>
      <c r="S539" s="21"/>
      <c r="T539" s="21"/>
      <c r="U539" s="9" t="s">
        <v>439</v>
      </c>
      <c r="V539" s="9" t="s">
        <v>440</v>
      </c>
    </row>
    <row r="540" ht="14.25" customHeight="1">
      <c r="A540" s="27" t="s">
        <v>1104</v>
      </c>
      <c r="B540" s="27" t="s">
        <v>1103</v>
      </c>
      <c r="C540" s="27" t="str">
        <f t="array" ref="C540">INDEX(Funciones!$G$2:$G$372,MATCH($A540,Funciones!$B$2:$B$372,0))</f>
        <v>Transmitir el par motriz hasta _____ N·m</v>
      </c>
      <c r="D540" s="27" t="s">
        <v>4146</v>
      </c>
      <c r="E540" s="27" t="s">
        <v>1305</v>
      </c>
      <c r="F540" s="27" t="s">
        <v>3357</v>
      </c>
      <c r="G540" s="27" t="s">
        <v>3358</v>
      </c>
      <c r="H540" s="18" t="str">
        <f t="array" ref="H540">_xlfn.XLOOKUP(E:E,'Calificación consecuencia'!B:B,'Calificación consecuencia'!K:K,"No encontrada",2)</f>
        <v>Baja</v>
      </c>
      <c r="I540" s="27" t="s">
        <v>1800</v>
      </c>
      <c r="J540" s="30" t="s">
        <v>116</v>
      </c>
      <c r="K540" s="21"/>
      <c r="L540" s="21"/>
      <c r="M540" s="29" t="s">
        <v>120</v>
      </c>
      <c r="N540" s="21"/>
      <c r="O540" s="30" t="s">
        <v>116</v>
      </c>
      <c r="P540" s="30" t="s">
        <v>116</v>
      </c>
      <c r="Q540" s="21"/>
      <c r="R540" s="21"/>
      <c r="S540" s="21"/>
      <c r="T540" s="21"/>
      <c r="U540" s="27" t="s">
        <v>345</v>
      </c>
      <c r="V540" s="27" t="s">
        <v>196</v>
      </c>
    </row>
    <row r="541" ht="14.25" customHeight="1">
      <c r="A541" s="27" t="s">
        <v>1104</v>
      </c>
      <c r="B541" s="27" t="s">
        <v>1103</v>
      </c>
      <c r="C541" s="27" t="str">
        <f t="array" ref="C541">INDEX(Funciones!$G$2:$G$372,MATCH($A541,Funciones!$B$2:$B$372,0))</f>
        <v>Transmitir el par motriz hasta _____ N·m</v>
      </c>
      <c r="D541" s="27" t="s">
        <v>4146</v>
      </c>
      <c r="E541" s="27" t="s">
        <v>1311</v>
      </c>
      <c r="F541" s="27" t="s">
        <v>3363</v>
      </c>
      <c r="G541" s="27" t="s">
        <v>3364</v>
      </c>
      <c r="H541" s="18" t="str">
        <f t="array" ref="H541">_xlfn.XLOOKUP(E:E,'Calificación consecuencia'!B:B,'Calificación consecuencia'!K:K,"No encontrada",2)</f>
        <v>Baja</v>
      </c>
      <c r="I541" s="27" t="s">
        <v>1800</v>
      </c>
      <c r="J541" s="30" t="s">
        <v>116</v>
      </c>
      <c r="K541" s="21"/>
      <c r="L541" s="21"/>
      <c r="M541" s="29" t="s">
        <v>120</v>
      </c>
      <c r="N541" s="21"/>
      <c r="O541" s="30" t="s">
        <v>116</v>
      </c>
      <c r="P541" s="30" t="s">
        <v>116</v>
      </c>
      <c r="Q541" s="21"/>
      <c r="R541" s="21"/>
      <c r="S541" s="21"/>
      <c r="T541" s="21"/>
      <c r="U541" s="27" t="s">
        <v>345</v>
      </c>
      <c r="V541" s="27" t="s">
        <v>196</v>
      </c>
    </row>
    <row r="542" ht="14.25" customHeight="1">
      <c r="A542" s="27" t="s">
        <v>1104</v>
      </c>
      <c r="B542" s="27" t="s">
        <v>1103</v>
      </c>
      <c r="C542" s="27" t="str">
        <f t="array" ref="C542">INDEX(Funciones!$G$2:$G$372,MATCH($A542,Funciones!$B$2:$B$372,0))</f>
        <v>Transmitir el par motriz hasta _____ N·m</v>
      </c>
      <c r="D542" s="27" t="s">
        <v>4146</v>
      </c>
      <c r="E542" s="27" t="s">
        <v>1315</v>
      </c>
      <c r="F542" s="27" t="s">
        <v>3365</v>
      </c>
      <c r="G542" s="27" t="s">
        <v>3366</v>
      </c>
      <c r="H542" s="18" t="str">
        <f t="array" ref="H542">_xlfn.XLOOKUP(E:E,'Calificación consecuencia'!B:B,'Calificación consecuencia'!K:K,"No encontrada",2)</f>
        <v>Baja</v>
      </c>
      <c r="I542" s="27" t="s">
        <v>1800</v>
      </c>
      <c r="J542" s="30" t="s">
        <v>116</v>
      </c>
      <c r="K542" s="21"/>
      <c r="L542" s="21"/>
      <c r="M542" s="29" t="s">
        <v>120</v>
      </c>
      <c r="N542" s="21"/>
      <c r="O542" s="30" t="s">
        <v>116</v>
      </c>
      <c r="P542" s="30" t="s">
        <v>116</v>
      </c>
      <c r="Q542" s="21"/>
      <c r="R542" s="21"/>
      <c r="S542" s="21"/>
      <c r="T542" s="21"/>
      <c r="U542" s="27" t="s">
        <v>345</v>
      </c>
      <c r="V542" s="27" t="s">
        <v>196</v>
      </c>
    </row>
    <row r="543" ht="14.25" customHeight="1">
      <c r="A543" s="27" t="s">
        <v>1104</v>
      </c>
      <c r="B543" s="27" t="s">
        <v>1103</v>
      </c>
      <c r="C543" s="27" t="str">
        <f t="array" ref="C543">INDEX(Funciones!$G$2:$G$372,MATCH($A543,Funciones!$B$2:$B$372,0))</f>
        <v>Transmitir el par motriz hasta _____ N·m</v>
      </c>
      <c r="D543" s="27" t="s">
        <v>4147</v>
      </c>
      <c r="E543" s="27" t="s">
        <v>1325</v>
      </c>
      <c r="F543" s="27" t="s">
        <v>3368</v>
      </c>
      <c r="G543" s="27" t="s">
        <v>3369</v>
      </c>
      <c r="H543" s="18" t="str">
        <f t="array" ref="H543">_xlfn.XLOOKUP(E:E,'Calificación consecuencia'!B:B,'Calificación consecuencia'!K:K,"No encontrada",2)</f>
        <v>Baja</v>
      </c>
      <c r="I543" s="27" t="s">
        <v>1800</v>
      </c>
      <c r="J543" s="30" t="s">
        <v>116</v>
      </c>
      <c r="K543" s="21"/>
      <c r="L543" s="21"/>
      <c r="M543" s="29" t="s">
        <v>120</v>
      </c>
      <c r="N543" s="21"/>
      <c r="O543" s="30" t="s">
        <v>116</v>
      </c>
      <c r="P543" s="30" t="s">
        <v>116</v>
      </c>
      <c r="Q543" s="21"/>
      <c r="R543" s="21"/>
      <c r="S543" s="21"/>
      <c r="T543" s="21"/>
      <c r="U543" s="27" t="s">
        <v>345</v>
      </c>
      <c r="V543" s="27" t="s">
        <v>196</v>
      </c>
    </row>
    <row r="544" ht="14.25" customHeight="1">
      <c r="A544" s="27" t="s">
        <v>1104</v>
      </c>
      <c r="B544" s="27" t="s">
        <v>1103</v>
      </c>
      <c r="C544" s="27" t="str">
        <f t="array" ref="C544">INDEX(Funciones!$G$2:$G$372,MATCH($A544,Funciones!$B$2:$B$372,0))</f>
        <v>Transmitir el par motriz hasta _____ N·m</v>
      </c>
      <c r="D544" s="27" t="s">
        <v>4147</v>
      </c>
      <c r="E544" s="27" t="s">
        <v>1333</v>
      </c>
      <c r="F544" s="27" t="s">
        <v>3370</v>
      </c>
      <c r="G544" s="27" t="s">
        <v>3371</v>
      </c>
      <c r="H544" s="18" t="str">
        <f t="array" ref="H544">_xlfn.XLOOKUP(E:E,'Calificación consecuencia'!B:B,'Calificación consecuencia'!K:K,"No encontrada",2)</f>
        <v>Baja</v>
      </c>
      <c r="I544" s="27" t="s">
        <v>1800</v>
      </c>
      <c r="J544" s="30" t="s">
        <v>116</v>
      </c>
      <c r="K544" s="21"/>
      <c r="L544" s="21"/>
      <c r="M544" s="29" t="s">
        <v>120</v>
      </c>
      <c r="N544" s="21"/>
      <c r="O544" s="30" t="s">
        <v>116</v>
      </c>
      <c r="P544" s="30" t="s">
        <v>116</v>
      </c>
      <c r="Q544" s="21"/>
      <c r="R544" s="21"/>
      <c r="S544" s="21"/>
      <c r="T544" s="21"/>
      <c r="U544" s="27" t="s">
        <v>345</v>
      </c>
      <c r="V544" s="27" t="s">
        <v>196</v>
      </c>
    </row>
    <row r="545" ht="14.25" customHeight="1">
      <c r="A545" s="9" t="s">
        <v>1112</v>
      </c>
      <c r="B545" s="9" t="s">
        <v>1111</v>
      </c>
      <c r="C545" s="9" t="str">
        <f t="array" ref="C545">INDEX(Funciones!$G$2:$G$372,MATCH($A545,Funciones!$B$2:$B$372,0))</f>
        <v>Suministrar la corriente de arranque con tensión mínima de 19,2 V</v>
      </c>
      <c r="D545" s="9" t="s">
        <v>3287</v>
      </c>
      <c r="E545" s="9" t="s">
        <v>1191</v>
      </c>
      <c r="F545" s="9" t="s">
        <v>3288</v>
      </c>
      <c r="G545" s="9" t="s">
        <v>3289</v>
      </c>
      <c r="H545" s="18" t="str">
        <f t="array" ref="H545">_xlfn.XLOOKUP(E:E,'Calificación consecuencia'!B:B,'Calificación consecuencia'!K:K,"No encontrada",2)</f>
        <v>Media</v>
      </c>
      <c r="I545" s="9" t="s">
        <v>339</v>
      </c>
      <c r="J545" s="20" t="s">
        <v>116</v>
      </c>
      <c r="K545" s="21"/>
      <c r="L545" s="21"/>
      <c r="M545" s="22" t="s">
        <v>120</v>
      </c>
      <c r="N545" s="21"/>
      <c r="O545" s="20" t="s">
        <v>116</v>
      </c>
      <c r="P545" s="22" t="s">
        <v>120</v>
      </c>
      <c r="Q545" s="20" t="s">
        <v>116</v>
      </c>
      <c r="R545" s="21"/>
      <c r="S545" s="21"/>
      <c r="T545" s="21"/>
      <c r="U545" s="9" t="s">
        <v>785</v>
      </c>
      <c r="V545" s="9" t="s">
        <v>786</v>
      </c>
    </row>
    <row r="546" ht="14.25" customHeight="1">
      <c r="A546" s="9" t="s">
        <v>1112</v>
      </c>
      <c r="B546" s="9" t="s">
        <v>1111</v>
      </c>
      <c r="C546" s="9" t="str">
        <f t="array" ref="C546">INDEX(Funciones!$G$2:$G$372,MATCH($A546,Funciones!$B$2:$B$372,0))</f>
        <v>Suministrar la corriente de arranque con tensión mínima de 19,2 V</v>
      </c>
      <c r="D546" s="9" t="s">
        <v>3287</v>
      </c>
      <c r="E546" s="9" t="s">
        <v>1195</v>
      </c>
      <c r="F546" s="9" t="s">
        <v>3290</v>
      </c>
      <c r="G546" s="9" t="s">
        <v>3291</v>
      </c>
      <c r="H546" s="18" t="str">
        <f t="array" ref="H546">_xlfn.XLOOKUP(E:E,'Calificación consecuencia'!B:B,'Calificación consecuencia'!K:K,"No encontrada",2)</f>
        <v>Baja</v>
      </c>
      <c r="I546" s="9" t="s">
        <v>339</v>
      </c>
      <c r="J546" s="20" t="s">
        <v>116</v>
      </c>
      <c r="K546" s="21"/>
      <c r="L546" s="21"/>
      <c r="M546" s="22" t="s">
        <v>120</v>
      </c>
      <c r="N546" s="21"/>
      <c r="O546" s="20" t="s">
        <v>116</v>
      </c>
      <c r="P546" s="22" t="s">
        <v>120</v>
      </c>
      <c r="Q546" s="20" t="s">
        <v>116</v>
      </c>
      <c r="R546" s="21"/>
      <c r="S546" s="21"/>
      <c r="T546" s="21"/>
      <c r="U546" s="9" t="s">
        <v>785</v>
      </c>
      <c r="V546" s="9" t="s">
        <v>786</v>
      </c>
    </row>
    <row r="547" ht="14.25" customHeight="1">
      <c r="A547" s="9" t="s">
        <v>1112</v>
      </c>
      <c r="B547" s="9" t="s">
        <v>1111</v>
      </c>
      <c r="C547" s="9" t="str">
        <f t="array" ref="C547">INDEX(Funciones!$G$2:$G$372,MATCH($A547,Funciones!$B$2:$B$372,0))</f>
        <v>Suministrar la corriente de arranque con tensión mínima de 19,2 V</v>
      </c>
      <c r="D547" s="9" t="s">
        <v>3287</v>
      </c>
      <c r="E547" s="9" t="s">
        <v>1204</v>
      </c>
      <c r="F547" s="9" t="s">
        <v>3292</v>
      </c>
      <c r="G547" s="9" t="s">
        <v>3293</v>
      </c>
      <c r="H547" s="18" t="str">
        <f t="array" ref="H547">_xlfn.XLOOKUP(E:E,'Calificación consecuencia'!B:B,'Calificación consecuencia'!K:K,"No encontrada",2)</f>
        <v>Baja</v>
      </c>
      <c r="I547" s="9" t="s">
        <v>339</v>
      </c>
      <c r="J547" s="20" t="s">
        <v>116</v>
      </c>
      <c r="K547" s="21"/>
      <c r="L547" s="21"/>
      <c r="M547" s="22" t="s">
        <v>120</v>
      </c>
      <c r="N547" s="21"/>
      <c r="O547" s="20" t="s">
        <v>116</v>
      </c>
      <c r="P547" s="22" t="s">
        <v>120</v>
      </c>
      <c r="Q547" s="22" t="s">
        <v>120</v>
      </c>
      <c r="R547" s="20" t="s">
        <v>116</v>
      </c>
      <c r="S547" s="21"/>
      <c r="T547" s="21"/>
      <c r="U547" s="9" t="s">
        <v>1680</v>
      </c>
      <c r="V547" s="9" t="s">
        <v>1408</v>
      </c>
    </row>
    <row r="548" ht="14.25" customHeight="1">
      <c r="A548" s="9" t="s">
        <v>1112</v>
      </c>
      <c r="B548" s="9" t="s">
        <v>1111</v>
      </c>
      <c r="C548" s="9" t="str">
        <f t="array" ref="C548">INDEX(Funciones!$G$2:$G$372,MATCH($A548,Funciones!$B$2:$B$372,0))</f>
        <v>Suministrar la corriente de arranque con tensión mínima de 19,2 V</v>
      </c>
      <c r="D548" s="9" t="s">
        <v>3287</v>
      </c>
      <c r="E548" s="9" t="s">
        <v>1210</v>
      </c>
      <c r="F548" s="9" t="s">
        <v>3297</v>
      </c>
      <c r="G548" s="9" t="s">
        <v>3298</v>
      </c>
      <c r="H548" s="18" t="str">
        <f t="array" ref="H548">_xlfn.XLOOKUP(E:E,'Calificación consecuencia'!B:B,'Calificación consecuencia'!K:K,"No encontrada",2)</f>
        <v>Media</v>
      </c>
      <c r="I548" s="9" t="s">
        <v>339</v>
      </c>
      <c r="J548" s="20" t="s">
        <v>116</v>
      </c>
      <c r="K548" s="21"/>
      <c r="L548" s="21"/>
      <c r="M548" s="22" t="s">
        <v>120</v>
      </c>
      <c r="N548" s="21"/>
      <c r="O548" s="20" t="s">
        <v>116</v>
      </c>
      <c r="P548" s="22" t="s">
        <v>120</v>
      </c>
      <c r="Q548" s="20" t="s">
        <v>116</v>
      </c>
      <c r="R548" s="21"/>
      <c r="S548" s="21"/>
      <c r="T548" s="21"/>
      <c r="U548" s="9" t="s">
        <v>785</v>
      </c>
      <c r="V548" s="9" t="s">
        <v>786</v>
      </c>
    </row>
    <row r="549" ht="14.25" customHeight="1">
      <c r="A549" s="9" t="s">
        <v>1112</v>
      </c>
      <c r="B549" s="9" t="s">
        <v>1111</v>
      </c>
      <c r="C549" s="9" t="str">
        <f t="array" ref="C549">INDEX(Funciones!$G$2:$G$372,MATCH($A549,Funciones!$B$2:$B$372,0))</f>
        <v>Suministrar la corriente de arranque con tensión mínima de 19,2 V</v>
      </c>
      <c r="D549" s="9" t="s">
        <v>3287</v>
      </c>
      <c r="E549" s="9" t="s">
        <v>1219</v>
      </c>
      <c r="F549" s="9" t="s">
        <v>3301</v>
      </c>
      <c r="G549" s="9" t="s">
        <v>3302</v>
      </c>
      <c r="H549" s="18" t="str">
        <f t="array" ref="H549">_xlfn.XLOOKUP(E:E,'Calificación consecuencia'!B:B,'Calificación consecuencia'!K:K,"No encontrada",2)</f>
        <v>Media</v>
      </c>
      <c r="I549" s="9" t="s">
        <v>339</v>
      </c>
      <c r="J549" s="20" t="s">
        <v>116</v>
      </c>
      <c r="K549" s="21"/>
      <c r="L549" s="21"/>
      <c r="M549" s="22" t="s">
        <v>120</v>
      </c>
      <c r="N549" s="21"/>
      <c r="O549" s="20" t="s">
        <v>116</v>
      </c>
      <c r="P549" s="22" t="s">
        <v>120</v>
      </c>
      <c r="Q549" s="20" t="s">
        <v>116</v>
      </c>
      <c r="R549" s="21"/>
      <c r="S549" s="21"/>
      <c r="T549" s="21"/>
      <c r="U549" s="9" t="s">
        <v>785</v>
      </c>
      <c r="V549" s="9" t="s">
        <v>786</v>
      </c>
    </row>
    <row r="550" ht="14.25" customHeight="1">
      <c r="A550" s="9" t="s">
        <v>1112</v>
      </c>
      <c r="B550" s="9" t="s">
        <v>1111</v>
      </c>
      <c r="C550" s="9" t="str">
        <f t="array" ref="C550">INDEX(Funciones!$G$2:$G$372,MATCH($A550,Funciones!$B$2:$B$372,0))</f>
        <v>Suministrar la corriente de arranque con tensión mínima de 19,2 V</v>
      </c>
      <c r="D550" s="9" t="s">
        <v>3304</v>
      </c>
      <c r="E550" s="9" t="s">
        <v>1228</v>
      </c>
      <c r="F550" s="9" t="s">
        <v>3305</v>
      </c>
      <c r="G550" s="9" t="s">
        <v>3306</v>
      </c>
      <c r="H550" s="18" t="str">
        <f t="array" ref="H550">_xlfn.XLOOKUP(E:E,'Calificación consecuencia'!B:B,'Calificación consecuencia'!K:K,"No encontrada",2)</f>
        <v>Baja</v>
      </c>
      <c r="I550" s="9" t="s">
        <v>2106</v>
      </c>
      <c r="J550" s="20" t="s">
        <v>116</v>
      </c>
      <c r="K550" s="21"/>
      <c r="L550" s="21"/>
      <c r="M550" s="22" t="s">
        <v>120</v>
      </c>
      <c r="N550" s="21"/>
      <c r="O550" s="22" t="s">
        <v>120</v>
      </c>
      <c r="P550" s="21"/>
      <c r="Q550" s="21"/>
      <c r="R550" s="21"/>
      <c r="S550" s="22" t="s">
        <v>120</v>
      </c>
      <c r="T550" s="21"/>
      <c r="U550" s="9" t="s">
        <v>1680</v>
      </c>
      <c r="V550" s="9" t="s">
        <v>1408</v>
      </c>
    </row>
    <row r="551" ht="14.25" customHeight="1">
      <c r="A551" s="9" t="s">
        <v>1112</v>
      </c>
      <c r="B551" s="9" t="s">
        <v>1111</v>
      </c>
      <c r="C551" s="9" t="str">
        <f t="array" ref="C551">INDEX(Funciones!$G$2:$G$372,MATCH($A551,Funciones!$B$2:$B$372,0))</f>
        <v>Suministrar la corriente de arranque con tensión mínima de 19,2 V</v>
      </c>
      <c r="D551" s="9" t="s">
        <v>3304</v>
      </c>
      <c r="E551" s="9" t="s">
        <v>1233</v>
      </c>
      <c r="F551" s="9" t="s">
        <v>3307</v>
      </c>
      <c r="G551" s="9" t="s">
        <v>3308</v>
      </c>
      <c r="H551" s="18" t="str">
        <f t="array" ref="H551">_xlfn.XLOOKUP(E:E,'Calificación consecuencia'!B:B,'Calificación consecuencia'!K:K,"No encontrada",2)</f>
        <v>Baja</v>
      </c>
      <c r="I551" s="9" t="s">
        <v>2106</v>
      </c>
      <c r="J551" s="20" t="s">
        <v>116</v>
      </c>
      <c r="K551" s="21"/>
      <c r="L551" s="21"/>
      <c r="M551" s="22" t="s">
        <v>120</v>
      </c>
      <c r="N551" s="21"/>
      <c r="O551" s="22" t="s">
        <v>120</v>
      </c>
      <c r="P551" s="21"/>
      <c r="Q551" s="21"/>
      <c r="R551" s="21"/>
      <c r="S551" s="22" t="s">
        <v>120</v>
      </c>
      <c r="T551" s="21"/>
      <c r="U551" s="9" t="s">
        <v>1680</v>
      </c>
      <c r="V551" s="9" t="s">
        <v>1408</v>
      </c>
    </row>
    <row r="552" ht="14.25" customHeight="1">
      <c r="A552" s="27" t="s">
        <v>1118</v>
      </c>
      <c r="B552" s="27" t="s">
        <v>1111</v>
      </c>
      <c r="C552" s="27" t="str">
        <f t="array" ref="C552">INDEX(Funciones!$G$2:$G$372,MATCH($A552,Funciones!$B$2:$B$372,0))</f>
        <v>Almacenar energía eléctrica con tensión mínima de 19,2 V</v>
      </c>
      <c r="D552" s="27" t="s">
        <v>3309</v>
      </c>
      <c r="E552" s="27" t="s">
        <v>1191</v>
      </c>
      <c r="F552" s="27" t="s">
        <v>3288</v>
      </c>
      <c r="G552" s="27" t="s">
        <v>3289</v>
      </c>
      <c r="H552" s="18" t="str">
        <f t="array" ref="H552">_xlfn.XLOOKUP(E:E,'Calificación consecuencia'!B:B,'Calificación consecuencia'!K:K,"No encontrada",2)</f>
        <v>Media</v>
      </c>
      <c r="I552" s="27" t="s">
        <v>339</v>
      </c>
      <c r="J552" s="30" t="s">
        <v>116</v>
      </c>
      <c r="K552" s="21"/>
      <c r="L552" s="21"/>
      <c r="M552" s="29" t="s">
        <v>120</v>
      </c>
      <c r="N552" s="21"/>
      <c r="O552" s="30" t="s">
        <v>116</v>
      </c>
      <c r="P552" s="29" t="s">
        <v>120</v>
      </c>
      <c r="Q552" s="30" t="s">
        <v>116</v>
      </c>
      <c r="R552" s="21"/>
      <c r="S552" s="21"/>
      <c r="T552" s="21"/>
      <c r="U552" s="27" t="s">
        <v>785</v>
      </c>
      <c r="V552" s="27" t="s">
        <v>786</v>
      </c>
    </row>
    <row r="553" ht="14.25" customHeight="1">
      <c r="A553" s="27" t="s">
        <v>1118</v>
      </c>
      <c r="B553" s="27" t="s">
        <v>1111</v>
      </c>
      <c r="C553" s="27" t="str">
        <f t="array" ref="C553">INDEX(Funciones!$G$2:$G$372,MATCH($A553,Funciones!$B$2:$B$372,0))</f>
        <v>Almacenar energía eléctrica con tensión mínima de 19,2 V</v>
      </c>
      <c r="D553" s="27" t="s">
        <v>3309</v>
      </c>
      <c r="E553" s="27" t="s">
        <v>1204</v>
      </c>
      <c r="F553" s="27" t="s">
        <v>3292</v>
      </c>
      <c r="G553" s="27" t="s">
        <v>3293</v>
      </c>
      <c r="H553" s="18" t="str">
        <f t="array" ref="H553">_xlfn.XLOOKUP(E:E,'Calificación consecuencia'!B:B,'Calificación consecuencia'!K:K,"No encontrada",2)</f>
        <v>Baja</v>
      </c>
      <c r="I553" s="27" t="s">
        <v>339</v>
      </c>
      <c r="J553" s="30" t="s">
        <v>116</v>
      </c>
      <c r="K553" s="21"/>
      <c r="L553" s="21"/>
      <c r="M553" s="29" t="s">
        <v>120</v>
      </c>
      <c r="N553" s="21"/>
      <c r="O553" s="30" t="s">
        <v>116</v>
      </c>
      <c r="P553" s="29" t="s">
        <v>120</v>
      </c>
      <c r="Q553" s="29" t="s">
        <v>120</v>
      </c>
      <c r="R553" s="30" t="s">
        <v>116</v>
      </c>
      <c r="S553" s="21"/>
      <c r="T553" s="21"/>
      <c r="U553" s="27" t="s">
        <v>1680</v>
      </c>
      <c r="V553" s="27" t="s">
        <v>1408</v>
      </c>
    </row>
    <row r="554" ht="14.25" customHeight="1">
      <c r="A554" s="27" t="s">
        <v>1118</v>
      </c>
      <c r="B554" s="27" t="s">
        <v>1111</v>
      </c>
      <c r="C554" s="27" t="str">
        <f t="array" ref="C554">INDEX(Funciones!$G$2:$G$372,MATCH($A554,Funciones!$B$2:$B$372,0))</f>
        <v>Almacenar energía eléctrica con tensión mínima de 19,2 V</v>
      </c>
      <c r="D554" s="27" t="s">
        <v>3310</v>
      </c>
      <c r="E554" s="27" t="s">
        <v>1228</v>
      </c>
      <c r="F554" s="27" t="s">
        <v>3305</v>
      </c>
      <c r="G554" s="27" t="s">
        <v>3306</v>
      </c>
      <c r="H554" s="18" t="str">
        <f t="array" ref="H554">_xlfn.XLOOKUP(E:E,'Calificación consecuencia'!B:B,'Calificación consecuencia'!K:K,"No encontrada",2)</f>
        <v>Baja</v>
      </c>
      <c r="I554" s="27" t="s">
        <v>2106</v>
      </c>
      <c r="J554" s="30" t="s">
        <v>116</v>
      </c>
      <c r="K554" s="21"/>
      <c r="L554" s="21"/>
      <c r="M554" s="29" t="s">
        <v>120</v>
      </c>
      <c r="N554" s="21"/>
      <c r="O554" s="29" t="s">
        <v>120</v>
      </c>
      <c r="P554" s="21"/>
      <c r="Q554" s="21"/>
      <c r="R554" s="21"/>
      <c r="S554" s="29" t="s">
        <v>120</v>
      </c>
      <c r="T554" s="21"/>
      <c r="U554" s="27" t="s">
        <v>1680</v>
      </c>
      <c r="V554" s="27" t="s">
        <v>1408</v>
      </c>
    </row>
    <row r="555" ht="14.25" customHeight="1">
      <c r="A555" s="9" t="s">
        <v>1122</v>
      </c>
      <c r="B555" s="9" t="s">
        <v>1121</v>
      </c>
      <c r="C555" s="9" t="str">
        <f t="array" ref="C555">INDEX(Funciones!$G$2:$G$372,MATCH($A555,Funciones!$B$2:$B$372,0))</f>
        <v>Evitar el vuelco de la máquina en izaje con momento de _____ kN·m</v>
      </c>
      <c r="D555" s="9" t="s">
        <v>4100</v>
      </c>
      <c r="E555" s="9" t="s">
        <v>2243</v>
      </c>
      <c r="F555" s="9" t="s">
        <v>3953</v>
      </c>
      <c r="G555" s="9" t="s">
        <v>3954</v>
      </c>
      <c r="H555" s="18" t="str">
        <f t="array" ref="H555">_xlfn.XLOOKUP(E:E,'Calificación consecuencia'!B:B,'Calificación consecuencia'!K:K,"No encontrada",2)</f>
        <v>Baja</v>
      </c>
      <c r="I555" s="9" t="s">
        <v>425</v>
      </c>
      <c r="J555" s="20" t="s">
        <v>116</v>
      </c>
      <c r="K555" s="21"/>
      <c r="L555" s="21"/>
      <c r="M555" s="20" t="s">
        <v>116</v>
      </c>
      <c r="N555" s="20" t="s">
        <v>116</v>
      </c>
      <c r="O555" s="21"/>
      <c r="P555" s="21"/>
      <c r="Q555" s="21"/>
      <c r="R555" s="21"/>
      <c r="S555" s="21"/>
      <c r="T555" s="21"/>
      <c r="U555" s="9" t="s">
        <v>195</v>
      </c>
      <c r="V555" s="9" t="s">
        <v>196</v>
      </c>
    </row>
    <row r="556" ht="14.25" customHeight="1">
      <c r="A556" s="9" t="s">
        <v>1122</v>
      </c>
      <c r="B556" s="9" t="s">
        <v>1121</v>
      </c>
      <c r="C556" s="9" t="str">
        <f t="array" ref="C556">INDEX(Funciones!$G$2:$G$372,MATCH($A556,Funciones!$B$2:$B$372,0))</f>
        <v>Evitar el vuelco de la máquina en izaje con momento de _____ kN·m</v>
      </c>
      <c r="D556" s="9" t="s">
        <v>4100</v>
      </c>
      <c r="E556" s="9" t="s">
        <v>2249</v>
      </c>
      <c r="F556" s="9" t="s">
        <v>3955</v>
      </c>
      <c r="G556" s="9" t="s">
        <v>3956</v>
      </c>
      <c r="H556" s="18" t="str">
        <f t="array" ref="H556">_xlfn.XLOOKUP(E:E,'Calificación consecuencia'!B:B,'Calificación consecuencia'!K:K,"No encontrada",2)</f>
        <v>Media</v>
      </c>
      <c r="I556" s="9" t="s">
        <v>425</v>
      </c>
      <c r="J556" s="20" t="s">
        <v>116</v>
      </c>
      <c r="K556" s="21"/>
      <c r="L556" s="21"/>
      <c r="M556" s="20" t="s">
        <v>116</v>
      </c>
      <c r="N556" s="20" t="s">
        <v>116</v>
      </c>
      <c r="O556" s="21"/>
      <c r="P556" s="21"/>
      <c r="Q556" s="21"/>
      <c r="R556" s="21"/>
      <c r="S556" s="21"/>
      <c r="T556" s="21"/>
      <c r="U556" s="9" t="s">
        <v>195</v>
      </c>
      <c r="V556" s="9" t="s">
        <v>196</v>
      </c>
    </row>
    <row r="557" ht="14.25" customHeight="1">
      <c r="A557" s="9" t="s">
        <v>1122</v>
      </c>
      <c r="B557" s="9" t="s">
        <v>1121</v>
      </c>
      <c r="C557" s="9" t="str">
        <f t="array" ref="C557">INDEX(Funciones!$G$2:$G$372,MATCH($A557,Funciones!$B$2:$B$372,0))</f>
        <v>Evitar el vuelco de la máquina en izaje con momento de _____ kN·m</v>
      </c>
      <c r="D557" s="9" t="s">
        <v>4101</v>
      </c>
      <c r="E557" s="9" t="s">
        <v>2258</v>
      </c>
      <c r="F557" s="9" t="s">
        <v>3958</v>
      </c>
      <c r="G557" s="9" t="s">
        <v>3959</v>
      </c>
      <c r="H557" s="18" t="str">
        <f t="array" ref="H557">_xlfn.XLOOKUP(E:E,'Calificación consecuencia'!B:B,'Calificación consecuencia'!K:K,"No encontrada",2)</f>
        <v>Media</v>
      </c>
      <c r="I557" s="9" t="s">
        <v>425</v>
      </c>
      <c r="J557" s="20" t="s">
        <v>116</v>
      </c>
      <c r="K557" s="21"/>
      <c r="L557" s="21"/>
      <c r="M557" s="20" t="s">
        <v>116</v>
      </c>
      <c r="N557" s="20" t="s">
        <v>116</v>
      </c>
      <c r="O557" s="21"/>
      <c r="P557" s="21"/>
      <c r="Q557" s="21"/>
      <c r="R557" s="21"/>
      <c r="S557" s="21"/>
      <c r="T557" s="21"/>
      <c r="U557" s="9" t="s">
        <v>195</v>
      </c>
      <c r="V557" s="9" t="s">
        <v>196</v>
      </c>
    </row>
    <row r="558" ht="14.25" customHeight="1">
      <c r="A558" s="27" t="s">
        <v>1129</v>
      </c>
      <c r="B558" s="27" t="s">
        <v>1128</v>
      </c>
      <c r="C558" s="27" t="str">
        <f t="array" ref="C558">INDEX(Funciones!$G$2:$G$372,MATCH($A558,Funciones!$B$2:$B$372,0))</f>
        <v>Elevar las cargas con momento de _____ kN·m</v>
      </c>
      <c r="D558" s="27" t="s">
        <v>4148</v>
      </c>
      <c r="E558" s="27" t="s">
        <v>3317</v>
      </c>
      <c r="F558" s="27" t="s">
        <v>4149</v>
      </c>
      <c r="G558" s="27" t="s">
        <v>4150</v>
      </c>
      <c r="H558" s="18" t="str">
        <f t="array" ref="H558">_xlfn.XLOOKUP(E:E,'Calificación consecuencia'!B:B,'Calificación consecuencia'!K:K,"No encontrada",2)</f>
        <v>Media</v>
      </c>
      <c r="I558" s="27" t="s">
        <v>425</v>
      </c>
      <c r="J558" s="30" t="s">
        <v>116</v>
      </c>
      <c r="K558" s="21"/>
      <c r="L558" s="21"/>
      <c r="M558" s="30" t="s">
        <v>116</v>
      </c>
      <c r="N558" s="30" t="s">
        <v>116</v>
      </c>
      <c r="O558" s="21"/>
      <c r="P558" s="21"/>
      <c r="Q558" s="21"/>
      <c r="R558" s="21"/>
      <c r="S558" s="21"/>
      <c r="T558" s="21"/>
      <c r="U558" s="27" t="s">
        <v>195</v>
      </c>
      <c r="V558" s="27" t="s">
        <v>196</v>
      </c>
    </row>
    <row r="559" ht="14.25" customHeight="1">
      <c r="A559" s="27" t="s">
        <v>1129</v>
      </c>
      <c r="B559" s="27" t="s">
        <v>1128</v>
      </c>
      <c r="C559" s="27" t="str">
        <f t="array" ref="C559">INDEX(Funciones!$G$2:$G$372,MATCH($A559,Funciones!$B$2:$B$372,0))</f>
        <v>Elevar las cargas con momento de _____ kN·m</v>
      </c>
      <c r="D559" s="27" t="s">
        <v>4151</v>
      </c>
      <c r="E559" s="27" t="s">
        <v>948</v>
      </c>
      <c r="F559" s="27" t="s">
        <v>4152</v>
      </c>
      <c r="G559" s="27" t="s">
        <v>2448</v>
      </c>
      <c r="H559" s="18" t="str">
        <f t="array" ref="H559">_xlfn.XLOOKUP(E:E,'Calificación consecuencia'!B:B,'Calificación consecuencia'!K:K,"No encontrada",2)</f>
        <v>Baja</v>
      </c>
      <c r="I559" s="27" t="s">
        <v>2106</v>
      </c>
      <c r="J559" s="30" t="s">
        <v>116</v>
      </c>
      <c r="K559" s="21"/>
      <c r="L559" s="21"/>
      <c r="M559" s="29" t="s">
        <v>120</v>
      </c>
      <c r="N559" s="21"/>
      <c r="O559" s="29" t="s">
        <v>120</v>
      </c>
      <c r="P559" s="21"/>
      <c r="Q559" s="21"/>
      <c r="R559" s="21"/>
      <c r="S559" s="29" t="s">
        <v>120</v>
      </c>
      <c r="T559" s="21"/>
      <c r="U559" s="27" t="s">
        <v>1680</v>
      </c>
      <c r="V559" s="27" t="s">
        <v>1408</v>
      </c>
    </row>
    <row r="560" ht="14.25" customHeight="1">
      <c r="A560" s="27" t="s">
        <v>1129</v>
      </c>
      <c r="B560" s="27" t="s">
        <v>1128</v>
      </c>
      <c r="C560" s="27" t="str">
        <f t="array" ref="C560">INDEX(Funciones!$G$2:$G$372,MATCH($A560,Funciones!$B$2:$B$372,0))</f>
        <v>Elevar las cargas con momento de _____ kN·m</v>
      </c>
      <c r="D560" s="27" t="s">
        <v>4151</v>
      </c>
      <c r="E560" s="27" t="s">
        <v>3320</v>
      </c>
      <c r="F560" s="27" t="s">
        <v>4153</v>
      </c>
      <c r="G560" s="27" t="s">
        <v>4154</v>
      </c>
      <c r="H560" s="18" t="str">
        <f t="array" ref="H560">_xlfn.XLOOKUP(E:E,'Calificación consecuencia'!B:B,'Calificación consecuencia'!K:K,"No encontrada",2)</f>
        <v>Baja</v>
      </c>
      <c r="I560" s="27" t="s">
        <v>1800</v>
      </c>
      <c r="J560" s="30" t="s">
        <v>116</v>
      </c>
      <c r="K560" s="21"/>
      <c r="L560" s="21"/>
      <c r="M560" s="29" t="s">
        <v>120</v>
      </c>
      <c r="N560" s="21"/>
      <c r="O560" s="30" t="s">
        <v>116</v>
      </c>
      <c r="P560" s="30" t="s">
        <v>116</v>
      </c>
      <c r="Q560" s="21"/>
      <c r="R560" s="21"/>
      <c r="S560" s="21"/>
      <c r="T560" s="21"/>
      <c r="U560" s="27" t="s">
        <v>345</v>
      </c>
      <c r="V560" s="27" t="s">
        <v>196</v>
      </c>
    </row>
    <row r="561" ht="14.25" customHeight="1">
      <c r="A561" s="27" t="s">
        <v>1129</v>
      </c>
      <c r="B561" s="27" t="s">
        <v>1128</v>
      </c>
      <c r="C561" s="27" t="str">
        <f t="array" ref="C561">INDEX(Funciones!$G$2:$G$372,MATCH($A561,Funciones!$B$2:$B$372,0))</f>
        <v>Elevar las cargas con momento de _____ kN·m</v>
      </c>
      <c r="D561" s="27" t="s">
        <v>4155</v>
      </c>
      <c r="E561" s="27" t="s">
        <v>3321</v>
      </c>
      <c r="F561" s="27" t="s">
        <v>4156</v>
      </c>
      <c r="G561" s="27" t="s">
        <v>4157</v>
      </c>
      <c r="H561" s="18" t="str">
        <f t="array" ref="H561">_xlfn.XLOOKUP(E:E,'Calificación consecuencia'!B:B,'Calificación consecuencia'!K:K,"No encontrada",2)</f>
        <v>Media</v>
      </c>
      <c r="I561" s="27" t="s">
        <v>425</v>
      </c>
      <c r="J561" s="30" t="s">
        <v>116</v>
      </c>
      <c r="K561" s="21"/>
      <c r="L561" s="21"/>
      <c r="M561" s="30" t="s">
        <v>116</v>
      </c>
      <c r="N561" s="30" t="s">
        <v>116</v>
      </c>
      <c r="O561" s="21"/>
      <c r="P561" s="21"/>
      <c r="Q561" s="21"/>
      <c r="R561" s="21"/>
      <c r="S561" s="21"/>
      <c r="T561" s="21"/>
      <c r="U561" s="27" t="s">
        <v>195</v>
      </c>
      <c r="V561" s="27" t="s">
        <v>196</v>
      </c>
    </row>
    <row r="562" ht="14.25" customHeight="1">
      <c r="A562" s="9" t="s">
        <v>1140</v>
      </c>
      <c r="B562" s="9" t="s">
        <v>1139</v>
      </c>
      <c r="C562" s="9" t="str">
        <f t="array" ref="C562">INDEX(Funciones!$G$2:$G$372,MATCH($A562,Funciones!$B$2:$B$372,0))</f>
        <v>Presurizar los cilindros de freno entre 3,7 y 3,9 bar</v>
      </c>
      <c r="D562" s="9" t="s">
        <v>3573</v>
      </c>
      <c r="E562" s="9" t="s">
        <v>1246</v>
      </c>
      <c r="F562" s="9" t="s">
        <v>3312</v>
      </c>
      <c r="G562" s="9" t="s">
        <v>3313</v>
      </c>
      <c r="H562" s="18" t="str">
        <f t="array" ref="H562">_xlfn.XLOOKUP(E:E,'Calificación consecuencia'!B:B,'Calificación consecuencia'!K:K,"No encontrada",2)</f>
        <v>Media</v>
      </c>
      <c r="I562" s="9" t="s">
        <v>425</v>
      </c>
      <c r="J562" s="20" t="s">
        <v>116</v>
      </c>
      <c r="K562" s="21"/>
      <c r="L562" s="21"/>
      <c r="M562" s="20" t="s">
        <v>116</v>
      </c>
      <c r="N562" s="20" t="s">
        <v>116</v>
      </c>
      <c r="O562" s="21"/>
      <c r="P562" s="21"/>
      <c r="Q562" s="21"/>
      <c r="R562" s="21"/>
      <c r="S562" s="21"/>
      <c r="T562" s="21"/>
      <c r="U562" s="9" t="s">
        <v>195</v>
      </c>
      <c r="V562" s="9" t="s">
        <v>196</v>
      </c>
    </row>
    <row r="563" ht="14.25" customHeight="1">
      <c r="A563" s="9" t="s">
        <v>1140</v>
      </c>
      <c r="B563" s="9" t="s">
        <v>1139</v>
      </c>
      <c r="C563" s="9" t="str">
        <f t="array" ref="C563">INDEX(Funciones!$G$2:$G$372,MATCH($A563,Funciones!$B$2:$B$372,0))</f>
        <v>Presurizar los cilindros de freno entre 3,7 y 3,9 bar</v>
      </c>
      <c r="D563" s="9" t="s">
        <v>3573</v>
      </c>
      <c r="E563" s="9" t="s">
        <v>1248</v>
      </c>
      <c r="F563" s="9" t="s">
        <v>3314</v>
      </c>
      <c r="G563" s="9" t="s">
        <v>3315</v>
      </c>
      <c r="H563" s="18" t="str">
        <f t="array" ref="H563">_xlfn.XLOOKUP(E:E,'Calificación consecuencia'!B:B,'Calificación consecuencia'!K:K,"No encontrada",2)</f>
        <v>Media</v>
      </c>
      <c r="I563" s="9" t="s">
        <v>425</v>
      </c>
      <c r="J563" s="20" t="s">
        <v>116</v>
      </c>
      <c r="K563" s="21"/>
      <c r="L563" s="21"/>
      <c r="M563" s="20" t="s">
        <v>116</v>
      </c>
      <c r="N563" s="20" t="s">
        <v>116</v>
      </c>
      <c r="O563" s="21"/>
      <c r="P563" s="21"/>
      <c r="Q563" s="21"/>
      <c r="R563" s="21"/>
      <c r="S563" s="21"/>
      <c r="T563" s="21"/>
      <c r="U563" s="9" t="s">
        <v>195</v>
      </c>
      <c r="V563" s="9" t="s">
        <v>196</v>
      </c>
    </row>
    <row r="564" ht="14.25" customHeight="1">
      <c r="A564" s="9" t="s">
        <v>1140</v>
      </c>
      <c r="B564" s="9" t="s">
        <v>1139</v>
      </c>
      <c r="C564" s="9" t="str">
        <f t="array" ref="C564">INDEX(Funciones!$G$2:$G$372,MATCH($A564,Funciones!$B$2:$B$372,0))</f>
        <v>Presurizar los cilindros de freno entre 3,7 y 3,9 bar</v>
      </c>
      <c r="D564" s="9" t="s">
        <v>3575</v>
      </c>
      <c r="E564" s="9" t="s">
        <v>1255</v>
      </c>
      <c r="F564" s="9" t="s">
        <v>3318</v>
      </c>
      <c r="G564" s="9" t="s">
        <v>3319</v>
      </c>
      <c r="H564" s="18" t="str">
        <f t="array" ref="H564">_xlfn.XLOOKUP(E:E,'Calificación consecuencia'!B:B,'Calificación consecuencia'!K:K,"No encontrada",2)</f>
        <v>Baja</v>
      </c>
      <c r="I564" s="9" t="s">
        <v>425</v>
      </c>
      <c r="J564" s="20" t="s">
        <v>116</v>
      </c>
      <c r="K564" s="21"/>
      <c r="L564" s="21"/>
      <c r="M564" s="20" t="s">
        <v>116</v>
      </c>
      <c r="N564" s="20" t="s">
        <v>116</v>
      </c>
      <c r="O564" s="21"/>
      <c r="P564" s="21"/>
      <c r="Q564" s="21"/>
      <c r="R564" s="21"/>
      <c r="S564" s="21"/>
      <c r="T564" s="21"/>
      <c r="U564" s="9" t="s">
        <v>195</v>
      </c>
      <c r="V564" s="9" t="s">
        <v>196</v>
      </c>
    </row>
    <row r="565" ht="14.25" customHeight="1">
      <c r="A565" s="9" t="s">
        <v>1140</v>
      </c>
      <c r="B565" s="9" t="s">
        <v>1139</v>
      </c>
      <c r="C565" s="9" t="str">
        <f t="array" ref="C565">INDEX(Funciones!$G$2:$G$372,MATCH($A565,Funciones!$B$2:$B$372,0))</f>
        <v>Presurizar los cilindros de freno entre 3,7 y 3,9 bar</v>
      </c>
      <c r="D565" s="9" t="s">
        <v>3575</v>
      </c>
      <c r="E565" s="9" t="s">
        <v>1259</v>
      </c>
      <c r="F565" s="9" t="s">
        <v>3322</v>
      </c>
      <c r="G565" s="9" t="s">
        <v>3323</v>
      </c>
      <c r="H565" s="18" t="str">
        <f t="array" ref="H565">_xlfn.XLOOKUP(E:E,'Calificación consecuencia'!B:B,'Calificación consecuencia'!K:K,"No encontrada",2)</f>
        <v>Baja</v>
      </c>
      <c r="I565" s="9" t="s">
        <v>425</v>
      </c>
      <c r="J565" s="20" t="s">
        <v>116</v>
      </c>
      <c r="K565" s="21"/>
      <c r="L565" s="21"/>
      <c r="M565" s="20" t="s">
        <v>116</v>
      </c>
      <c r="N565" s="20" t="s">
        <v>116</v>
      </c>
      <c r="O565" s="21"/>
      <c r="P565" s="21"/>
      <c r="Q565" s="21"/>
      <c r="R565" s="21"/>
      <c r="S565" s="21"/>
      <c r="T565" s="21"/>
      <c r="U565" s="9" t="s">
        <v>195</v>
      </c>
      <c r="V565" s="9" t="s">
        <v>196</v>
      </c>
    </row>
    <row r="566" ht="14.25" customHeight="1">
      <c r="A566" s="9" t="s">
        <v>1140</v>
      </c>
      <c r="B566" s="9" t="s">
        <v>1139</v>
      </c>
      <c r="C566" s="9" t="str">
        <f t="array" ref="C566">INDEX(Funciones!$G$2:$G$372,MATCH($A566,Funciones!$B$2:$B$372,0))</f>
        <v>Presurizar los cilindros de freno entre 3,7 y 3,9 bar</v>
      </c>
      <c r="D566" s="9" t="s">
        <v>3578</v>
      </c>
      <c r="E566" s="9" t="s">
        <v>1265</v>
      </c>
      <c r="F566" s="9" t="s">
        <v>3325</v>
      </c>
      <c r="G566" s="9" t="s">
        <v>3326</v>
      </c>
      <c r="H566" s="18" t="str">
        <f t="array" ref="H566">_xlfn.XLOOKUP(E:E,'Calificación consecuencia'!B:B,'Calificación consecuencia'!K:K,"No encontrada",2)</f>
        <v>Media</v>
      </c>
      <c r="I566" s="9" t="s">
        <v>425</v>
      </c>
      <c r="J566" s="20" t="s">
        <v>116</v>
      </c>
      <c r="K566" s="21"/>
      <c r="L566" s="21"/>
      <c r="M566" s="20" t="s">
        <v>116</v>
      </c>
      <c r="N566" s="20" t="s">
        <v>116</v>
      </c>
      <c r="O566" s="21"/>
      <c r="P566" s="21"/>
      <c r="Q566" s="21"/>
      <c r="R566" s="21"/>
      <c r="S566" s="21"/>
      <c r="T566" s="21"/>
      <c r="U566" s="9" t="s">
        <v>195</v>
      </c>
      <c r="V566" s="9" t="s">
        <v>196</v>
      </c>
    </row>
    <row r="567" ht="14.25" customHeight="1">
      <c r="A567" s="9" t="s">
        <v>1140</v>
      </c>
      <c r="B567" s="9" t="s">
        <v>1139</v>
      </c>
      <c r="C567" s="9" t="str">
        <f t="array" ref="C567">INDEX(Funciones!$G$2:$G$372,MATCH($A567,Funciones!$B$2:$B$372,0))</f>
        <v>Presurizar los cilindros de freno entre 3,7 y 3,9 bar</v>
      </c>
      <c r="D567" s="9" t="s">
        <v>4158</v>
      </c>
      <c r="E567" s="9" t="s">
        <v>1275</v>
      </c>
      <c r="F567" s="9" t="s">
        <v>3330</v>
      </c>
      <c r="G567" s="9" t="s">
        <v>2473</v>
      </c>
      <c r="H567" s="18" t="str">
        <f t="array" ref="H567">_xlfn.XLOOKUP(E:E,'Calificación consecuencia'!B:B,'Calificación consecuencia'!K:K,"No encontrada",2)</f>
        <v>Baja</v>
      </c>
      <c r="I567" s="9" t="s">
        <v>425</v>
      </c>
      <c r="J567" s="20" t="s">
        <v>116</v>
      </c>
      <c r="K567" s="21"/>
      <c r="L567" s="21"/>
      <c r="M567" s="20" t="s">
        <v>116</v>
      </c>
      <c r="N567" s="20" t="s">
        <v>116</v>
      </c>
      <c r="O567" s="21"/>
      <c r="P567" s="21"/>
      <c r="Q567" s="21"/>
      <c r="R567" s="21"/>
      <c r="S567" s="21"/>
      <c r="T567" s="21"/>
      <c r="U567" s="9" t="s">
        <v>195</v>
      </c>
      <c r="V567" s="9" t="s">
        <v>196</v>
      </c>
    </row>
    <row r="568" ht="14.25" customHeight="1">
      <c r="A568" s="27" t="s">
        <v>1150</v>
      </c>
      <c r="B568" s="27" t="s">
        <v>1149</v>
      </c>
      <c r="C568" s="27" t="str">
        <f t="array" ref="C568">INDEX(Funciones!$G$2:$G$372,MATCH($A568,Funciones!$B$2:$B$372,0))</f>
        <v>Inmovilizar la máquina estacionada en pendiente de _____ %</v>
      </c>
      <c r="D568" s="27" t="s">
        <v>4159</v>
      </c>
      <c r="E568" s="27" t="s">
        <v>3327</v>
      </c>
      <c r="F568" s="27" t="s">
        <v>4160</v>
      </c>
      <c r="G568" s="27" t="s">
        <v>4161</v>
      </c>
      <c r="H568" s="18" t="str">
        <f t="array" ref="H568">_xlfn.XLOOKUP(E:E,'Calificación consecuencia'!B:B,'Calificación consecuencia'!K:K,"No encontrada",2)</f>
        <v>Baja</v>
      </c>
      <c r="I568" s="27" t="s">
        <v>425</v>
      </c>
      <c r="J568" s="30" t="s">
        <v>116</v>
      </c>
      <c r="K568" s="21"/>
      <c r="L568" s="21"/>
      <c r="M568" s="30" t="s">
        <v>116</v>
      </c>
      <c r="N568" s="30" t="s">
        <v>116</v>
      </c>
      <c r="O568" s="21"/>
      <c r="P568" s="21"/>
      <c r="Q568" s="21"/>
      <c r="R568" s="21"/>
      <c r="S568" s="21"/>
      <c r="T568" s="21"/>
      <c r="U568" s="27" t="s">
        <v>195</v>
      </c>
      <c r="V568" s="27" t="s">
        <v>196</v>
      </c>
    </row>
    <row r="569" ht="14.25" customHeight="1">
      <c r="A569" s="27" t="s">
        <v>1150</v>
      </c>
      <c r="B569" s="27" t="s">
        <v>1149</v>
      </c>
      <c r="C569" s="27" t="str">
        <f t="array" ref="C569">INDEX(Funciones!$G$2:$G$372,MATCH($A569,Funciones!$B$2:$B$372,0))</f>
        <v>Inmovilizar la máquina estacionada en pendiente de _____ %</v>
      </c>
      <c r="D569" s="27" t="s">
        <v>4159</v>
      </c>
      <c r="E569" s="27" t="s">
        <v>3328</v>
      </c>
      <c r="F569" s="27" t="s">
        <v>4162</v>
      </c>
      <c r="G569" s="27" t="s">
        <v>4163</v>
      </c>
      <c r="H569" s="18" t="str">
        <f t="array" ref="H569">_xlfn.XLOOKUP(E:E,'Calificación consecuencia'!B:B,'Calificación consecuencia'!K:K,"No encontrada",2)</f>
        <v>Media</v>
      </c>
      <c r="I569" s="27" t="s">
        <v>425</v>
      </c>
      <c r="J569" s="30" t="s">
        <v>116</v>
      </c>
      <c r="K569" s="21"/>
      <c r="L569" s="21"/>
      <c r="M569" s="30" t="s">
        <v>116</v>
      </c>
      <c r="N569" s="30" t="s">
        <v>116</v>
      </c>
      <c r="O569" s="21"/>
      <c r="P569" s="21"/>
      <c r="Q569" s="21"/>
      <c r="R569" s="21"/>
      <c r="S569" s="21"/>
      <c r="T569" s="21"/>
      <c r="U569" s="27" t="s">
        <v>195</v>
      </c>
      <c r="V569" s="27" t="s">
        <v>196</v>
      </c>
    </row>
    <row r="570" ht="14.25" customHeight="1">
      <c r="A570" s="27" t="s">
        <v>1150</v>
      </c>
      <c r="B570" s="27" t="s">
        <v>1149</v>
      </c>
      <c r="C570" s="27" t="str">
        <f t="array" ref="C570">INDEX(Funciones!$G$2:$G$372,MATCH($A570,Funciones!$B$2:$B$372,0))</f>
        <v>Inmovilizar la máquina estacionada en pendiente de _____ %</v>
      </c>
      <c r="D570" s="27" t="s">
        <v>4164</v>
      </c>
      <c r="E570" s="27" t="s">
        <v>590</v>
      </c>
      <c r="F570" s="27" t="s">
        <v>4165</v>
      </c>
      <c r="G570" s="27" t="s">
        <v>4166</v>
      </c>
      <c r="H570" s="18" t="str">
        <f t="array" ref="H570">_xlfn.XLOOKUP(E:E,'Calificación consecuencia'!B:B,'Calificación consecuencia'!K:K,"No encontrada",2)</f>
        <v>Baja</v>
      </c>
      <c r="I570" s="27" t="s">
        <v>1351</v>
      </c>
      <c r="J570" s="30" t="s">
        <v>116</v>
      </c>
      <c r="K570" s="21"/>
      <c r="L570" s="21"/>
      <c r="M570" s="30" t="s">
        <v>116</v>
      </c>
      <c r="N570" s="30" t="s">
        <v>116</v>
      </c>
      <c r="O570" s="21"/>
      <c r="P570" s="21"/>
      <c r="Q570" s="21"/>
      <c r="R570" s="21"/>
      <c r="S570" s="21"/>
      <c r="T570" s="21"/>
      <c r="U570" s="27" t="s">
        <v>195</v>
      </c>
      <c r="V570" s="27" t="s">
        <v>196</v>
      </c>
    </row>
    <row r="571" ht="14.25" customHeight="1">
      <c r="A571" s="9" t="s">
        <v>1164</v>
      </c>
      <c r="B571" s="9" t="s">
        <v>1163</v>
      </c>
      <c r="C571" s="9" t="str">
        <f t="array" ref="C571">INDEX(Funciones!$G$2:$G$372,MATCH($A571,Funciones!$B$2:$B$372,0))</f>
        <v>Frenar la locomotora en una distancia máxima de _____ m</v>
      </c>
      <c r="D571" s="9" t="s">
        <v>4167</v>
      </c>
      <c r="E571" s="9" t="s">
        <v>3331</v>
      </c>
      <c r="F571" s="9" t="s">
        <v>4168</v>
      </c>
      <c r="G571" s="9" t="s">
        <v>4169</v>
      </c>
      <c r="H571" s="18" t="str">
        <f t="array" ref="H571">_xlfn.XLOOKUP(E:E,'Calificación consecuencia'!B:B,'Calificación consecuencia'!K:K,"No encontrada",2)</f>
        <v>Media</v>
      </c>
      <c r="I571" s="9" t="s">
        <v>425</v>
      </c>
      <c r="J571" s="20" t="s">
        <v>116</v>
      </c>
      <c r="K571" s="21"/>
      <c r="L571" s="21"/>
      <c r="M571" s="20" t="s">
        <v>116</v>
      </c>
      <c r="N571" s="20" t="s">
        <v>116</v>
      </c>
      <c r="O571" s="21"/>
      <c r="P571" s="21"/>
      <c r="Q571" s="21"/>
      <c r="R571" s="21"/>
      <c r="S571" s="21"/>
      <c r="T571" s="21"/>
      <c r="U571" s="9" t="s">
        <v>195</v>
      </c>
      <c r="V571" s="9" t="s">
        <v>196</v>
      </c>
    </row>
    <row r="572" ht="14.25" customHeight="1">
      <c r="A572" s="9" t="s">
        <v>1164</v>
      </c>
      <c r="B572" s="9" t="s">
        <v>1163</v>
      </c>
      <c r="C572" s="9" t="str">
        <f t="array" ref="C572">INDEX(Funciones!$G$2:$G$372,MATCH($A572,Funciones!$B$2:$B$372,0))</f>
        <v>Frenar la locomotora en una distancia máxima de _____ m</v>
      </c>
      <c r="D572" s="9" t="s">
        <v>4167</v>
      </c>
      <c r="E572" s="9" t="s">
        <v>3332</v>
      </c>
      <c r="F572" s="9" t="s">
        <v>4170</v>
      </c>
      <c r="G572" s="9" t="s">
        <v>4169</v>
      </c>
      <c r="H572" s="18" t="str">
        <f t="array" ref="H572">_xlfn.XLOOKUP(E:E,'Calificación consecuencia'!B:B,'Calificación consecuencia'!K:K,"No encontrada",2)</f>
        <v>Media</v>
      </c>
      <c r="I572" s="9" t="s">
        <v>425</v>
      </c>
      <c r="J572" s="20" t="s">
        <v>116</v>
      </c>
      <c r="K572" s="21"/>
      <c r="L572" s="21"/>
      <c r="M572" s="20" t="s">
        <v>116</v>
      </c>
      <c r="N572" s="20" t="s">
        <v>116</v>
      </c>
      <c r="O572" s="21"/>
      <c r="P572" s="21"/>
      <c r="Q572" s="21"/>
      <c r="R572" s="21"/>
      <c r="S572" s="21"/>
      <c r="T572" s="21"/>
      <c r="U572" s="9" t="s">
        <v>195</v>
      </c>
      <c r="V572" s="9" t="s">
        <v>196</v>
      </c>
    </row>
    <row r="573" ht="14.25" customHeight="1">
      <c r="A573" s="9" t="s">
        <v>1164</v>
      </c>
      <c r="B573" s="9" t="s">
        <v>1163</v>
      </c>
      <c r="C573" s="9" t="str">
        <f t="array" ref="C573">INDEX(Funciones!$G$2:$G$372,MATCH($A573,Funciones!$B$2:$B$372,0))</f>
        <v>Frenar la locomotora en una distancia máxima de _____ m</v>
      </c>
      <c r="D573" s="9" t="s">
        <v>4171</v>
      </c>
      <c r="E573" s="9" t="s">
        <v>3333</v>
      </c>
      <c r="F573" s="9" t="s">
        <v>4172</v>
      </c>
      <c r="G573" s="9" t="s">
        <v>4173</v>
      </c>
      <c r="H573" s="18" t="str">
        <f t="array" ref="H573">_xlfn.XLOOKUP(E:E,'Calificación consecuencia'!B:B,'Calificación consecuencia'!K:K,"No encontrada",2)</f>
        <v>Baja</v>
      </c>
      <c r="I573" s="9" t="s">
        <v>425</v>
      </c>
      <c r="J573" s="20" t="s">
        <v>116</v>
      </c>
      <c r="K573" s="21"/>
      <c r="L573" s="21"/>
      <c r="M573" s="20" t="s">
        <v>116</v>
      </c>
      <c r="N573" s="20" t="s">
        <v>116</v>
      </c>
      <c r="O573" s="21"/>
      <c r="P573" s="21"/>
      <c r="Q573" s="21"/>
      <c r="R573" s="21"/>
      <c r="S573" s="21"/>
      <c r="T573" s="21"/>
      <c r="U573" s="9" t="s">
        <v>195</v>
      </c>
      <c r="V573" s="9" t="s">
        <v>196</v>
      </c>
    </row>
    <row r="574" ht="14.25" customHeight="1">
      <c r="A574" s="9" t="s">
        <v>1164</v>
      </c>
      <c r="B574" s="9" t="s">
        <v>1163</v>
      </c>
      <c r="C574" s="9" t="str">
        <f t="array" ref="C574">INDEX(Funciones!$G$2:$G$372,MATCH($A574,Funciones!$B$2:$B$372,0))</f>
        <v>Frenar la locomotora en una distancia máxima de _____ m</v>
      </c>
      <c r="D574" s="9" t="s">
        <v>4171</v>
      </c>
      <c r="E574" s="9" t="s">
        <v>1259</v>
      </c>
      <c r="F574" s="9" t="s">
        <v>4174</v>
      </c>
      <c r="G574" s="9" t="s">
        <v>3323</v>
      </c>
      <c r="H574" s="18" t="str">
        <f t="array" ref="H574">_xlfn.XLOOKUP(E:E,'Calificación consecuencia'!B:B,'Calificación consecuencia'!K:K,"No encontrada",2)</f>
        <v>Baja</v>
      </c>
      <c r="I574" s="9" t="s">
        <v>425</v>
      </c>
      <c r="J574" s="20" t="s">
        <v>116</v>
      </c>
      <c r="K574" s="21"/>
      <c r="L574" s="21"/>
      <c r="M574" s="20" t="s">
        <v>116</v>
      </c>
      <c r="N574" s="20" t="s">
        <v>116</v>
      </c>
      <c r="O574" s="21"/>
      <c r="P574" s="21"/>
      <c r="Q574" s="21"/>
      <c r="R574" s="21"/>
      <c r="S574" s="21"/>
      <c r="T574" s="21"/>
      <c r="U574" s="9" t="s">
        <v>195</v>
      </c>
      <c r="V574" s="9" t="s">
        <v>196</v>
      </c>
    </row>
    <row r="575" ht="14.25" customHeight="1">
      <c r="A575" s="9" t="s">
        <v>1164</v>
      </c>
      <c r="B575" s="9" t="s">
        <v>1163</v>
      </c>
      <c r="C575" s="9" t="str">
        <f t="array" ref="C575">INDEX(Funciones!$G$2:$G$372,MATCH($A575,Funciones!$B$2:$B$372,0))</f>
        <v>Frenar la locomotora en una distancia máxima de _____ m</v>
      </c>
      <c r="D575" s="9" t="s">
        <v>4175</v>
      </c>
      <c r="E575" s="9" t="s">
        <v>3337</v>
      </c>
      <c r="F575" s="9" t="s">
        <v>4176</v>
      </c>
      <c r="G575" s="9" t="s">
        <v>4177</v>
      </c>
      <c r="H575" s="18" t="str">
        <f t="array" ref="H575">_xlfn.XLOOKUP(E:E,'Calificación consecuencia'!B:B,'Calificación consecuencia'!K:K,"No encontrada",2)</f>
        <v>Media</v>
      </c>
      <c r="I575" s="9" t="s">
        <v>425</v>
      </c>
      <c r="J575" s="20" t="s">
        <v>116</v>
      </c>
      <c r="K575" s="21"/>
      <c r="L575" s="21"/>
      <c r="M575" s="20" t="s">
        <v>116</v>
      </c>
      <c r="N575" s="20" t="s">
        <v>116</v>
      </c>
      <c r="O575" s="21"/>
      <c r="P575" s="21"/>
      <c r="Q575" s="21"/>
      <c r="R575" s="21"/>
      <c r="S575" s="21"/>
      <c r="T575" s="21"/>
      <c r="U575" s="9" t="s">
        <v>195</v>
      </c>
      <c r="V575" s="9" t="s">
        <v>196</v>
      </c>
    </row>
    <row r="576" ht="14.25" customHeight="1">
      <c r="A576" s="27" t="s">
        <v>1179</v>
      </c>
      <c r="B576" s="27" t="s">
        <v>1178</v>
      </c>
      <c r="C576" s="27" t="str">
        <f t="array" ref="C576">INDEX(Funciones!$G$2:$G$372,MATCH($A576,Funciones!$B$2:$B$372,0))</f>
        <v>Frenar el tren de trabajo en una distancia máxima de _____ m</v>
      </c>
      <c r="D576" s="27" t="s">
        <v>4178</v>
      </c>
      <c r="E576" s="27" t="s">
        <v>3338</v>
      </c>
      <c r="F576" s="27" t="s">
        <v>4179</v>
      </c>
      <c r="G576" s="27" t="s">
        <v>4180</v>
      </c>
      <c r="H576" s="18" t="str">
        <f t="array" ref="H576">_xlfn.XLOOKUP(E:E,'Calificación consecuencia'!B:B,'Calificación consecuencia'!K:K,"No encontrada",2)</f>
        <v>Media</v>
      </c>
      <c r="I576" s="27" t="s">
        <v>425</v>
      </c>
      <c r="J576" s="30" t="s">
        <v>116</v>
      </c>
      <c r="K576" s="21"/>
      <c r="L576" s="21"/>
      <c r="M576" s="30" t="s">
        <v>116</v>
      </c>
      <c r="N576" s="30" t="s">
        <v>116</v>
      </c>
      <c r="O576" s="21"/>
      <c r="P576" s="21"/>
      <c r="Q576" s="21"/>
      <c r="R576" s="21"/>
      <c r="S576" s="21"/>
      <c r="T576" s="21"/>
      <c r="U576" s="27" t="s">
        <v>195</v>
      </c>
      <c r="V576" s="27" t="s">
        <v>196</v>
      </c>
    </row>
    <row r="577" ht="14.25" customHeight="1">
      <c r="A577" s="27" t="s">
        <v>1179</v>
      </c>
      <c r="B577" s="27" t="s">
        <v>1178</v>
      </c>
      <c r="C577" s="27" t="str">
        <f t="array" ref="C577">INDEX(Funciones!$G$2:$G$372,MATCH($A577,Funciones!$B$2:$B$372,0))</f>
        <v>Frenar el tren de trabajo en una distancia máxima de _____ m</v>
      </c>
      <c r="D577" s="27" t="s">
        <v>4178</v>
      </c>
      <c r="E577" s="27" t="s">
        <v>3339</v>
      </c>
      <c r="F577" s="27" t="s">
        <v>4181</v>
      </c>
      <c r="G577" s="27" t="s">
        <v>857</v>
      </c>
      <c r="H577" s="18" t="str">
        <f t="array" ref="H577">_xlfn.XLOOKUP(E:E,'Calificación consecuencia'!B:B,'Calificación consecuencia'!K:K,"No encontrada",2)</f>
        <v>Media</v>
      </c>
      <c r="I577" s="27" t="s">
        <v>425</v>
      </c>
      <c r="J577" s="30" t="s">
        <v>116</v>
      </c>
      <c r="K577" s="21"/>
      <c r="L577" s="21"/>
      <c r="M577" s="30" t="s">
        <v>116</v>
      </c>
      <c r="N577" s="30" t="s">
        <v>116</v>
      </c>
      <c r="O577" s="21"/>
      <c r="P577" s="21"/>
      <c r="Q577" s="21"/>
      <c r="R577" s="21"/>
      <c r="S577" s="21"/>
      <c r="T577" s="21"/>
      <c r="U577" s="27" t="s">
        <v>195</v>
      </c>
      <c r="V577" s="27" t="s">
        <v>196</v>
      </c>
    </row>
    <row r="578" ht="14.25" customHeight="1">
      <c r="A578" s="27" t="s">
        <v>1179</v>
      </c>
      <c r="B578" s="27" t="s">
        <v>1178</v>
      </c>
      <c r="C578" s="27" t="str">
        <f t="array" ref="C578">INDEX(Funciones!$G$2:$G$372,MATCH($A578,Funciones!$B$2:$B$372,0))</f>
        <v>Frenar el tren de trabajo en una distancia máxima de _____ m</v>
      </c>
      <c r="D578" s="27" t="s">
        <v>4182</v>
      </c>
      <c r="E578" s="27" t="s">
        <v>3342</v>
      </c>
      <c r="F578" s="27" t="s">
        <v>4183</v>
      </c>
      <c r="G578" s="27" t="s">
        <v>4184</v>
      </c>
      <c r="H578" s="18" t="str">
        <f t="array" ref="H578">_xlfn.XLOOKUP(E:E,'Calificación consecuencia'!B:B,'Calificación consecuencia'!K:K,"No encontrada",2)</f>
        <v>Baja</v>
      </c>
      <c r="I578" s="27" t="s">
        <v>425</v>
      </c>
      <c r="J578" s="30" t="s">
        <v>116</v>
      </c>
      <c r="K578" s="21"/>
      <c r="L578" s="21"/>
      <c r="M578" s="30" t="s">
        <v>116</v>
      </c>
      <c r="N578" s="30" t="s">
        <v>116</v>
      </c>
      <c r="O578" s="21"/>
      <c r="P578" s="21"/>
      <c r="Q578" s="21"/>
      <c r="R578" s="21"/>
      <c r="S578" s="21"/>
      <c r="T578" s="21"/>
      <c r="U578" s="27" t="s">
        <v>195</v>
      </c>
      <c r="V578" s="27" t="s">
        <v>196</v>
      </c>
    </row>
    <row r="579" ht="14.25" customHeight="1">
      <c r="A579" s="27" t="s">
        <v>1179</v>
      </c>
      <c r="B579" s="27" t="s">
        <v>1178</v>
      </c>
      <c r="C579" s="27" t="str">
        <f t="array" ref="C579">INDEX(Funciones!$G$2:$G$372,MATCH($A579,Funciones!$B$2:$B$372,0))</f>
        <v>Frenar el tren de trabajo en una distancia máxima de _____ m</v>
      </c>
      <c r="D579" s="27" t="s">
        <v>4182</v>
      </c>
      <c r="E579" s="27" t="s">
        <v>3343</v>
      </c>
      <c r="F579" s="27" t="s">
        <v>4185</v>
      </c>
      <c r="G579" s="27" t="s">
        <v>4186</v>
      </c>
      <c r="H579" s="18" t="str">
        <f t="array" ref="H579">_xlfn.XLOOKUP(E:E,'Calificación consecuencia'!B:B,'Calificación consecuencia'!K:K,"No encontrada",2)</f>
        <v>Media</v>
      </c>
      <c r="I579" s="27" t="s">
        <v>425</v>
      </c>
      <c r="J579" s="30" t="s">
        <v>116</v>
      </c>
      <c r="K579" s="21"/>
      <c r="L579" s="21"/>
      <c r="M579" s="30" t="s">
        <v>116</v>
      </c>
      <c r="N579" s="30" t="s">
        <v>116</v>
      </c>
      <c r="O579" s="21"/>
      <c r="P579" s="21"/>
      <c r="Q579" s="21"/>
      <c r="R579" s="21"/>
      <c r="S579" s="21"/>
      <c r="T579" s="21"/>
      <c r="U579" s="27" t="s">
        <v>195</v>
      </c>
      <c r="V579" s="27" t="s">
        <v>196</v>
      </c>
    </row>
    <row r="580" ht="14.25" customHeight="1">
      <c r="A580" s="9" t="s">
        <v>1190</v>
      </c>
      <c r="B580" s="9" t="s">
        <v>1189</v>
      </c>
      <c r="C580" s="9" t="str">
        <f t="array" ref="C580">INDEX(Funciones!$G$2:$G$372,MATCH($A580,Funciones!$B$2:$B$372,0))</f>
        <v>Transmitir la fuerza a zapatas con juego de 5 a 7 mm</v>
      </c>
      <c r="D580" s="9" t="s">
        <v>3580</v>
      </c>
      <c r="E580" s="9" t="s">
        <v>1744</v>
      </c>
      <c r="F580" s="9" t="s">
        <v>3581</v>
      </c>
      <c r="G580" s="9" t="s">
        <v>3582</v>
      </c>
      <c r="H580" s="18" t="str">
        <f t="array" ref="H580">_xlfn.XLOOKUP(E:E,'Calificación consecuencia'!B:B,'Calificación consecuencia'!K:K,"No encontrada",2)</f>
        <v>Baja</v>
      </c>
      <c r="I580" s="9" t="s">
        <v>425</v>
      </c>
      <c r="J580" s="20" t="s">
        <v>116</v>
      </c>
      <c r="K580" s="21"/>
      <c r="L580" s="21"/>
      <c r="M580" s="20" t="s">
        <v>116</v>
      </c>
      <c r="N580" s="20" t="s">
        <v>116</v>
      </c>
      <c r="O580" s="21"/>
      <c r="P580" s="21"/>
      <c r="Q580" s="21"/>
      <c r="R580" s="21"/>
      <c r="S580" s="21"/>
      <c r="T580" s="21"/>
      <c r="U580" s="9" t="s">
        <v>195</v>
      </c>
      <c r="V580" s="9" t="s">
        <v>196</v>
      </c>
    </row>
    <row r="581" ht="14.25" customHeight="1">
      <c r="A581" s="9" t="s">
        <v>1190</v>
      </c>
      <c r="B581" s="9" t="s">
        <v>1189</v>
      </c>
      <c r="C581" s="9" t="str">
        <f t="array" ref="C581">INDEX(Funciones!$G$2:$G$372,MATCH($A581,Funciones!$B$2:$B$372,0))</f>
        <v>Transmitir la fuerza a zapatas con juego de 5 a 7 mm</v>
      </c>
      <c r="D581" s="9" t="s">
        <v>3583</v>
      </c>
      <c r="E581" s="9" t="s">
        <v>1749</v>
      </c>
      <c r="F581" s="9" t="s">
        <v>3584</v>
      </c>
      <c r="G581" s="9" t="s">
        <v>3585</v>
      </c>
      <c r="H581" s="18" t="str">
        <f t="array" ref="H581">_xlfn.XLOOKUP(E:E,'Calificación consecuencia'!B:B,'Calificación consecuencia'!K:K,"No encontrada",2)</f>
        <v>Baja</v>
      </c>
      <c r="I581" s="9" t="s">
        <v>2106</v>
      </c>
      <c r="J581" s="20" t="s">
        <v>116</v>
      </c>
      <c r="K581" s="21"/>
      <c r="L581" s="21"/>
      <c r="M581" s="22" t="s">
        <v>120</v>
      </c>
      <c r="N581" s="21"/>
      <c r="O581" s="22" t="s">
        <v>120</v>
      </c>
      <c r="P581" s="21"/>
      <c r="Q581" s="21"/>
      <c r="R581" s="21"/>
      <c r="S581" s="22" t="s">
        <v>120</v>
      </c>
      <c r="T581" s="21"/>
      <c r="U581" s="9" t="s">
        <v>1680</v>
      </c>
      <c r="V581" s="9" t="s">
        <v>1408</v>
      </c>
    </row>
    <row r="582" ht="14.25" customHeight="1">
      <c r="A582" s="9" t="s">
        <v>1190</v>
      </c>
      <c r="B582" s="9" t="s">
        <v>1189</v>
      </c>
      <c r="C582" s="9" t="str">
        <f t="array" ref="C582">INDEX(Funciones!$G$2:$G$372,MATCH($A582,Funciones!$B$2:$B$372,0))</f>
        <v>Transmitir la fuerza a zapatas con juego de 5 a 7 mm</v>
      </c>
      <c r="D582" s="9" t="s">
        <v>3586</v>
      </c>
      <c r="E582" s="9" t="s">
        <v>1751</v>
      </c>
      <c r="F582" s="9" t="s">
        <v>3587</v>
      </c>
      <c r="G582" s="9" t="s">
        <v>3588</v>
      </c>
      <c r="H582" s="18" t="str">
        <f t="array" ref="H582">_xlfn.XLOOKUP(E:E,'Calificación consecuencia'!B:B,'Calificación consecuencia'!K:K,"No encontrada",2)</f>
        <v>Baja</v>
      </c>
      <c r="I582" s="9" t="s">
        <v>1351</v>
      </c>
      <c r="J582" s="20" t="s">
        <v>116</v>
      </c>
      <c r="K582" s="21"/>
      <c r="L582" s="21"/>
      <c r="M582" s="20" t="s">
        <v>116</v>
      </c>
      <c r="N582" s="20" t="s">
        <v>116</v>
      </c>
      <c r="O582" s="21"/>
      <c r="P582" s="21"/>
      <c r="Q582" s="21"/>
      <c r="R582" s="21"/>
      <c r="S582" s="21"/>
      <c r="T582" s="21"/>
      <c r="U582" s="9" t="s">
        <v>195</v>
      </c>
      <c r="V582" s="9" t="s">
        <v>196</v>
      </c>
    </row>
    <row r="583" ht="14.25" customHeight="1">
      <c r="A583" s="9" t="s">
        <v>1190</v>
      </c>
      <c r="B583" s="9" t="s">
        <v>1189</v>
      </c>
      <c r="C583" s="9" t="str">
        <f t="array" ref="C583">INDEX(Funciones!$G$2:$G$372,MATCH($A583,Funciones!$B$2:$B$372,0))</f>
        <v>Transmitir la fuerza a zapatas con juego de 5 a 7 mm</v>
      </c>
      <c r="D583" s="9" t="s">
        <v>3586</v>
      </c>
      <c r="E583" s="9" t="s">
        <v>1753</v>
      </c>
      <c r="F583" s="9" t="s">
        <v>3589</v>
      </c>
      <c r="G583" s="9" t="s">
        <v>940</v>
      </c>
      <c r="H583" s="18" t="str">
        <f t="array" ref="H583">_xlfn.XLOOKUP(E:E,'Calificación consecuencia'!B:B,'Calificación consecuencia'!K:K,"No encontrada",2)</f>
        <v>Baja</v>
      </c>
      <c r="I583" s="9" t="s">
        <v>425</v>
      </c>
      <c r="J583" s="20" t="s">
        <v>116</v>
      </c>
      <c r="K583" s="21"/>
      <c r="L583" s="21"/>
      <c r="M583" s="20" t="s">
        <v>116</v>
      </c>
      <c r="N583" s="20" t="s">
        <v>116</v>
      </c>
      <c r="O583" s="21"/>
      <c r="P583" s="21"/>
      <c r="Q583" s="21"/>
      <c r="R583" s="21"/>
      <c r="S583" s="21"/>
      <c r="T583" s="21"/>
      <c r="U583" s="9" t="s">
        <v>195</v>
      </c>
      <c r="V583" s="9" t="s">
        <v>196</v>
      </c>
    </row>
    <row r="584" ht="14.25" customHeight="1">
      <c r="A584" s="9" t="s">
        <v>1190</v>
      </c>
      <c r="B584" s="9" t="s">
        <v>1189</v>
      </c>
      <c r="C584" s="9" t="str">
        <f t="array" ref="C584">INDEX(Funciones!$G$2:$G$372,MATCH($A584,Funciones!$B$2:$B$372,0))</f>
        <v>Transmitir la fuerza a zapatas con juego de 5 a 7 mm</v>
      </c>
      <c r="D584" s="9" t="s">
        <v>3586</v>
      </c>
      <c r="E584" s="9" t="s">
        <v>1755</v>
      </c>
      <c r="F584" s="9" t="s">
        <v>3590</v>
      </c>
      <c r="G584" s="9" t="s">
        <v>3591</v>
      </c>
      <c r="H584" s="18" t="str">
        <f t="array" ref="H584">_xlfn.XLOOKUP(E:E,'Calificación consecuencia'!B:B,'Calificación consecuencia'!K:K,"No encontrada",2)</f>
        <v>Media</v>
      </c>
      <c r="I584" s="9" t="s">
        <v>425</v>
      </c>
      <c r="J584" s="20" t="s">
        <v>116</v>
      </c>
      <c r="K584" s="21"/>
      <c r="L584" s="21"/>
      <c r="M584" s="20" t="s">
        <v>116</v>
      </c>
      <c r="N584" s="20" t="s">
        <v>116</v>
      </c>
      <c r="O584" s="21"/>
      <c r="P584" s="21"/>
      <c r="Q584" s="21"/>
      <c r="R584" s="21"/>
      <c r="S584" s="21"/>
      <c r="T584" s="21"/>
      <c r="U584" s="9" t="s">
        <v>195</v>
      </c>
      <c r="V584" s="9" t="s">
        <v>196</v>
      </c>
    </row>
    <row r="585" ht="14.25" customHeight="1">
      <c r="A585" s="27" t="s">
        <v>1198</v>
      </c>
      <c r="B585" s="27" t="s">
        <v>1197</v>
      </c>
      <c r="C585" s="27" t="str">
        <f t="array" ref="C585">INDEX(Funciones!$G$2:$G$372,MATCH($A585,Funciones!$B$2:$B$372,0))</f>
        <v>Entregar potencia mecánica de _____ kW</v>
      </c>
      <c r="D585" s="27" t="s">
        <v>4083</v>
      </c>
      <c r="E585" s="27" t="s">
        <v>1339</v>
      </c>
      <c r="F585" s="27" t="s">
        <v>3995</v>
      </c>
      <c r="G585" s="27" t="s">
        <v>3374</v>
      </c>
      <c r="H585" s="18" t="str">
        <f t="array" ref="H585">_xlfn.XLOOKUP(E:E,'Calificación consecuencia'!B:B,'Calificación consecuencia'!K:K,"No encontrada",2)</f>
        <v>Media</v>
      </c>
      <c r="I585" s="27" t="s">
        <v>1800</v>
      </c>
      <c r="J585" s="30" t="s">
        <v>116</v>
      </c>
      <c r="K585" s="21"/>
      <c r="L585" s="21"/>
      <c r="M585" s="29" t="s">
        <v>120</v>
      </c>
      <c r="N585" s="21"/>
      <c r="O585" s="30" t="s">
        <v>116</v>
      </c>
      <c r="P585" s="30" t="s">
        <v>116</v>
      </c>
      <c r="Q585" s="21"/>
      <c r="R585" s="21"/>
      <c r="S585" s="21"/>
      <c r="T585" s="21"/>
      <c r="U585" s="27" t="s">
        <v>345</v>
      </c>
      <c r="V585" s="27" t="s">
        <v>196</v>
      </c>
    </row>
    <row r="586" ht="14.25" customHeight="1">
      <c r="A586" s="27" t="s">
        <v>1198</v>
      </c>
      <c r="B586" s="27" t="s">
        <v>1197</v>
      </c>
      <c r="C586" s="27" t="str">
        <f t="array" ref="C586">INDEX(Funciones!$G$2:$G$372,MATCH($A586,Funciones!$B$2:$B$372,0))</f>
        <v>Entregar potencia mecánica de _____ kW</v>
      </c>
      <c r="D586" s="27" t="s">
        <v>4083</v>
      </c>
      <c r="E586" s="27" t="s">
        <v>1786</v>
      </c>
      <c r="F586" s="27" t="s">
        <v>3996</v>
      </c>
      <c r="G586" s="27" t="s">
        <v>3378</v>
      </c>
      <c r="H586" s="18" t="str">
        <f t="array" ref="H586">_xlfn.XLOOKUP(E:E,'Calificación consecuencia'!B:B,'Calificación consecuencia'!K:K,"No encontrada",2)</f>
        <v>Baja</v>
      </c>
      <c r="I586" s="27" t="s">
        <v>2106</v>
      </c>
      <c r="J586" s="30" t="s">
        <v>116</v>
      </c>
      <c r="K586" s="21"/>
      <c r="L586" s="21"/>
      <c r="M586" s="29" t="s">
        <v>120</v>
      </c>
      <c r="N586" s="21"/>
      <c r="O586" s="29" t="s">
        <v>120</v>
      </c>
      <c r="P586" s="21"/>
      <c r="Q586" s="21"/>
      <c r="R586" s="21"/>
      <c r="S586" s="29" t="s">
        <v>120</v>
      </c>
      <c r="T586" s="21"/>
      <c r="U586" s="27" t="s">
        <v>1680</v>
      </c>
      <c r="V586" s="27" t="s">
        <v>1408</v>
      </c>
    </row>
    <row r="587" ht="14.25" customHeight="1">
      <c r="A587" s="27" t="s">
        <v>1198</v>
      </c>
      <c r="B587" s="27" t="s">
        <v>1197</v>
      </c>
      <c r="C587" s="27" t="str">
        <f t="array" ref="C587">INDEX(Funciones!$G$2:$G$372,MATCH($A587,Funciones!$B$2:$B$372,0))</f>
        <v>Entregar potencia mecánica de _____ kW</v>
      </c>
      <c r="D587" s="27" t="s">
        <v>4084</v>
      </c>
      <c r="E587" s="27" t="s">
        <v>1350</v>
      </c>
      <c r="F587" s="27" t="s">
        <v>3998</v>
      </c>
      <c r="G587" s="27" t="s">
        <v>3382</v>
      </c>
      <c r="H587" s="18" t="str">
        <f t="array" ref="H587">_xlfn.XLOOKUP(E:E,'Calificación consecuencia'!B:B,'Calificación consecuencia'!K:K,"No encontrada",2)</f>
        <v>Baja</v>
      </c>
      <c r="I587" s="27" t="s">
        <v>2106</v>
      </c>
      <c r="J587" s="30" t="s">
        <v>116</v>
      </c>
      <c r="K587" s="21"/>
      <c r="L587" s="21"/>
      <c r="M587" s="29" t="s">
        <v>120</v>
      </c>
      <c r="N587" s="21"/>
      <c r="O587" s="29" t="s">
        <v>120</v>
      </c>
      <c r="P587" s="21"/>
      <c r="Q587" s="21"/>
      <c r="R587" s="21"/>
      <c r="S587" s="29" t="s">
        <v>120</v>
      </c>
      <c r="T587" s="21"/>
      <c r="U587" s="27" t="s">
        <v>1680</v>
      </c>
      <c r="V587" s="27" t="s">
        <v>1408</v>
      </c>
    </row>
    <row r="588" ht="14.25" customHeight="1">
      <c r="A588" s="27" t="s">
        <v>1198</v>
      </c>
      <c r="B588" s="27" t="s">
        <v>1197</v>
      </c>
      <c r="C588" s="27" t="str">
        <f t="array" ref="C588">INDEX(Funciones!$G$2:$G$372,MATCH($A588,Funciones!$B$2:$B$372,0))</f>
        <v>Entregar potencia mecánica de _____ kW</v>
      </c>
      <c r="D588" s="27" t="s">
        <v>4084</v>
      </c>
      <c r="E588" s="27" t="s">
        <v>1794</v>
      </c>
      <c r="F588" s="27" t="s">
        <v>3999</v>
      </c>
      <c r="G588" s="27" t="s">
        <v>3614</v>
      </c>
      <c r="H588" s="18" t="str">
        <f t="array" ref="H588">_xlfn.XLOOKUP(E:E,'Calificación consecuencia'!B:B,'Calificación consecuencia'!K:K,"No encontrada",2)</f>
        <v>Baja</v>
      </c>
      <c r="I588" s="27" t="s">
        <v>1800</v>
      </c>
      <c r="J588" s="30" t="s">
        <v>116</v>
      </c>
      <c r="K588" s="21"/>
      <c r="L588" s="21"/>
      <c r="M588" s="29" t="s">
        <v>120</v>
      </c>
      <c r="N588" s="21"/>
      <c r="O588" s="30" t="s">
        <v>116</v>
      </c>
      <c r="P588" s="30" t="s">
        <v>116</v>
      </c>
      <c r="Q588" s="21"/>
      <c r="R588" s="21"/>
      <c r="S588" s="21"/>
      <c r="T588" s="21"/>
      <c r="U588" s="27" t="s">
        <v>345</v>
      </c>
      <c r="V588" s="27" t="s">
        <v>196</v>
      </c>
    </row>
    <row r="589" ht="14.25" customHeight="1">
      <c r="A589" s="27" t="s">
        <v>1198</v>
      </c>
      <c r="B589" s="27" t="s">
        <v>1197</v>
      </c>
      <c r="C589" s="27" t="str">
        <f t="array" ref="C589">INDEX(Funciones!$G$2:$G$372,MATCH($A589,Funciones!$B$2:$B$372,0))</f>
        <v>Entregar potencia mecánica de _____ kW</v>
      </c>
      <c r="D589" s="27" t="s">
        <v>4084</v>
      </c>
      <c r="E589" s="27" t="s">
        <v>2376</v>
      </c>
      <c r="F589" s="27" t="s">
        <v>4000</v>
      </c>
      <c r="G589" s="27" t="s">
        <v>1493</v>
      </c>
      <c r="H589" s="18" t="str">
        <f t="array" ref="H589">_xlfn.XLOOKUP(E:E,'Calificación consecuencia'!B:B,'Calificación consecuencia'!K:K,"No encontrada",2)</f>
        <v>Baja</v>
      </c>
      <c r="I589" s="27" t="s">
        <v>2106</v>
      </c>
      <c r="J589" s="30" t="s">
        <v>116</v>
      </c>
      <c r="K589" s="21"/>
      <c r="L589" s="21"/>
      <c r="M589" s="29" t="s">
        <v>120</v>
      </c>
      <c r="N589" s="21"/>
      <c r="O589" s="29" t="s">
        <v>120</v>
      </c>
      <c r="P589" s="21"/>
      <c r="Q589" s="21"/>
      <c r="R589" s="21"/>
      <c r="S589" s="29" t="s">
        <v>120</v>
      </c>
      <c r="T589" s="21"/>
      <c r="U589" s="27" t="s">
        <v>1680</v>
      </c>
      <c r="V589" s="27" t="s">
        <v>1408</v>
      </c>
    </row>
    <row r="590" ht="14.25" customHeight="1">
      <c r="A590" s="9" t="s">
        <v>1206</v>
      </c>
      <c r="B590" s="9" t="s">
        <v>1205</v>
      </c>
      <c r="C590" s="9" t="str">
        <f t="array" ref="C590">INDEX(Funciones!$G$2:$G$372,MATCH($A590,Funciones!$B$2:$B$372,0))</f>
        <v>Accionar los cambios con presión de mando de _____ bar</v>
      </c>
      <c r="D590" s="9" t="s">
        <v>4187</v>
      </c>
      <c r="E590" s="9" t="s">
        <v>3352</v>
      </c>
      <c r="F590" s="9" t="s">
        <v>4188</v>
      </c>
      <c r="G590" s="9" t="s">
        <v>4189</v>
      </c>
      <c r="H590" s="18" t="str">
        <f t="array" ref="H590">_xlfn.XLOOKUP(E:E,'Calificación consecuencia'!B:B,'Calificación consecuencia'!K:K,"No encontrada",2)</f>
        <v>Baja</v>
      </c>
      <c r="I590" s="9" t="s">
        <v>1800</v>
      </c>
      <c r="J590" s="20" t="s">
        <v>116</v>
      </c>
      <c r="K590" s="21"/>
      <c r="L590" s="21"/>
      <c r="M590" s="22" t="s">
        <v>120</v>
      </c>
      <c r="N590" s="21"/>
      <c r="O590" s="20" t="s">
        <v>116</v>
      </c>
      <c r="P590" s="20" t="s">
        <v>116</v>
      </c>
      <c r="Q590" s="21"/>
      <c r="R590" s="21"/>
      <c r="S590" s="21"/>
      <c r="T590" s="21"/>
      <c r="U590" s="9" t="s">
        <v>345</v>
      </c>
      <c r="V590" s="9" t="s">
        <v>196</v>
      </c>
    </row>
    <row r="591" ht="14.25" customHeight="1">
      <c r="A591" s="9" t="s">
        <v>1206</v>
      </c>
      <c r="B591" s="9" t="s">
        <v>1205</v>
      </c>
      <c r="C591" s="9" t="str">
        <f t="array" ref="C591">INDEX(Funciones!$G$2:$G$372,MATCH($A591,Funciones!$B$2:$B$372,0))</f>
        <v>Accionar los cambios con presión de mando de _____ bar</v>
      </c>
      <c r="D591" s="9" t="s">
        <v>4187</v>
      </c>
      <c r="E591" s="9" t="s">
        <v>3353</v>
      </c>
      <c r="F591" s="9" t="s">
        <v>4190</v>
      </c>
      <c r="G591" s="9" t="s">
        <v>4191</v>
      </c>
      <c r="H591" s="18" t="str">
        <f t="array" ref="H591">_xlfn.XLOOKUP(E:E,'Calificación consecuencia'!B:B,'Calificación consecuencia'!K:K,"No encontrada",2)</f>
        <v>Baja</v>
      </c>
      <c r="I591" s="9" t="s">
        <v>2106</v>
      </c>
      <c r="J591" s="20" t="s">
        <v>116</v>
      </c>
      <c r="K591" s="21"/>
      <c r="L591" s="21"/>
      <c r="M591" s="22" t="s">
        <v>120</v>
      </c>
      <c r="N591" s="21"/>
      <c r="O591" s="22" t="s">
        <v>120</v>
      </c>
      <c r="P591" s="21"/>
      <c r="Q591" s="21"/>
      <c r="R591" s="21"/>
      <c r="S591" s="22" t="s">
        <v>120</v>
      </c>
      <c r="T591" s="21"/>
      <c r="U591" s="9" t="s">
        <v>1680</v>
      </c>
      <c r="V591" s="9" t="s">
        <v>1408</v>
      </c>
    </row>
    <row r="592" ht="14.25" customHeight="1">
      <c r="A592" s="9" t="s">
        <v>1206</v>
      </c>
      <c r="B592" s="9" t="s">
        <v>1205</v>
      </c>
      <c r="C592" s="9" t="str">
        <f t="array" ref="C592">INDEX(Funciones!$G$2:$G$372,MATCH($A592,Funciones!$B$2:$B$372,0))</f>
        <v>Accionar los cambios con presión de mando de _____ bar</v>
      </c>
      <c r="D592" s="9" t="s">
        <v>4187</v>
      </c>
      <c r="E592" s="9" t="s">
        <v>3354</v>
      </c>
      <c r="F592" s="9" t="s">
        <v>4192</v>
      </c>
      <c r="G592" s="9" t="s">
        <v>4193</v>
      </c>
      <c r="H592" s="18" t="str">
        <f t="array" ref="H592">_xlfn.XLOOKUP(E:E,'Calificación consecuencia'!B:B,'Calificación consecuencia'!K:K,"No encontrada",2)</f>
        <v>Baja</v>
      </c>
      <c r="I592" s="9" t="s">
        <v>2106</v>
      </c>
      <c r="J592" s="20" t="s">
        <v>116</v>
      </c>
      <c r="K592" s="21"/>
      <c r="L592" s="21"/>
      <c r="M592" s="22" t="s">
        <v>120</v>
      </c>
      <c r="N592" s="21"/>
      <c r="O592" s="22" t="s">
        <v>120</v>
      </c>
      <c r="P592" s="21"/>
      <c r="Q592" s="21"/>
      <c r="R592" s="21"/>
      <c r="S592" s="22" t="s">
        <v>120</v>
      </c>
      <c r="T592" s="21"/>
      <c r="U592" s="9" t="s">
        <v>1680</v>
      </c>
      <c r="V592" s="9" t="s">
        <v>1408</v>
      </c>
    </row>
    <row r="593" ht="14.25" customHeight="1">
      <c r="A593" s="9" t="s">
        <v>1206</v>
      </c>
      <c r="B593" s="9" t="s">
        <v>1205</v>
      </c>
      <c r="C593" s="9" t="str">
        <f t="array" ref="C593">INDEX(Funciones!$G$2:$G$372,MATCH($A593,Funciones!$B$2:$B$372,0))</f>
        <v>Accionar los cambios con presión de mando de _____ bar</v>
      </c>
      <c r="D593" s="9" t="s">
        <v>4194</v>
      </c>
      <c r="E593" s="9" t="s">
        <v>3355</v>
      </c>
      <c r="F593" s="9" t="s">
        <v>4195</v>
      </c>
      <c r="G593" s="9" t="s">
        <v>4196</v>
      </c>
      <c r="H593" s="18" t="str">
        <f t="array" ref="H593">_xlfn.XLOOKUP(E:E,'Calificación consecuencia'!B:B,'Calificación consecuencia'!K:K,"No encontrada",2)</f>
        <v>Baja</v>
      </c>
      <c r="I593" s="9" t="s">
        <v>2106</v>
      </c>
      <c r="J593" s="20" t="s">
        <v>116</v>
      </c>
      <c r="K593" s="21"/>
      <c r="L593" s="21"/>
      <c r="M593" s="22" t="s">
        <v>120</v>
      </c>
      <c r="N593" s="21"/>
      <c r="O593" s="22" t="s">
        <v>120</v>
      </c>
      <c r="P593" s="21"/>
      <c r="Q593" s="21"/>
      <c r="R593" s="21"/>
      <c r="S593" s="22" t="s">
        <v>120</v>
      </c>
      <c r="T593" s="21"/>
      <c r="U593" s="9" t="s">
        <v>1680</v>
      </c>
      <c r="V593" s="9" t="s">
        <v>1408</v>
      </c>
    </row>
    <row r="594" ht="14.25" customHeight="1">
      <c r="A594" s="27" t="s">
        <v>1221</v>
      </c>
      <c r="B594" s="27" t="s">
        <v>1220</v>
      </c>
      <c r="C594" s="27" t="str">
        <f t="array" ref="C594">INDEX(Funciones!$G$2:$G$372,MATCH($A594,Funciones!$B$2:$B$372,0))</f>
        <v>Transportar al personal hasta _____ personas</v>
      </c>
      <c r="D594" s="27" t="s">
        <v>4197</v>
      </c>
      <c r="E594" s="27" t="s">
        <v>3359</v>
      </c>
      <c r="F594" s="27" t="s">
        <v>4198</v>
      </c>
      <c r="G594" s="27" t="s">
        <v>4199</v>
      </c>
      <c r="H594" s="18" t="str">
        <f t="array" ref="H594">_xlfn.XLOOKUP(E:E,'Calificación consecuencia'!B:B,'Calificación consecuencia'!K:K,"No encontrada",2)</f>
        <v>Baja</v>
      </c>
      <c r="I594" s="27" t="s">
        <v>425</v>
      </c>
      <c r="J594" s="30" t="s">
        <v>116</v>
      </c>
      <c r="K594" s="21"/>
      <c r="L594" s="21"/>
      <c r="M594" s="30" t="s">
        <v>116</v>
      </c>
      <c r="N594" s="30" t="s">
        <v>116</v>
      </c>
      <c r="O594" s="21"/>
      <c r="P594" s="21"/>
      <c r="Q594" s="21"/>
      <c r="R594" s="21"/>
      <c r="S594" s="21"/>
      <c r="T594" s="21"/>
      <c r="U594" s="27" t="s">
        <v>195</v>
      </c>
      <c r="V594" s="27" t="s">
        <v>196</v>
      </c>
    </row>
    <row r="595" ht="14.25" customHeight="1">
      <c r="A595" s="27" t="s">
        <v>1221</v>
      </c>
      <c r="B595" s="27" t="s">
        <v>1220</v>
      </c>
      <c r="C595" s="27" t="str">
        <f t="array" ref="C595">INDEX(Funciones!$G$2:$G$372,MATCH($A595,Funciones!$B$2:$B$372,0))</f>
        <v>Transportar al personal hasta _____ personas</v>
      </c>
      <c r="D595" s="27" t="s">
        <v>4197</v>
      </c>
      <c r="E595" s="27" t="s">
        <v>3360</v>
      </c>
      <c r="F595" s="27" t="s">
        <v>4200</v>
      </c>
      <c r="G595" s="27" t="s">
        <v>4201</v>
      </c>
      <c r="H595" s="18" t="str">
        <f t="array" ref="H595">_xlfn.XLOOKUP(E:E,'Calificación consecuencia'!B:B,'Calificación consecuencia'!K:K,"No encontrada",2)</f>
        <v>Media</v>
      </c>
      <c r="I595" s="27" t="s">
        <v>425</v>
      </c>
      <c r="J595" s="30" t="s">
        <v>116</v>
      </c>
      <c r="K595" s="21"/>
      <c r="L595" s="21"/>
      <c r="M595" s="30" t="s">
        <v>116</v>
      </c>
      <c r="N595" s="30" t="s">
        <v>116</v>
      </c>
      <c r="O595" s="21"/>
      <c r="P595" s="21"/>
      <c r="Q595" s="21"/>
      <c r="R595" s="21"/>
      <c r="S595" s="21"/>
      <c r="T595" s="21"/>
      <c r="U595" s="27" t="s">
        <v>195</v>
      </c>
      <c r="V595" s="27" t="s">
        <v>196</v>
      </c>
    </row>
    <row r="596" ht="14.25" customHeight="1">
      <c r="A596" s="27" t="s">
        <v>1221</v>
      </c>
      <c r="B596" s="27" t="s">
        <v>1220</v>
      </c>
      <c r="C596" s="27" t="str">
        <f t="array" ref="C596">INDEX(Funciones!$G$2:$G$372,MATCH($A596,Funciones!$B$2:$B$372,0))</f>
        <v>Transportar al personal hasta _____ personas</v>
      </c>
      <c r="D596" s="27" t="s">
        <v>4202</v>
      </c>
      <c r="E596" s="27" t="s">
        <v>3361</v>
      </c>
      <c r="F596" s="27" t="s">
        <v>4203</v>
      </c>
      <c r="G596" s="27" t="s">
        <v>4204</v>
      </c>
      <c r="H596" s="18" t="str">
        <f t="array" ref="H596">_xlfn.XLOOKUP(E:E,'Calificación consecuencia'!B:B,'Calificación consecuencia'!K:K,"No encontrada",2)</f>
        <v>Baja</v>
      </c>
      <c r="I596" s="27" t="s">
        <v>1351</v>
      </c>
      <c r="J596" s="30" t="s">
        <v>116</v>
      </c>
      <c r="K596" s="21"/>
      <c r="L596" s="21"/>
      <c r="M596" s="30" t="s">
        <v>116</v>
      </c>
      <c r="N596" s="30" t="s">
        <v>116</v>
      </c>
      <c r="O596" s="21"/>
      <c r="P596" s="21"/>
      <c r="Q596" s="21"/>
      <c r="R596" s="21"/>
      <c r="S596" s="21"/>
      <c r="T596" s="21"/>
      <c r="U596" s="27" t="s">
        <v>195</v>
      </c>
      <c r="V596" s="27" t="s">
        <v>196</v>
      </c>
    </row>
    <row r="597" ht="14.25" customHeight="1">
      <c r="A597" s="27" t="s">
        <v>1221</v>
      </c>
      <c r="B597" s="27" t="s">
        <v>1220</v>
      </c>
      <c r="C597" s="27" t="str">
        <f t="array" ref="C597">INDEX(Funciones!$G$2:$G$372,MATCH($A597,Funciones!$B$2:$B$372,0))</f>
        <v>Transportar al personal hasta _____ personas</v>
      </c>
      <c r="D597" s="27" t="s">
        <v>4202</v>
      </c>
      <c r="E597" s="27" t="s">
        <v>3362</v>
      </c>
      <c r="F597" s="27" t="s">
        <v>4205</v>
      </c>
      <c r="G597" s="27" t="s">
        <v>4206</v>
      </c>
      <c r="H597" s="18" t="str">
        <f t="array" ref="H597">_xlfn.XLOOKUP(E:E,'Calificación consecuencia'!B:B,'Calificación consecuencia'!K:K,"No encontrada",2)</f>
        <v>Media</v>
      </c>
      <c r="I597" s="27" t="s">
        <v>425</v>
      </c>
      <c r="J597" s="30" t="s">
        <v>116</v>
      </c>
      <c r="K597" s="21"/>
      <c r="L597" s="21"/>
      <c r="M597" s="30" t="s">
        <v>116</v>
      </c>
      <c r="N597" s="30" t="s">
        <v>116</v>
      </c>
      <c r="O597" s="21"/>
      <c r="P597" s="21"/>
      <c r="Q597" s="21"/>
      <c r="R597" s="21"/>
      <c r="S597" s="21"/>
      <c r="T597" s="21"/>
      <c r="U597" s="27" t="s">
        <v>195</v>
      </c>
      <c r="V597" s="27" t="s">
        <v>196</v>
      </c>
    </row>
    <row r="598" ht="14.25" customHeight="1">
      <c r="A598" s="9" t="s">
        <v>1232</v>
      </c>
      <c r="B598" s="9" t="s">
        <v>1231</v>
      </c>
      <c r="C598" s="9" t="str">
        <f t="array" ref="C598">INDEX(Funciones!$G$2:$G$372,MATCH($A598,Funciones!$B$2:$B$372,0))</f>
        <v>Comprimir el aire a una presión de _____ bar</v>
      </c>
      <c r="D598" s="9" t="s">
        <v>3403</v>
      </c>
      <c r="E598" s="9" t="s">
        <v>999</v>
      </c>
      <c r="F598" s="9" t="s">
        <v>2657</v>
      </c>
      <c r="G598" s="9" t="s">
        <v>2658</v>
      </c>
      <c r="H598" s="18" t="str">
        <f t="array" ref="H598">_xlfn.XLOOKUP(E:E,'Calificación consecuencia'!B:B,'Calificación consecuencia'!K:K,"No encontrada",2)</f>
        <v>Media</v>
      </c>
      <c r="I598" s="9" t="s">
        <v>1800</v>
      </c>
      <c r="J598" s="20" t="s">
        <v>116</v>
      </c>
      <c r="K598" s="21"/>
      <c r="L598" s="21"/>
      <c r="M598" s="20" t="s">
        <v>116</v>
      </c>
      <c r="N598" s="20" t="s">
        <v>116</v>
      </c>
      <c r="O598" s="21"/>
      <c r="P598" s="21"/>
      <c r="Q598" s="21"/>
      <c r="R598" s="21"/>
      <c r="S598" s="21"/>
      <c r="T598" s="21"/>
      <c r="U598" s="9" t="s">
        <v>195</v>
      </c>
      <c r="V598" s="9" t="s">
        <v>196</v>
      </c>
    </row>
    <row r="599" ht="14.25" customHeight="1">
      <c r="A599" s="9" t="s">
        <v>1232</v>
      </c>
      <c r="B599" s="9" t="s">
        <v>1231</v>
      </c>
      <c r="C599" s="9" t="str">
        <f t="array" ref="C599">INDEX(Funciones!$G$2:$G$372,MATCH($A599,Funciones!$B$2:$B$372,0))</f>
        <v>Comprimir el aire a una presión de _____ bar</v>
      </c>
      <c r="D599" s="9" t="s">
        <v>3403</v>
      </c>
      <c r="E599" s="9" t="s">
        <v>1005</v>
      </c>
      <c r="F599" s="9" t="s">
        <v>2677</v>
      </c>
      <c r="G599" s="9" t="s">
        <v>2679</v>
      </c>
      <c r="H599" s="18" t="str">
        <f t="array" ref="H599">_xlfn.XLOOKUP(E:E,'Calificación consecuencia'!B:B,'Calificación consecuencia'!K:K,"No encontrada",2)</f>
        <v>Baja</v>
      </c>
      <c r="I599" s="9" t="s">
        <v>2694</v>
      </c>
      <c r="J599" s="20" t="s">
        <v>116</v>
      </c>
      <c r="K599" s="21"/>
      <c r="L599" s="21"/>
      <c r="M599" s="20" t="s">
        <v>116</v>
      </c>
      <c r="N599" s="20" t="s">
        <v>116</v>
      </c>
      <c r="O599" s="21"/>
      <c r="P599" s="21"/>
      <c r="Q599" s="21"/>
      <c r="R599" s="21"/>
      <c r="S599" s="21"/>
      <c r="T599" s="21"/>
      <c r="U599" s="9" t="s">
        <v>195</v>
      </c>
      <c r="V599" s="9" t="s">
        <v>196</v>
      </c>
    </row>
    <row r="600" ht="14.25" customHeight="1">
      <c r="A600" s="9" t="s">
        <v>1232</v>
      </c>
      <c r="B600" s="9" t="s">
        <v>1231</v>
      </c>
      <c r="C600" s="9" t="str">
        <f t="array" ref="C600">INDEX(Funciones!$G$2:$G$372,MATCH($A600,Funciones!$B$2:$B$372,0))</f>
        <v>Comprimir el aire a una presión de _____ bar</v>
      </c>
      <c r="D600" s="9" t="s">
        <v>3403</v>
      </c>
      <c r="E600" s="9" t="s">
        <v>1017</v>
      </c>
      <c r="F600" s="9" t="s">
        <v>2709</v>
      </c>
      <c r="G600" s="9" t="s">
        <v>2710</v>
      </c>
      <c r="H600" s="18" t="str">
        <f t="array" ref="H600">_xlfn.XLOOKUP(E:E,'Calificación consecuencia'!B:B,'Calificación consecuencia'!K:K,"No encontrada",2)</f>
        <v>Media</v>
      </c>
      <c r="I600" s="9" t="s">
        <v>1800</v>
      </c>
      <c r="J600" s="20" t="s">
        <v>116</v>
      </c>
      <c r="K600" s="21"/>
      <c r="L600" s="21"/>
      <c r="M600" s="20" t="s">
        <v>116</v>
      </c>
      <c r="N600" s="20" t="s">
        <v>116</v>
      </c>
      <c r="O600" s="21"/>
      <c r="P600" s="21"/>
      <c r="Q600" s="21"/>
      <c r="R600" s="21"/>
      <c r="S600" s="21"/>
      <c r="T600" s="21"/>
      <c r="U600" s="9" t="s">
        <v>195</v>
      </c>
      <c r="V600" s="9" t="s">
        <v>196</v>
      </c>
    </row>
    <row r="601" ht="14.25" customHeight="1">
      <c r="A601" s="9" t="s">
        <v>1232</v>
      </c>
      <c r="B601" s="9" t="s">
        <v>1231</v>
      </c>
      <c r="C601" s="9" t="str">
        <f t="array" ref="C601">INDEX(Funciones!$G$2:$G$372,MATCH($A601,Funciones!$B$2:$B$372,0))</f>
        <v>Comprimir el aire a una presión de _____ bar</v>
      </c>
      <c r="D601" s="9" t="s">
        <v>3404</v>
      </c>
      <c r="E601" s="9" t="s">
        <v>727</v>
      </c>
      <c r="F601" s="9" t="s">
        <v>3405</v>
      </c>
      <c r="G601" s="9" t="s">
        <v>1792</v>
      </c>
      <c r="H601" s="18" t="str">
        <f t="array" ref="H601">_xlfn.XLOOKUP(E:E,'Calificación consecuencia'!B:B,'Calificación consecuencia'!K:K,"No encontrada",2)</f>
        <v>Baja</v>
      </c>
      <c r="I601" s="9" t="s">
        <v>1800</v>
      </c>
      <c r="J601" s="20" t="s">
        <v>116</v>
      </c>
      <c r="K601" s="21"/>
      <c r="L601" s="21"/>
      <c r="M601" s="22" t="s">
        <v>120</v>
      </c>
      <c r="N601" s="21"/>
      <c r="O601" s="20" t="s">
        <v>116</v>
      </c>
      <c r="P601" s="20" t="s">
        <v>116</v>
      </c>
      <c r="Q601" s="21"/>
      <c r="R601" s="21"/>
      <c r="S601" s="21"/>
      <c r="T601" s="21"/>
      <c r="U601" s="9" t="s">
        <v>345</v>
      </c>
      <c r="V601" s="9" t="s">
        <v>196</v>
      </c>
    </row>
    <row r="602" ht="14.25" customHeight="1">
      <c r="A602" s="9" t="s">
        <v>1232</v>
      </c>
      <c r="B602" s="9" t="s">
        <v>1231</v>
      </c>
      <c r="C602" s="9" t="str">
        <f t="array" ref="C602">INDEX(Funciones!$G$2:$G$372,MATCH($A602,Funciones!$B$2:$B$372,0))</f>
        <v>Comprimir el aire a una presión de _____ bar</v>
      </c>
      <c r="D602" s="9" t="s">
        <v>3404</v>
      </c>
      <c r="E602" s="9" t="s">
        <v>1036</v>
      </c>
      <c r="F602" s="9" t="s">
        <v>3406</v>
      </c>
      <c r="G602" s="9" t="s">
        <v>2810</v>
      </c>
      <c r="H602" s="18" t="str">
        <f t="array" ref="H602">_xlfn.XLOOKUP(E:E,'Calificación consecuencia'!B:B,'Calificación consecuencia'!K:K,"No encontrada",2)</f>
        <v>Baja</v>
      </c>
      <c r="I602" s="9" t="s">
        <v>2106</v>
      </c>
      <c r="J602" s="20" t="s">
        <v>116</v>
      </c>
      <c r="K602" s="21"/>
      <c r="L602" s="21"/>
      <c r="M602" s="22" t="s">
        <v>120</v>
      </c>
      <c r="N602" s="21"/>
      <c r="O602" s="20" t="s">
        <v>116</v>
      </c>
      <c r="P602" s="20" t="s">
        <v>116</v>
      </c>
      <c r="Q602" s="21"/>
      <c r="R602" s="21"/>
      <c r="S602" s="21"/>
      <c r="T602" s="21"/>
      <c r="U602" s="9" t="s">
        <v>345</v>
      </c>
      <c r="V602" s="9" t="s">
        <v>196</v>
      </c>
    </row>
    <row r="603" ht="14.25" customHeight="1">
      <c r="A603" s="9" t="s">
        <v>1232</v>
      </c>
      <c r="B603" s="9" t="s">
        <v>1231</v>
      </c>
      <c r="C603" s="9" t="str">
        <f t="array" ref="C603">INDEX(Funciones!$G$2:$G$372,MATCH($A603,Funciones!$B$2:$B$372,0))</f>
        <v>Comprimir el aire a una presión de _____ bar</v>
      </c>
      <c r="D603" s="9" t="s">
        <v>3409</v>
      </c>
      <c r="E603" s="9" t="s">
        <v>1421</v>
      </c>
      <c r="F603" s="9" t="s">
        <v>3410</v>
      </c>
      <c r="G603" s="9" t="s">
        <v>2841</v>
      </c>
      <c r="H603" s="18" t="str">
        <f t="array" ref="H603">_xlfn.XLOOKUP(E:E,'Calificación consecuencia'!B:B,'Calificación consecuencia'!K:K,"No encontrada",2)</f>
        <v>Baja</v>
      </c>
      <c r="I603" s="9" t="s">
        <v>2106</v>
      </c>
      <c r="J603" s="20" t="s">
        <v>116</v>
      </c>
      <c r="K603" s="21"/>
      <c r="L603" s="21"/>
      <c r="M603" s="22" t="s">
        <v>120</v>
      </c>
      <c r="N603" s="21"/>
      <c r="O603" s="22" t="s">
        <v>120</v>
      </c>
      <c r="P603" s="21"/>
      <c r="Q603" s="21"/>
      <c r="R603" s="21"/>
      <c r="S603" s="22" t="s">
        <v>120</v>
      </c>
      <c r="T603" s="21"/>
      <c r="U603" s="9" t="s">
        <v>1680</v>
      </c>
      <c r="V603" s="9" t="s">
        <v>1408</v>
      </c>
    </row>
    <row r="604" ht="14.25" customHeight="1">
      <c r="A604" s="9" t="s">
        <v>1232</v>
      </c>
      <c r="B604" s="9" t="s">
        <v>1231</v>
      </c>
      <c r="C604" s="9" t="str">
        <f t="array" ref="C604">INDEX(Funciones!$G$2:$G$372,MATCH($A604,Funciones!$B$2:$B$372,0))</f>
        <v>Comprimir el aire a una presión de _____ bar</v>
      </c>
      <c r="D604" s="9" t="s">
        <v>3409</v>
      </c>
      <c r="E604" s="9" t="s">
        <v>1426</v>
      </c>
      <c r="F604" s="9" t="s">
        <v>3411</v>
      </c>
      <c r="G604" s="9" t="s">
        <v>1888</v>
      </c>
      <c r="H604" s="18" t="str">
        <f t="array" ref="H604">_xlfn.XLOOKUP(E:E,'Calificación consecuencia'!B:B,'Calificación consecuencia'!K:K,"No encontrada",2)</f>
        <v>Baja</v>
      </c>
      <c r="I604" s="9" t="s">
        <v>2106</v>
      </c>
      <c r="J604" s="20" t="s">
        <v>116</v>
      </c>
      <c r="K604" s="21"/>
      <c r="L604" s="21"/>
      <c r="M604" s="22" t="s">
        <v>120</v>
      </c>
      <c r="N604" s="21"/>
      <c r="O604" s="22" t="s">
        <v>120</v>
      </c>
      <c r="P604" s="21"/>
      <c r="Q604" s="21"/>
      <c r="R604" s="21"/>
      <c r="S604" s="22" t="s">
        <v>120</v>
      </c>
      <c r="T604" s="21"/>
      <c r="U604" s="9" t="s">
        <v>1680</v>
      </c>
      <c r="V604" s="9" t="s">
        <v>1408</v>
      </c>
    </row>
    <row r="605" ht="14.25" customHeight="1">
      <c r="A605" s="27" t="s">
        <v>1239</v>
      </c>
      <c r="B605" s="27" t="s">
        <v>1231</v>
      </c>
      <c r="C605" s="27" t="str">
        <f t="array" ref="C605">INDEX(Funciones!$G$2:$G$372,MATCH($A605,Funciones!$B$2:$B$372,0))</f>
        <v>Suministrar caudal de aire de _____ L/min</v>
      </c>
      <c r="D605" s="27" t="s">
        <v>4123</v>
      </c>
      <c r="E605" s="27" t="s">
        <v>999</v>
      </c>
      <c r="F605" s="27" t="s">
        <v>2657</v>
      </c>
      <c r="G605" s="27" t="s">
        <v>2658</v>
      </c>
      <c r="H605" s="18" t="str">
        <f t="array" ref="H605">_xlfn.XLOOKUP(E:E,'Calificación consecuencia'!B:B,'Calificación consecuencia'!K:K,"No encontrada",2)</f>
        <v>Media</v>
      </c>
      <c r="I605" s="27" t="s">
        <v>1800</v>
      </c>
      <c r="J605" s="30" t="s">
        <v>116</v>
      </c>
      <c r="K605" s="21"/>
      <c r="L605" s="21"/>
      <c r="M605" s="30" t="s">
        <v>116</v>
      </c>
      <c r="N605" s="30" t="s">
        <v>116</v>
      </c>
      <c r="O605" s="21"/>
      <c r="P605" s="21"/>
      <c r="Q605" s="21"/>
      <c r="R605" s="21"/>
      <c r="S605" s="21"/>
      <c r="T605" s="21"/>
      <c r="U605" s="27" t="s">
        <v>195</v>
      </c>
      <c r="V605" s="27" t="s">
        <v>196</v>
      </c>
    </row>
    <row r="606" ht="14.25" customHeight="1">
      <c r="A606" s="27" t="s">
        <v>1239</v>
      </c>
      <c r="B606" s="27" t="s">
        <v>1231</v>
      </c>
      <c r="C606" s="27" t="str">
        <f t="array" ref="C606">INDEX(Funciones!$G$2:$G$372,MATCH($A606,Funciones!$B$2:$B$372,0))</f>
        <v>Suministrar caudal de aire de _____ L/min</v>
      </c>
      <c r="D606" s="27" t="s">
        <v>4123</v>
      </c>
      <c r="E606" s="27" t="s">
        <v>1005</v>
      </c>
      <c r="F606" s="27" t="s">
        <v>2677</v>
      </c>
      <c r="G606" s="27" t="s">
        <v>2679</v>
      </c>
      <c r="H606" s="18" t="str">
        <f t="array" ref="H606">_xlfn.XLOOKUP(E:E,'Calificación consecuencia'!B:B,'Calificación consecuencia'!K:K,"No encontrada",2)</f>
        <v>Baja</v>
      </c>
      <c r="I606" s="27" t="s">
        <v>2694</v>
      </c>
      <c r="J606" s="30" t="s">
        <v>116</v>
      </c>
      <c r="K606" s="21"/>
      <c r="L606" s="21"/>
      <c r="M606" s="30" t="s">
        <v>116</v>
      </c>
      <c r="N606" s="30" t="s">
        <v>116</v>
      </c>
      <c r="O606" s="21"/>
      <c r="P606" s="21"/>
      <c r="Q606" s="21"/>
      <c r="R606" s="21"/>
      <c r="S606" s="21"/>
      <c r="T606" s="21"/>
      <c r="U606" s="27" t="s">
        <v>195</v>
      </c>
      <c r="V606" s="27" t="s">
        <v>196</v>
      </c>
    </row>
    <row r="607" ht="14.25" customHeight="1">
      <c r="A607" s="27" t="s">
        <v>1239</v>
      </c>
      <c r="B607" s="27" t="s">
        <v>1231</v>
      </c>
      <c r="C607" s="27" t="str">
        <f t="array" ref="C607">INDEX(Funciones!$G$2:$G$372,MATCH($A607,Funciones!$B$2:$B$372,0))</f>
        <v>Suministrar caudal de aire de _____ L/min</v>
      </c>
      <c r="D607" s="27" t="s">
        <v>4123</v>
      </c>
      <c r="E607" s="27" t="s">
        <v>1017</v>
      </c>
      <c r="F607" s="27" t="s">
        <v>2709</v>
      </c>
      <c r="G607" s="27" t="s">
        <v>2710</v>
      </c>
      <c r="H607" s="18" t="str">
        <f t="array" ref="H607">_xlfn.XLOOKUP(E:E,'Calificación consecuencia'!B:B,'Calificación consecuencia'!K:K,"No encontrada",2)</f>
        <v>Media</v>
      </c>
      <c r="I607" s="27" t="s">
        <v>1800</v>
      </c>
      <c r="J607" s="30" t="s">
        <v>116</v>
      </c>
      <c r="K607" s="21"/>
      <c r="L607" s="21"/>
      <c r="M607" s="30" t="s">
        <v>116</v>
      </c>
      <c r="N607" s="30" t="s">
        <v>116</v>
      </c>
      <c r="O607" s="21"/>
      <c r="P607" s="21"/>
      <c r="Q607" s="21"/>
      <c r="R607" s="21"/>
      <c r="S607" s="21"/>
      <c r="T607" s="21"/>
      <c r="U607" s="27" t="s">
        <v>195</v>
      </c>
      <c r="V607" s="27" t="s">
        <v>196</v>
      </c>
    </row>
    <row r="608" ht="14.25" customHeight="1">
      <c r="A608" s="27" t="s">
        <v>1239</v>
      </c>
      <c r="B608" s="27" t="s">
        <v>1231</v>
      </c>
      <c r="C608" s="27" t="str">
        <f t="array" ref="C608">INDEX(Funciones!$G$2:$G$372,MATCH($A608,Funciones!$B$2:$B$372,0))</f>
        <v>Suministrar caudal de aire de _____ L/min</v>
      </c>
      <c r="D608" s="27" t="s">
        <v>4124</v>
      </c>
      <c r="E608" s="27" t="s">
        <v>727</v>
      </c>
      <c r="F608" s="27" t="s">
        <v>2744</v>
      </c>
      <c r="G608" s="27" t="s">
        <v>1792</v>
      </c>
      <c r="H608" s="18" t="str">
        <f t="array" ref="H608">_xlfn.XLOOKUP(E:E,'Calificación consecuencia'!B:B,'Calificación consecuencia'!K:K,"No encontrada",2)</f>
        <v>Baja</v>
      </c>
      <c r="I608" s="27" t="s">
        <v>1800</v>
      </c>
      <c r="J608" s="30" t="s">
        <v>116</v>
      </c>
      <c r="K608" s="21"/>
      <c r="L608" s="21"/>
      <c r="M608" s="29" t="s">
        <v>120</v>
      </c>
      <c r="N608" s="21"/>
      <c r="O608" s="30" t="s">
        <v>116</v>
      </c>
      <c r="P608" s="30" t="s">
        <v>116</v>
      </c>
      <c r="Q608" s="21"/>
      <c r="R608" s="21"/>
      <c r="S608" s="21"/>
      <c r="T608" s="21"/>
      <c r="U608" s="27" t="s">
        <v>345</v>
      </c>
      <c r="V608" s="27" t="s">
        <v>196</v>
      </c>
    </row>
    <row r="609" ht="14.25" customHeight="1">
      <c r="A609" s="27" t="s">
        <v>1239</v>
      </c>
      <c r="B609" s="27" t="s">
        <v>1231</v>
      </c>
      <c r="C609" s="27" t="str">
        <f t="array" ref="C609">INDEX(Funciones!$G$2:$G$372,MATCH($A609,Funciones!$B$2:$B$372,0))</f>
        <v>Suministrar caudal de aire de _____ L/min</v>
      </c>
      <c r="D609" s="27" t="s">
        <v>4124</v>
      </c>
      <c r="E609" s="27" t="s">
        <v>1031</v>
      </c>
      <c r="F609" s="27" t="s">
        <v>2776</v>
      </c>
      <c r="G609" s="27" t="s">
        <v>2777</v>
      </c>
      <c r="H609" s="18" t="str">
        <f t="array" ref="H609">_xlfn.XLOOKUP(E:E,'Calificación consecuencia'!B:B,'Calificación consecuencia'!K:K,"No encontrada",2)</f>
        <v>Baja</v>
      </c>
      <c r="I609" s="27" t="s">
        <v>2106</v>
      </c>
      <c r="J609" s="30" t="s">
        <v>116</v>
      </c>
      <c r="K609" s="21"/>
      <c r="L609" s="21"/>
      <c r="M609" s="29" t="s">
        <v>120</v>
      </c>
      <c r="N609" s="21"/>
      <c r="O609" s="29" t="s">
        <v>120</v>
      </c>
      <c r="P609" s="21"/>
      <c r="Q609" s="21"/>
      <c r="R609" s="21"/>
      <c r="S609" s="29" t="s">
        <v>120</v>
      </c>
      <c r="T609" s="21"/>
      <c r="U609" s="27" t="s">
        <v>1680</v>
      </c>
      <c r="V609" s="27" t="s">
        <v>1408</v>
      </c>
    </row>
    <row r="610" ht="14.25" customHeight="1">
      <c r="A610" s="27" t="s">
        <v>1239</v>
      </c>
      <c r="B610" s="27" t="s">
        <v>1231</v>
      </c>
      <c r="C610" s="27" t="str">
        <f t="array" ref="C610">INDEX(Funciones!$G$2:$G$372,MATCH($A610,Funciones!$B$2:$B$372,0))</f>
        <v>Suministrar caudal de aire de _____ L/min</v>
      </c>
      <c r="D610" s="27" t="s">
        <v>4124</v>
      </c>
      <c r="E610" s="27" t="s">
        <v>1036</v>
      </c>
      <c r="F610" s="27" t="s">
        <v>2808</v>
      </c>
      <c r="G610" s="27" t="s">
        <v>2810</v>
      </c>
      <c r="H610" s="18" t="str">
        <f t="array" ref="H610">_xlfn.XLOOKUP(E:E,'Calificación consecuencia'!B:B,'Calificación consecuencia'!K:K,"No encontrada",2)</f>
        <v>Baja</v>
      </c>
      <c r="I610" s="27" t="s">
        <v>2106</v>
      </c>
      <c r="J610" s="30" t="s">
        <v>116</v>
      </c>
      <c r="K610" s="21"/>
      <c r="L610" s="21"/>
      <c r="M610" s="29" t="s">
        <v>120</v>
      </c>
      <c r="N610" s="21"/>
      <c r="O610" s="30" t="s">
        <v>116</v>
      </c>
      <c r="P610" s="30" t="s">
        <v>116</v>
      </c>
      <c r="Q610" s="21"/>
      <c r="R610" s="21"/>
      <c r="S610" s="21"/>
      <c r="T610" s="21"/>
      <c r="U610" s="27" t="s">
        <v>345</v>
      </c>
      <c r="V610" s="27" t="s">
        <v>196</v>
      </c>
    </row>
    <row r="611" ht="14.25" customHeight="1">
      <c r="A611" s="27" t="s">
        <v>1239</v>
      </c>
      <c r="B611" s="27" t="s">
        <v>1231</v>
      </c>
      <c r="C611" s="27" t="str">
        <f t="array" ref="C611">INDEX(Funciones!$G$2:$G$372,MATCH($A611,Funciones!$B$2:$B$372,0))</f>
        <v>Suministrar caudal de aire de _____ L/min</v>
      </c>
      <c r="D611" s="27" t="s">
        <v>4124</v>
      </c>
      <c r="E611" s="27" t="s">
        <v>1041</v>
      </c>
      <c r="F611" s="27" t="s">
        <v>2838</v>
      </c>
      <c r="G611" s="27" t="s">
        <v>2841</v>
      </c>
      <c r="H611" s="18" t="str">
        <f t="array" ref="H611">_xlfn.XLOOKUP(E:E,'Calificación consecuencia'!B:B,'Calificación consecuencia'!K:K,"No encontrada",2)</f>
        <v>Baja</v>
      </c>
      <c r="I611" s="27" t="s">
        <v>2106</v>
      </c>
      <c r="J611" s="30" t="s">
        <v>116</v>
      </c>
      <c r="K611" s="21"/>
      <c r="L611" s="21"/>
      <c r="M611" s="29" t="s">
        <v>120</v>
      </c>
      <c r="N611" s="21"/>
      <c r="O611" s="29" t="s">
        <v>120</v>
      </c>
      <c r="P611" s="21"/>
      <c r="Q611" s="21"/>
      <c r="R611" s="21"/>
      <c r="S611" s="29" t="s">
        <v>120</v>
      </c>
      <c r="T611" s="21"/>
      <c r="U611" s="27" t="s">
        <v>1680</v>
      </c>
      <c r="V611" s="27" t="s">
        <v>1408</v>
      </c>
    </row>
    <row r="612" ht="14.25" customHeight="1">
      <c r="A612" s="27" t="s">
        <v>1239</v>
      </c>
      <c r="B612" s="27" t="s">
        <v>1231</v>
      </c>
      <c r="C612" s="27" t="str">
        <f t="array" ref="C612">INDEX(Funciones!$G$2:$G$372,MATCH($A612,Funciones!$B$2:$B$372,0))</f>
        <v>Suministrar caudal de aire de _____ L/min</v>
      </c>
      <c r="D612" s="27" t="s">
        <v>4124</v>
      </c>
      <c r="E612" s="27" t="s">
        <v>1047</v>
      </c>
      <c r="F612" s="27" t="s">
        <v>2875</v>
      </c>
      <c r="G612" s="27" t="s">
        <v>1888</v>
      </c>
      <c r="H612" s="18" t="str">
        <f t="array" ref="H612">_xlfn.XLOOKUP(E:E,'Calificación consecuencia'!B:B,'Calificación consecuencia'!K:K,"No encontrada",2)</f>
        <v>Baja</v>
      </c>
      <c r="I612" s="27" t="s">
        <v>2106</v>
      </c>
      <c r="J612" s="30" t="s">
        <v>116</v>
      </c>
      <c r="K612" s="21"/>
      <c r="L612" s="21"/>
      <c r="M612" s="29" t="s">
        <v>120</v>
      </c>
      <c r="N612" s="21"/>
      <c r="O612" s="29" t="s">
        <v>120</v>
      </c>
      <c r="P612" s="21"/>
      <c r="Q612" s="21"/>
      <c r="R612" s="21"/>
      <c r="S612" s="29" t="s">
        <v>120</v>
      </c>
      <c r="T612" s="21"/>
      <c r="U612" s="27" t="s">
        <v>1680</v>
      </c>
      <c r="V612" s="27" t="s">
        <v>1408</v>
      </c>
    </row>
    <row r="613" ht="14.25" customHeight="1">
      <c r="A613" s="9" t="s">
        <v>1242</v>
      </c>
      <c r="B613" s="9" t="s">
        <v>1241</v>
      </c>
      <c r="C613" s="9" t="str">
        <f t="array" ref="C613">INDEX(Funciones!$G$2:$G$372,MATCH($A613,Funciones!$B$2:$B$372,0))</f>
        <v>Sellar la cabina con 0 filtraciones en prueba de agua</v>
      </c>
      <c r="D613" s="9" t="s">
        <v>3649</v>
      </c>
      <c r="E613" s="9" t="s">
        <v>1157</v>
      </c>
      <c r="F613" s="9" t="s">
        <v>3650</v>
      </c>
      <c r="G613" s="9" t="s">
        <v>3279</v>
      </c>
      <c r="H613" s="18" t="str">
        <f t="array" ref="H613">_xlfn.XLOOKUP(E:E,'Calificación consecuencia'!B:B,'Calificación consecuencia'!K:K,"No encontrada",2)</f>
        <v>Baja</v>
      </c>
      <c r="I613" s="9" t="s">
        <v>2106</v>
      </c>
      <c r="J613" s="20" t="s">
        <v>116</v>
      </c>
      <c r="K613" s="21"/>
      <c r="L613" s="21"/>
      <c r="M613" s="22" t="s">
        <v>120</v>
      </c>
      <c r="N613" s="21"/>
      <c r="O613" s="20" t="s">
        <v>116</v>
      </c>
      <c r="P613" s="20" t="s">
        <v>116</v>
      </c>
      <c r="Q613" s="21"/>
      <c r="R613" s="21"/>
      <c r="S613" s="21"/>
      <c r="T613" s="21"/>
      <c r="U613" s="9" t="s">
        <v>345</v>
      </c>
      <c r="V613" s="9" t="s">
        <v>196</v>
      </c>
    </row>
    <row r="614" ht="14.25" customHeight="1">
      <c r="A614" s="9" t="s">
        <v>1242</v>
      </c>
      <c r="B614" s="9" t="s">
        <v>1241</v>
      </c>
      <c r="C614" s="9" t="str">
        <f t="array" ref="C614">INDEX(Funciones!$G$2:$G$372,MATCH($A614,Funciones!$B$2:$B$372,0))</f>
        <v>Sellar la cabina con 0 filtraciones en prueba de agua</v>
      </c>
      <c r="D614" s="9" t="s">
        <v>3651</v>
      </c>
      <c r="E614" s="9" t="s">
        <v>1167</v>
      </c>
      <c r="F614" s="9" t="s">
        <v>3652</v>
      </c>
      <c r="G614" s="9" t="s">
        <v>3282</v>
      </c>
      <c r="H614" s="18" t="str">
        <f t="array" ref="H614">_xlfn.XLOOKUP(E:E,'Calificación consecuencia'!B:B,'Calificación consecuencia'!K:K,"No encontrada",2)</f>
        <v>Baja</v>
      </c>
      <c r="I614" s="9" t="s">
        <v>2106</v>
      </c>
      <c r="J614" s="20" t="s">
        <v>116</v>
      </c>
      <c r="K614" s="21"/>
      <c r="L614" s="21"/>
      <c r="M614" s="22" t="s">
        <v>120</v>
      </c>
      <c r="N614" s="21"/>
      <c r="O614" s="22" t="s">
        <v>120</v>
      </c>
      <c r="P614" s="21"/>
      <c r="Q614" s="21"/>
      <c r="R614" s="21"/>
      <c r="S614" s="22" t="s">
        <v>120</v>
      </c>
      <c r="T614" s="21"/>
      <c r="U614" s="9" t="s">
        <v>1680</v>
      </c>
      <c r="V614" s="9" t="s">
        <v>1408</v>
      </c>
    </row>
    <row r="615" ht="14.25" customHeight="1">
      <c r="A615" s="9" t="s">
        <v>1242</v>
      </c>
      <c r="B615" s="9" t="s">
        <v>1241</v>
      </c>
      <c r="C615" s="9" t="str">
        <f t="array" ref="C615">INDEX(Funciones!$G$2:$G$372,MATCH($A615,Funciones!$B$2:$B$372,0))</f>
        <v>Sellar la cabina con 0 filtraciones en prueba de agua</v>
      </c>
      <c r="D615" s="9" t="s">
        <v>3651</v>
      </c>
      <c r="E615" s="9" t="s">
        <v>1176</v>
      </c>
      <c r="F615" s="9" t="s">
        <v>3653</v>
      </c>
      <c r="G615" s="9" t="s">
        <v>3284</v>
      </c>
      <c r="H615" s="18" t="str">
        <f t="array" ref="H615">_xlfn.XLOOKUP(E:E,'Calificación consecuencia'!B:B,'Calificación consecuencia'!K:K,"No encontrada",2)</f>
        <v>Baja</v>
      </c>
      <c r="I615" s="9" t="s">
        <v>2106</v>
      </c>
      <c r="J615" s="20" t="s">
        <v>116</v>
      </c>
      <c r="K615" s="21"/>
      <c r="L615" s="21"/>
      <c r="M615" s="22" t="s">
        <v>120</v>
      </c>
      <c r="N615" s="21"/>
      <c r="O615" s="22" t="s">
        <v>120</v>
      </c>
      <c r="P615" s="21"/>
      <c r="Q615" s="21"/>
      <c r="R615" s="21"/>
      <c r="S615" s="22" t="s">
        <v>120</v>
      </c>
      <c r="T615" s="21"/>
      <c r="U615" s="9" t="s">
        <v>1680</v>
      </c>
      <c r="V615" s="9" t="s">
        <v>1408</v>
      </c>
    </row>
    <row r="616" ht="14.25" customHeight="1">
      <c r="A616" s="9" t="s">
        <v>1242</v>
      </c>
      <c r="B616" s="9" t="s">
        <v>1241</v>
      </c>
      <c r="C616" s="9" t="str">
        <f t="array" ref="C616">INDEX(Funciones!$G$2:$G$372,MATCH($A616,Funciones!$B$2:$B$372,0))</f>
        <v>Sellar la cabina con 0 filtraciones en prueba de agua</v>
      </c>
      <c r="D616" s="9" t="s">
        <v>3651</v>
      </c>
      <c r="E616" s="9" t="s">
        <v>1184</v>
      </c>
      <c r="F616" s="9" t="s">
        <v>3654</v>
      </c>
      <c r="G616" s="9" t="s">
        <v>3286</v>
      </c>
      <c r="H616" s="18" t="str">
        <f t="array" ref="H616">_xlfn.XLOOKUP(E:E,'Calificación consecuencia'!B:B,'Calificación consecuencia'!K:K,"No encontrada",2)</f>
        <v>Baja</v>
      </c>
      <c r="I616" s="9" t="s">
        <v>2106</v>
      </c>
      <c r="J616" s="20" t="s">
        <v>116</v>
      </c>
      <c r="K616" s="21"/>
      <c r="L616" s="21"/>
      <c r="M616" s="22" t="s">
        <v>120</v>
      </c>
      <c r="N616" s="21"/>
      <c r="O616" s="22" t="s">
        <v>120</v>
      </c>
      <c r="P616" s="21"/>
      <c r="Q616" s="21"/>
      <c r="R616" s="21"/>
      <c r="S616" s="22" t="s">
        <v>120</v>
      </c>
      <c r="T616" s="21"/>
      <c r="U616" s="9" t="s">
        <v>1680</v>
      </c>
      <c r="V616" s="9" t="s">
        <v>1408</v>
      </c>
    </row>
    <row r="617" ht="14.25" customHeight="1">
      <c r="A617" s="27" t="s">
        <v>1254</v>
      </c>
      <c r="B617" s="27" t="s">
        <v>1253</v>
      </c>
      <c r="C617" s="27" t="str">
        <f t="array" ref="C617">INDEX(Funciones!$G$2:$G$372,MATCH($A617,Funciones!$B$2:$B$372,0))</f>
        <v>Retener el combustible a presión de prueba de 0,3 bar</v>
      </c>
      <c r="D617" s="27" t="s">
        <v>3890</v>
      </c>
      <c r="E617" s="27" t="s">
        <v>2149</v>
      </c>
      <c r="F617" s="27" t="s">
        <v>3892</v>
      </c>
      <c r="G617" s="27" t="s">
        <v>3893</v>
      </c>
      <c r="H617" s="18" t="str">
        <f t="array" ref="H617">_xlfn.XLOOKUP(E:E,'Calificación consecuencia'!B:B,'Calificación consecuencia'!K:K,"No encontrada",2)</f>
        <v>Media</v>
      </c>
      <c r="I617" s="27" t="s">
        <v>425</v>
      </c>
      <c r="J617" s="30" t="s">
        <v>116</v>
      </c>
      <c r="K617" s="21"/>
      <c r="L617" s="21"/>
      <c r="M617" s="30" t="s">
        <v>116</v>
      </c>
      <c r="N617" s="29" t="s">
        <v>120</v>
      </c>
      <c r="O617" s="21"/>
      <c r="P617" s="21"/>
      <c r="Q617" s="21"/>
      <c r="R617" s="21"/>
      <c r="S617" s="21"/>
      <c r="T617" s="21"/>
      <c r="U617" s="27" t="s">
        <v>230</v>
      </c>
      <c r="V617" s="27" t="s">
        <v>230</v>
      </c>
    </row>
    <row r="618" ht="14.25" customHeight="1">
      <c r="A618" s="27" t="s">
        <v>1254</v>
      </c>
      <c r="B618" s="27" t="s">
        <v>1253</v>
      </c>
      <c r="C618" s="27" t="str">
        <f t="array" ref="C618">INDEX(Funciones!$G$2:$G$372,MATCH($A618,Funciones!$B$2:$B$372,0))</f>
        <v>Retener el combustible a presión de prueba de 0,3 bar</v>
      </c>
      <c r="D618" s="27" t="s">
        <v>3890</v>
      </c>
      <c r="E618" s="27" t="s">
        <v>2154</v>
      </c>
      <c r="F618" s="27" t="s">
        <v>3898</v>
      </c>
      <c r="G618" s="27" t="s">
        <v>3899</v>
      </c>
      <c r="H618" s="18" t="str">
        <f t="array" ref="H618">_xlfn.XLOOKUP(E:E,'Calificación consecuencia'!B:B,'Calificación consecuencia'!K:K,"No encontrada",2)</f>
        <v>Media</v>
      </c>
      <c r="I618" s="27" t="s">
        <v>3902</v>
      </c>
      <c r="J618" s="30" t="s">
        <v>116</v>
      </c>
      <c r="K618" s="21"/>
      <c r="L618" s="21"/>
      <c r="M618" s="30" t="s">
        <v>116</v>
      </c>
      <c r="N618" s="30" t="s">
        <v>116</v>
      </c>
      <c r="O618" s="21"/>
      <c r="P618" s="21"/>
      <c r="Q618" s="21"/>
      <c r="R618" s="21"/>
      <c r="S618" s="21"/>
      <c r="T618" s="21"/>
      <c r="U618" s="27" t="s">
        <v>195</v>
      </c>
      <c r="V618" s="27" t="s">
        <v>196</v>
      </c>
    </row>
    <row r="619" ht="14.25" customHeight="1">
      <c r="A619" s="27" t="s">
        <v>1254</v>
      </c>
      <c r="B619" s="27" t="s">
        <v>1253</v>
      </c>
      <c r="C619" s="27" t="str">
        <f t="array" ref="C619">INDEX(Funciones!$G$2:$G$372,MATCH($A619,Funciones!$B$2:$B$372,0))</f>
        <v>Retener el combustible a presión de prueba de 0,3 bar</v>
      </c>
      <c r="D619" s="27" t="s">
        <v>3906</v>
      </c>
      <c r="E619" s="27" t="s">
        <v>2159</v>
      </c>
      <c r="F619" s="27" t="s">
        <v>3907</v>
      </c>
      <c r="G619" s="27" t="s">
        <v>3909</v>
      </c>
      <c r="H619" s="18" t="str">
        <f t="array" ref="H619">_xlfn.XLOOKUP(E:E,'Calificación consecuencia'!B:B,'Calificación consecuencia'!K:K,"No encontrada",2)</f>
        <v>Baja</v>
      </c>
      <c r="I619" s="27" t="s">
        <v>425</v>
      </c>
      <c r="J619" s="30" t="s">
        <v>116</v>
      </c>
      <c r="K619" s="21"/>
      <c r="L619" s="21"/>
      <c r="M619" s="30" t="s">
        <v>116</v>
      </c>
      <c r="N619" s="30" t="s">
        <v>116</v>
      </c>
      <c r="O619" s="21"/>
      <c r="P619" s="21"/>
      <c r="Q619" s="21"/>
      <c r="R619" s="21"/>
      <c r="S619" s="21"/>
      <c r="T619" s="21"/>
      <c r="U619" s="27" t="s">
        <v>195</v>
      </c>
      <c r="V619" s="27" t="s">
        <v>196</v>
      </c>
    </row>
    <row r="620" ht="14.25" customHeight="1">
      <c r="A620" s="27" t="s">
        <v>1254</v>
      </c>
      <c r="B620" s="27" t="s">
        <v>1253</v>
      </c>
      <c r="C620" s="27" t="str">
        <f t="array" ref="C620">INDEX(Funciones!$G$2:$G$372,MATCH($A620,Funciones!$B$2:$B$372,0))</f>
        <v>Retener el combustible a presión de prueba de 0,3 bar</v>
      </c>
      <c r="D620" s="27" t="s">
        <v>3906</v>
      </c>
      <c r="E620" s="27" t="s">
        <v>2180</v>
      </c>
      <c r="F620" s="27" t="s">
        <v>3915</v>
      </c>
      <c r="G620" s="27" t="s">
        <v>3917</v>
      </c>
      <c r="H620" s="18" t="str">
        <f t="array" ref="H620">_xlfn.XLOOKUP(E:E,'Calificación consecuencia'!B:B,'Calificación consecuencia'!K:K,"No encontrada",2)</f>
        <v>Media</v>
      </c>
      <c r="I620" s="27" t="s">
        <v>425</v>
      </c>
      <c r="J620" s="30" t="s">
        <v>116</v>
      </c>
      <c r="K620" s="21"/>
      <c r="L620" s="21"/>
      <c r="M620" s="30" t="s">
        <v>116</v>
      </c>
      <c r="N620" s="30" t="s">
        <v>116</v>
      </c>
      <c r="O620" s="21"/>
      <c r="P620" s="21"/>
      <c r="Q620" s="21"/>
      <c r="R620" s="21"/>
      <c r="S620" s="21"/>
      <c r="T620" s="21"/>
      <c r="U620" s="27" t="s">
        <v>195</v>
      </c>
      <c r="V620" s="27" t="s">
        <v>196</v>
      </c>
    </row>
    <row r="621" ht="14.25" customHeight="1">
      <c r="A621" s="27" t="s">
        <v>1254</v>
      </c>
      <c r="B621" s="27" t="s">
        <v>1253</v>
      </c>
      <c r="C621" s="27" t="str">
        <f t="array" ref="C621">INDEX(Funciones!$G$2:$G$372,MATCH($A621,Funciones!$B$2:$B$372,0))</f>
        <v>Retener el combustible a presión de prueba de 0,3 bar</v>
      </c>
      <c r="D621" s="27" t="s">
        <v>3906</v>
      </c>
      <c r="E621" s="27" t="s">
        <v>2186</v>
      </c>
      <c r="F621" s="27" t="s">
        <v>3923</v>
      </c>
      <c r="G621" s="27" t="s">
        <v>3924</v>
      </c>
      <c r="H621" s="18" t="str">
        <f t="array" ref="H621">_xlfn.XLOOKUP(E:E,'Calificación consecuencia'!B:B,'Calificación consecuencia'!K:K,"No encontrada",2)</f>
        <v>Media</v>
      </c>
      <c r="I621" s="27" t="s">
        <v>425</v>
      </c>
      <c r="J621" s="30" t="s">
        <v>116</v>
      </c>
      <c r="K621" s="21"/>
      <c r="L621" s="21"/>
      <c r="M621" s="30" t="s">
        <v>116</v>
      </c>
      <c r="N621" s="30" t="s">
        <v>116</v>
      </c>
      <c r="O621" s="21"/>
      <c r="P621" s="21"/>
      <c r="Q621" s="21"/>
      <c r="R621" s="21"/>
      <c r="S621" s="21"/>
      <c r="T621" s="21"/>
      <c r="U621" s="27" t="s">
        <v>195</v>
      </c>
      <c r="V621" s="27" t="s">
        <v>196</v>
      </c>
    </row>
    <row r="622" ht="14.25" customHeight="1">
      <c r="A622" s="9" t="s">
        <v>1264</v>
      </c>
      <c r="B622" s="9" t="s">
        <v>1263</v>
      </c>
      <c r="C622" s="9" t="str">
        <f t="array" ref="C622">INDEX(Funciones!$G$2:$G$372,MATCH($A622,Funciones!$B$2:$B$372,0))</f>
        <v>Generar corriente de carga de _____ A</v>
      </c>
      <c r="D622" s="9" t="s">
        <v>4207</v>
      </c>
      <c r="E622" s="9" t="s">
        <v>3379</v>
      </c>
      <c r="F622" s="9" t="s">
        <v>4208</v>
      </c>
      <c r="G622" s="9" t="s">
        <v>4209</v>
      </c>
      <c r="H622" s="18" t="str">
        <f t="array" ref="H622">_xlfn.XLOOKUP(E:E,'Calificación consecuencia'!B:B,'Calificación consecuencia'!K:K,"No encontrada",2)</f>
        <v>Baja</v>
      </c>
      <c r="I622" s="9" t="s">
        <v>339</v>
      </c>
      <c r="J622" s="20" t="s">
        <v>116</v>
      </c>
      <c r="K622" s="21"/>
      <c r="L622" s="21"/>
      <c r="M622" s="22" t="s">
        <v>120</v>
      </c>
      <c r="N622" s="21"/>
      <c r="O622" s="20" t="s">
        <v>116</v>
      </c>
      <c r="P622" s="20" t="s">
        <v>116</v>
      </c>
      <c r="Q622" s="21"/>
      <c r="R622" s="21"/>
      <c r="S622" s="21"/>
      <c r="T622" s="21"/>
      <c r="U622" s="9" t="s">
        <v>345</v>
      </c>
      <c r="V622" s="9" t="s">
        <v>196</v>
      </c>
    </row>
    <row r="623" ht="14.25" customHeight="1">
      <c r="A623" s="9" t="s">
        <v>1264</v>
      </c>
      <c r="B623" s="9" t="s">
        <v>1263</v>
      </c>
      <c r="C623" s="9" t="str">
        <f t="array" ref="C623">INDEX(Funciones!$G$2:$G$372,MATCH($A623,Funciones!$B$2:$B$372,0))</f>
        <v>Generar corriente de carga de _____ A</v>
      </c>
      <c r="D623" s="9" t="s">
        <v>4207</v>
      </c>
      <c r="E623" s="9" t="s">
        <v>3383</v>
      </c>
      <c r="F623" s="9" t="s">
        <v>4210</v>
      </c>
      <c r="G623" s="9" t="s">
        <v>4211</v>
      </c>
      <c r="H623" s="18" t="str">
        <f t="array" ref="H623">_xlfn.XLOOKUP(E:E,'Calificación consecuencia'!B:B,'Calificación consecuencia'!K:K,"No encontrada",2)</f>
        <v>Baja</v>
      </c>
      <c r="I623" s="9" t="s">
        <v>339</v>
      </c>
      <c r="J623" s="20" t="s">
        <v>116</v>
      </c>
      <c r="K623" s="21"/>
      <c r="L623" s="21"/>
      <c r="M623" s="22" t="s">
        <v>120</v>
      </c>
      <c r="N623" s="21"/>
      <c r="O623" s="20" t="s">
        <v>116</v>
      </c>
      <c r="P623" s="20" t="s">
        <v>116</v>
      </c>
      <c r="Q623" s="21"/>
      <c r="R623" s="21"/>
      <c r="S623" s="21"/>
      <c r="T623" s="21"/>
      <c r="U623" s="9" t="s">
        <v>345</v>
      </c>
      <c r="V623" s="9" t="s">
        <v>196</v>
      </c>
    </row>
    <row r="624" ht="14.25" customHeight="1">
      <c r="A624" s="9" t="s">
        <v>1264</v>
      </c>
      <c r="B624" s="9" t="s">
        <v>1263</v>
      </c>
      <c r="C624" s="9" t="str">
        <f t="array" ref="C624">INDEX(Funciones!$G$2:$G$372,MATCH($A624,Funciones!$B$2:$B$372,0))</f>
        <v>Generar corriente de carga de _____ A</v>
      </c>
      <c r="D624" s="9" t="s">
        <v>4212</v>
      </c>
      <c r="E624" s="9" t="s">
        <v>3384</v>
      </c>
      <c r="F624" s="9" t="s">
        <v>4213</v>
      </c>
      <c r="G624" s="9" t="s">
        <v>4214</v>
      </c>
      <c r="H624" s="18" t="str">
        <f t="array" ref="H624">_xlfn.XLOOKUP(E:E,'Calificación consecuencia'!B:B,'Calificación consecuencia'!K:K,"No encontrada",2)</f>
        <v>Baja</v>
      </c>
      <c r="I624" s="9" t="s">
        <v>1800</v>
      </c>
      <c r="J624" s="20" t="s">
        <v>116</v>
      </c>
      <c r="K624" s="21"/>
      <c r="L624" s="21"/>
      <c r="M624" s="22" t="s">
        <v>120</v>
      </c>
      <c r="N624" s="21"/>
      <c r="O624" s="22" t="s">
        <v>120</v>
      </c>
      <c r="P624" s="21"/>
      <c r="Q624" s="21"/>
      <c r="R624" s="21"/>
      <c r="S624" s="20" t="s">
        <v>116</v>
      </c>
      <c r="T624" s="20" t="s">
        <v>116</v>
      </c>
      <c r="U624" s="9" t="s">
        <v>3471</v>
      </c>
      <c r="V624" s="9" t="s">
        <v>196</v>
      </c>
    </row>
    <row r="625" ht="14.25" customHeight="1">
      <c r="A625" s="9" t="s">
        <v>1264</v>
      </c>
      <c r="B625" s="9" t="s">
        <v>1263</v>
      </c>
      <c r="C625" s="9" t="str">
        <f t="array" ref="C625">INDEX(Funciones!$G$2:$G$372,MATCH($A625,Funciones!$B$2:$B$372,0))</f>
        <v>Generar corriente de carga de _____ A</v>
      </c>
      <c r="D625" s="9" t="s">
        <v>4212</v>
      </c>
      <c r="E625" s="9" t="s">
        <v>3385</v>
      </c>
      <c r="F625" s="9" t="s">
        <v>4215</v>
      </c>
      <c r="G625" s="9" t="s">
        <v>4216</v>
      </c>
      <c r="H625" s="18" t="str">
        <f t="array" ref="H625">_xlfn.XLOOKUP(E:E,'Calificación consecuencia'!B:B,'Calificación consecuencia'!K:K,"No encontrada",2)</f>
        <v>Media</v>
      </c>
      <c r="I625" s="9" t="s">
        <v>1800</v>
      </c>
      <c r="J625" s="20" t="s">
        <v>116</v>
      </c>
      <c r="K625" s="21"/>
      <c r="L625" s="21"/>
      <c r="M625" s="22" t="s">
        <v>120</v>
      </c>
      <c r="N625" s="21"/>
      <c r="O625" s="22" t="s">
        <v>120</v>
      </c>
      <c r="P625" s="21"/>
      <c r="Q625" s="21"/>
      <c r="R625" s="21"/>
      <c r="S625" s="20" t="s">
        <v>116</v>
      </c>
      <c r="T625" s="20" t="s">
        <v>116</v>
      </c>
      <c r="U625" s="9" t="s">
        <v>3471</v>
      </c>
      <c r="V625" s="9" t="s">
        <v>196</v>
      </c>
    </row>
    <row r="626" ht="14.25" customHeight="1">
      <c r="A626" s="9" t="s">
        <v>1264</v>
      </c>
      <c r="B626" s="9" t="s">
        <v>1263</v>
      </c>
      <c r="C626" s="9" t="str">
        <f t="array" ref="C626">INDEX(Funciones!$G$2:$G$372,MATCH($A626,Funciones!$B$2:$B$372,0))</f>
        <v>Generar corriente de carga de _____ A</v>
      </c>
      <c r="D626" s="9" t="s">
        <v>4217</v>
      </c>
      <c r="E626" s="9" t="s">
        <v>1728</v>
      </c>
      <c r="F626" s="9" t="s">
        <v>4218</v>
      </c>
      <c r="G626" s="9" t="s">
        <v>3572</v>
      </c>
      <c r="H626" s="18" t="str">
        <f t="array" ref="H626">_xlfn.XLOOKUP(E:E,'Calificación consecuencia'!B:B,'Calificación consecuencia'!K:K,"No encontrada",2)</f>
        <v>Baja</v>
      </c>
      <c r="I626" s="9" t="s">
        <v>2106</v>
      </c>
      <c r="J626" s="20" t="s">
        <v>116</v>
      </c>
      <c r="K626" s="21"/>
      <c r="L626" s="21"/>
      <c r="M626" s="22" t="s">
        <v>120</v>
      </c>
      <c r="N626" s="21"/>
      <c r="O626" s="22" t="s">
        <v>120</v>
      </c>
      <c r="P626" s="21"/>
      <c r="Q626" s="21"/>
      <c r="R626" s="21"/>
      <c r="S626" s="22" t="s">
        <v>120</v>
      </c>
      <c r="T626" s="21"/>
      <c r="U626" s="9" t="s">
        <v>1680</v>
      </c>
      <c r="V626" s="9" t="s">
        <v>1408</v>
      </c>
    </row>
    <row r="627" ht="14.25" customHeight="1">
      <c r="A627" s="27" t="s">
        <v>1276</v>
      </c>
      <c r="B627" s="27" t="s">
        <v>1274</v>
      </c>
      <c r="C627" s="27" t="str">
        <f t="array" ref="C627">INDEX(Funciones!$G$2:$G$372,MATCH($A627,Funciones!$B$2:$B$372,0))</f>
        <v>Suministrar la corriente de arranque con tensión mínima de 19,2 V</v>
      </c>
      <c r="D627" s="27" t="s">
        <v>3287</v>
      </c>
      <c r="E627" s="27" t="s">
        <v>1191</v>
      </c>
      <c r="F627" s="27" t="s">
        <v>3288</v>
      </c>
      <c r="G627" s="27" t="s">
        <v>3289</v>
      </c>
      <c r="H627" s="18" t="str">
        <f t="array" ref="H627">_xlfn.XLOOKUP(E:E,'Calificación consecuencia'!B:B,'Calificación consecuencia'!K:K,"No encontrada",2)</f>
        <v>Media</v>
      </c>
      <c r="I627" s="27" t="s">
        <v>339</v>
      </c>
      <c r="J627" s="30" t="s">
        <v>116</v>
      </c>
      <c r="K627" s="21"/>
      <c r="L627" s="21"/>
      <c r="M627" s="29" t="s">
        <v>120</v>
      </c>
      <c r="N627" s="21"/>
      <c r="O627" s="30" t="s">
        <v>116</v>
      </c>
      <c r="P627" s="29" t="s">
        <v>120</v>
      </c>
      <c r="Q627" s="30" t="s">
        <v>116</v>
      </c>
      <c r="R627" s="21"/>
      <c r="S627" s="21"/>
      <c r="T627" s="21"/>
      <c r="U627" s="27" t="s">
        <v>785</v>
      </c>
      <c r="V627" s="27" t="s">
        <v>786</v>
      </c>
    </row>
    <row r="628" ht="14.25" customHeight="1">
      <c r="A628" s="27" t="s">
        <v>1276</v>
      </c>
      <c r="B628" s="27" t="s">
        <v>1274</v>
      </c>
      <c r="C628" s="27" t="str">
        <f t="array" ref="C628">INDEX(Funciones!$G$2:$G$372,MATCH($A628,Funciones!$B$2:$B$372,0))</f>
        <v>Suministrar la corriente de arranque con tensión mínima de 19,2 V</v>
      </c>
      <c r="D628" s="27" t="s">
        <v>3287</v>
      </c>
      <c r="E628" s="27" t="s">
        <v>1195</v>
      </c>
      <c r="F628" s="27" t="s">
        <v>3290</v>
      </c>
      <c r="G628" s="27" t="s">
        <v>3291</v>
      </c>
      <c r="H628" s="18" t="str">
        <f t="array" ref="H628">_xlfn.XLOOKUP(E:E,'Calificación consecuencia'!B:B,'Calificación consecuencia'!K:K,"No encontrada",2)</f>
        <v>Baja</v>
      </c>
      <c r="I628" s="27" t="s">
        <v>339</v>
      </c>
      <c r="J628" s="30" t="s">
        <v>116</v>
      </c>
      <c r="K628" s="21"/>
      <c r="L628" s="21"/>
      <c r="M628" s="29" t="s">
        <v>120</v>
      </c>
      <c r="N628" s="21"/>
      <c r="O628" s="30" t="s">
        <v>116</v>
      </c>
      <c r="P628" s="29" t="s">
        <v>120</v>
      </c>
      <c r="Q628" s="30" t="s">
        <v>116</v>
      </c>
      <c r="R628" s="21"/>
      <c r="S628" s="21"/>
      <c r="T628" s="21"/>
      <c r="U628" s="27" t="s">
        <v>785</v>
      </c>
      <c r="V628" s="27" t="s">
        <v>786</v>
      </c>
    </row>
    <row r="629" ht="14.25" customHeight="1">
      <c r="A629" s="27" t="s">
        <v>1276</v>
      </c>
      <c r="B629" s="27" t="s">
        <v>1274</v>
      </c>
      <c r="C629" s="27" t="str">
        <f t="array" ref="C629">INDEX(Funciones!$G$2:$G$372,MATCH($A629,Funciones!$B$2:$B$372,0))</f>
        <v>Suministrar la corriente de arranque con tensión mínima de 19,2 V</v>
      </c>
      <c r="D629" s="27" t="s">
        <v>3287</v>
      </c>
      <c r="E629" s="27" t="s">
        <v>1204</v>
      </c>
      <c r="F629" s="27" t="s">
        <v>3292</v>
      </c>
      <c r="G629" s="27" t="s">
        <v>3293</v>
      </c>
      <c r="H629" s="18" t="str">
        <f t="array" ref="H629">_xlfn.XLOOKUP(E:E,'Calificación consecuencia'!B:B,'Calificación consecuencia'!K:K,"No encontrada",2)</f>
        <v>Baja</v>
      </c>
      <c r="I629" s="27" t="s">
        <v>339</v>
      </c>
      <c r="J629" s="30" t="s">
        <v>116</v>
      </c>
      <c r="K629" s="21"/>
      <c r="L629" s="21"/>
      <c r="M629" s="29" t="s">
        <v>120</v>
      </c>
      <c r="N629" s="21"/>
      <c r="O629" s="30" t="s">
        <v>116</v>
      </c>
      <c r="P629" s="29" t="s">
        <v>120</v>
      </c>
      <c r="Q629" s="29" t="s">
        <v>120</v>
      </c>
      <c r="R629" s="30" t="s">
        <v>116</v>
      </c>
      <c r="S629" s="21"/>
      <c r="T629" s="21"/>
      <c r="U629" s="27" t="s">
        <v>1680</v>
      </c>
      <c r="V629" s="27" t="s">
        <v>1408</v>
      </c>
    </row>
    <row r="630" ht="14.25" customHeight="1">
      <c r="A630" s="27" t="s">
        <v>1276</v>
      </c>
      <c r="B630" s="27" t="s">
        <v>1274</v>
      </c>
      <c r="C630" s="27" t="str">
        <f t="array" ref="C630">INDEX(Funciones!$G$2:$G$372,MATCH($A630,Funciones!$B$2:$B$372,0))</f>
        <v>Suministrar la corriente de arranque con tensión mínima de 19,2 V</v>
      </c>
      <c r="D630" s="27" t="s">
        <v>3287</v>
      </c>
      <c r="E630" s="27" t="s">
        <v>1210</v>
      </c>
      <c r="F630" s="27" t="s">
        <v>3297</v>
      </c>
      <c r="G630" s="27" t="s">
        <v>3298</v>
      </c>
      <c r="H630" s="18" t="str">
        <f t="array" ref="H630">_xlfn.XLOOKUP(E:E,'Calificación consecuencia'!B:B,'Calificación consecuencia'!K:K,"No encontrada",2)</f>
        <v>Media</v>
      </c>
      <c r="I630" s="27" t="s">
        <v>339</v>
      </c>
      <c r="J630" s="30" t="s">
        <v>116</v>
      </c>
      <c r="K630" s="21"/>
      <c r="L630" s="21"/>
      <c r="M630" s="29" t="s">
        <v>120</v>
      </c>
      <c r="N630" s="21"/>
      <c r="O630" s="30" t="s">
        <v>116</v>
      </c>
      <c r="P630" s="29" t="s">
        <v>120</v>
      </c>
      <c r="Q630" s="30" t="s">
        <v>116</v>
      </c>
      <c r="R630" s="21"/>
      <c r="S630" s="21"/>
      <c r="T630" s="21"/>
      <c r="U630" s="27" t="s">
        <v>785</v>
      </c>
      <c r="V630" s="27" t="s">
        <v>786</v>
      </c>
    </row>
    <row r="631" ht="14.25" customHeight="1">
      <c r="A631" s="27" t="s">
        <v>1276</v>
      </c>
      <c r="B631" s="27" t="s">
        <v>1274</v>
      </c>
      <c r="C631" s="27" t="str">
        <f t="array" ref="C631">INDEX(Funciones!$G$2:$G$372,MATCH($A631,Funciones!$B$2:$B$372,0))</f>
        <v>Suministrar la corriente de arranque con tensión mínima de 19,2 V</v>
      </c>
      <c r="D631" s="27" t="s">
        <v>3287</v>
      </c>
      <c r="E631" s="27" t="s">
        <v>1219</v>
      </c>
      <c r="F631" s="27" t="s">
        <v>3301</v>
      </c>
      <c r="G631" s="27" t="s">
        <v>3302</v>
      </c>
      <c r="H631" s="18" t="str">
        <f t="array" ref="H631">_xlfn.XLOOKUP(E:E,'Calificación consecuencia'!B:B,'Calificación consecuencia'!K:K,"No encontrada",2)</f>
        <v>Media</v>
      </c>
      <c r="I631" s="27" t="s">
        <v>339</v>
      </c>
      <c r="J631" s="30" t="s">
        <v>116</v>
      </c>
      <c r="K631" s="21"/>
      <c r="L631" s="21"/>
      <c r="M631" s="29" t="s">
        <v>120</v>
      </c>
      <c r="N631" s="21"/>
      <c r="O631" s="30" t="s">
        <v>116</v>
      </c>
      <c r="P631" s="29" t="s">
        <v>120</v>
      </c>
      <c r="Q631" s="30" t="s">
        <v>116</v>
      </c>
      <c r="R631" s="21"/>
      <c r="S631" s="21"/>
      <c r="T631" s="21"/>
      <c r="U631" s="27" t="s">
        <v>785</v>
      </c>
      <c r="V631" s="27" t="s">
        <v>786</v>
      </c>
    </row>
    <row r="632" ht="14.25" customHeight="1">
      <c r="A632" s="27" t="s">
        <v>1276</v>
      </c>
      <c r="B632" s="27" t="s">
        <v>1274</v>
      </c>
      <c r="C632" s="27" t="str">
        <f t="array" ref="C632">INDEX(Funciones!$G$2:$G$372,MATCH($A632,Funciones!$B$2:$B$372,0))</f>
        <v>Suministrar la corriente de arranque con tensión mínima de 19,2 V</v>
      </c>
      <c r="D632" s="27" t="s">
        <v>3304</v>
      </c>
      <c r="E632" s="27" t="s">
        <v>1228</v>
      </c>
      <c r="F632" s="27" t="s">
        <v>3305</v>
      </c>
      <c r="G632" s="27" t="s">
        <v>3306</v>
      </c>
      <c r="H632" s="18" t="str">
        <f t="array" ref="H632">_xlfn.XLOOKUP(E:E,'Calificación consecuencia'!B:B,'Calificación consecuencia'!K:K,"No encontrada",2)</f>
        <v>Baja</v>
      </c>
      <c r="I632" s="27" t="s">
        <v>2106</v>
      </c>
      <c r="J632" s="30" t="s">
        <v>116</v>
      </c>
      <c r="K632" s="21"/>
      <c r="L632" s="21"/>
      <c r="M632" s="29" t="s">
        <v>120</v>
      </c>
      <c r="N632" s="21"/>
      <c r="O632" s="29" t="s">
        <v>120</v>
      </c>
      <c r="P632" s="21"/>
      <c r="Q632" s="21"/>
      <c r="R632" s="21"/>
      <c r="S632" s="29" t="s">
        <v>120</v>
      </c>
      <c r="T632" s="21"/>
      <c r="U632" s="27" t="s">
        <v>1680</v>
      </c>
      <c r="V632" s="27" t="s">
        <v>1408</v>
      </c>
    </row>
    <row r="633" ht="14.25" customHeight="1">
      <c r="A633" s="27" t="s">
        <v>1276</v>
      </c>
      <c r="B633" s="27" t="s">
        <v>1274</v>
      </c>
      <c r="C633" s="27" t="str">
        <f t="array" ref="C633">INDEX(Funciones!$G$2:$G$372,MATCH($A633,Funciones!$B$2:$B$372,0))</f>
        <v>Suministrar la corriente de arranque con tensión mínima de 19,2 V</v>
      </c>
      <c r="D633" s="27" t="s">
        <v>3304</v>
      </c>
      <c r="E633" s="27" t="s">
        <v>1233</v>
      </c>
      <c r="F633" s="27" t="s">
        <v>3307</v>
      </c>
      <c r="G633" s="27" t="s">
        <v>3308</v>
      </c>
      <c r="H633" s="18" t="str">
        <f t="array" ref="H633">_xlfn.XLOOKUP(E:E,'Calificación consecuencia'!B:B,'Calificación consecuencia'!K:K,"No encontrada",2)</f>
        <v>Baja</v>
      </c>
      <c r="I633" s="27" t="s">
        <v>2106</v>
      </c>
      <c r="J633" s="30" t="s">
        <v>116</v>
      </c>
      <c r="K633" s="21"/>
      <c r="L633" s="21"/>
      <c r="M633" s="29" t="s">
        <v>120</v>
      </c>
      <c r="N633" s="21"/>
      <c r="O633" s="29" t="s">
        <v>120</v>
      </c>
      <c r="P633" s="21"/>
      <c r="Q633" s="21"/>
      <c r="R633" s="21"/>
      <c r="S633" s="29" t="s">
        <v>120</v>
      </c>
      <c r="T633" s="21"/>
      <c r="U633" s="27" t="s">
        <v>1680</v>
      </c>
      <c r="V633" s="27" t="s">
        <v>1408</v>
      </c>
    </row>
    <row r="634" ht="14.25" customHeight="1">
      <c r="A634" s="9" t="s">
        <v>1285</v>
      </c>
      <c r="B634" s="9" t="s">
        <v>1274</v>
      </c>
      <c r="C634" s="9" t="str">
        <f t="array" ref="C634">INDEX(Funciones!$G$2:$G$372,MATCH($A634,Funciones!$B$2:$B$372,0))</f>
        <v>Almacenar energía eléctrica con tensión mínima de 19,2 V</v>
      </c>
      <c r="D634" s="9" t="s">
        <v>3309</v>
      </c>
      <c r="E634" s="9" t="s">
        <v>1191</v>
      </c>
      <c r="F634" s="9" t="s">
        <v>3288</v>
      </c>
      <c r="G634" s="9" t="s">
        <v>3289</v>
      </c>
      <c r="H634" s="18" t="str">
        <f t="array" ref="H634">_xlfn.XLOOKUP(E:E,'Calificación consecuencia'!B:B,'Calificación consecuencia'!K:K,"No encontrada",2)</f>
        <v>Media</v>
      </c>
      <c r="I634" s="9" t="s">
        <v>339</v>
      </c>
      <c r="J634" s="20" t="s">
        <v>116</v>
      </c>
      <c r="K634" s="21"/>
      <c r="L634" s="21"/>
      <c r="M634" s="22" t="s">
        <v>120</v>
      </c>
      <c r="N634" s="21"/>
      <c r="O634" s="20" t="s">
        <v>116</v>
      </c>
      <c r="P634" s="22" t="s">
        <v>120</v>
      </c>
      <c r="Q634" s="20" t="s">
        <v>116</v>
      </c>
      <c r="R634" s="21"/>
      <c r="S634" s="21"/>
      <c r="T634" s="21"/>
      <c r="U634" s="9" t="s">
        <v>785</v>
      </c>
      <c r="V634" s="9" t="s">
        <v>786</v>
      </c>
    </row>
    <row r="635" ht="14.25" customHeight="1">
      <c r="A635" s="9" t="s">
        <v>1285</v>
      </c>
      <c r="B635" s="9" t="s">
        <v>1274</v>
      </c>
      <c r="C635" s="9" t="str">
        <f t="array" ref="C635">INDEX(Funciones!$G$2:$G$372,MATCH($A635,Funciones!$B$2:$B$372,0))</f>
        <v>Almacenar energía eléctrica con tensión mínima de 19,2 V</v>
      </c>
      <c r="D635" s="9" t="s">
        <v>3309</v>
      </c>
      <c r="E635" s="9" t="s">
        <v>1204</v>
      </c>
      <c r="F635" s="9" t="s">
        <v>3292</v>
      </c>
      <c r="G635" s="9" t="s">
        <v>3293</v>
      </c>
      <c r="H635" s="18" t="str">
        <f t="array" ref="H635">_xlfn.XLOOKUP(E:E,'Calificación consecuencia'!B:B,'Calificación consecuencia'!K:K,"No encontrada",2)</f>
        <v>Baja</v>
      </c>
      <c r="I635" s="9" t="s">
        <v>339</v>
      </c>
      <c r="J635" s="20" t="s">
        <v>116</v>
      </c>
      <c r="K635" s="21"/>
      <c r="L635" s="21"/>
      <c r="M635" s="22" t="s">
        <v>120</v>
      </c>
      <c r="N635" s="21"/>
      <c r="O635" s="20" t="s">
        <v>116</v>
      </c>
      <c r="P635" s="22" t="s">
        <v>120</v>
      </c>
      <c r="Q635" s="22" t="s">
        <v>120</v>
      </c>
      <c r="R635" s="20" t="s">
        <v>116</v>
      </c>
      <c r="S635" s="21"/>
      <c r="T635" s="21"/>
      <c r="U635" s="9" t="s">
        <v>1680</v>
      </c>
      <c r="V635" s="9" t="s">
        <v>1408</v>
      </c>
    </row>
    <row r="636" ht="14.25" customHeight="1">
      <c r="A636" s="9" t="s">
        <v>1285</v>
      </c>
      <c r="B636" s="9" t="s">
        <v>1274</v>
      </c>
      <c r="C636" s="9" t="str">
        <f t="array" ref="C636">INDEX(Funciones!$G$2:$G$372,MATCH($A636,Funciones!$B$2:$B$372,0))</f>
        <v>Almacenar energía eléctrica con tensión mínima de 19,2 V</v>
      </c>
      <c r="D636" s="9" t="s">
        <v>3310</v>
      </c>
      <c r="E636" s="9" t="s">
        <v>1228</v>
      </c>
      <c r="F636" s="9" t="s">
        <v>3305</v>
      </c>
      <c r="G636" s="9" t="s">
        <v>3306</v>
      </c>
      <c r="H636" s="18" t="str">
        <f t="array" ref="H636">_xlfn.XLOOKUP(E:E,'Calificación consecuencia'!B:B,'Calificación consecuencia'!K:K,"No encontrada",2)</f>
        <v>Baja</v>
      </c>
      <c r="I636" s="9" t="s">
        <v>2106</v>
      </c>
      <c r="J636" s="20" t="s">
        <v>116</v>
      </c>
      <c r="K636" s="21"/>
      <c r="L636" s="21"/>
      <c r="M636" s="22" t="s">
        <v>120</v>
      </c>
      <c r="N636" s="21"/>
      <c r="O636" s="22" t="s">
        <v>120</v>
      </c>
      <c r="P636" s="21"/>
      <c r="Q636" s="21"/>
      <c r="R636" s="21"/>
      <c r="S636" s="22" t="s">
        <v>120</v>
      </c>
      <c r="T636" s="21"/>
      <c r="U636" s="9" t="s">
        <v>1680</v>
      </c>
      <c r="V636" s="9" t="s">
        <v>1408</v>
      </c>
    </row>
    <row r="637" ht="14.25" customHeight="1">
      <c r="A637" s="27" t="s">
        <v>1288</v>
      </c>
      <c r="B637" s="27" t="s">
        <v>1287</v>
      </c>
      <c r="C637" s="27" t="str">
        <f t="array" ref="C637">INDEX(Funciones!$G$2:$G$372,MATCH($A637,Funciones!$B$2:$B$372,0))</f>
        <v>Presurizar los cilindros de freno entre 3,7 y 3,9 bar</v>
      </c>
      <c r="D637" s="27" t="s">
        <v>3311</v>
      </c>
      <c r="E637" s="27" t="s">
        <v>1246</v>
      </c>
      <c r="F637" s="27" t="s">
        <v>3312</v>
      </c>
      <c r="G637" s="27" t="s">
        <v>3313</v>
      </c>
      <c r="H637" s="18" t="str">
        <f t="array" ref="H637">_xlfn.XLOOKUP(E:E,'Calificación consecuencia'!B:B,'Calificación consecuencia'!K:K,"No encontrada",2)</f>
        <v>Media</v>
      </c>
      <c r="I637" s="27" t="s">
        <v>425</v>
      </c>
      <c r="J637" s="30" t="s">
        <v>116</v>
      </c>
      <c r="K637" s="21"/>
      <c r="L637" s="21"/>
      <c r="M637" s="30" t="s">
        <v>116</v>
      </c>
      <c r="N637" s="30" t="s">
        <v>116</v>
      </c>
      <c r="O637" s="21"/>
      <c r="P637" s="21"/>
      <c r="Q637" s="21"/>
      <c r="R637" s="21"/>
      <c r="S637" s="21"/>
      <c r="T637" s="21"/>
      <c r="U637" s="27" t="s">
        <v>195</v>
      </c>
      <c r="V637" s="27" t="s">
        <v>196</v>
      </c>
    </row>
    <row r="638" ht="14.25" customHeight="1">
      <c r="A638" s="27" t="s">
        <v>1288</v>
      </c>
      <c r="B638" s="27" t="s">
        <v>1287</v>
      </c>
      <c r="C638" s="27" t="str">
        <f t="array" ref="C638">INDEX(Funciones!$G$2:$G$372,MATCH($A638,Funciones!$B$2:$B$372,0))</f>
        <v>Presurizar los cilindros de freno entre 3,7 y 3,9 bar</v>
      </c>
      <c r="D638" s="27" t="s">
        <v>3311</v>
      </c>
      <c r="E638" s="27" t="s">
        <v>1248</v>
      </c>
      <c r="F638" s="27" t="s">
        <v>3314</v>
      </c>
      <c r="G638" s="27" t="s">
        <v>3315</v>
      </c>
      <c r="H638" s="18" t="str">
        <f t="array" ref="H638">_xlfn.XLOOKUP(E:E,'Calificación consecuencia'!B:B,'Calificación consecuencia'!K:K,"No encontrada",2)</f>
        <v>Media</v>
      </c>
      <c r="I638" s="27" t="s">
        <v>425</v>
      </c>
      <c r="J638" s="30" t="s">
        <v>116</v>
      </c>
      <c r="K638" s="21"/>
      <c r="L638" s="21"/>
      <c r="M638" s="30" t="s">
        <v>116</v>
      </c>
      <c r="N638" s="30" t="s">
        <v>116</v>
      </c>
      <c r="O638" s="21"/>
      <c r="P638" s="21"/>
      <c r="Q638" s="21"/>
      <c r="R638" s="21"/>
      <c r="S638" s="21"/>
      <c r="T638" s="21"/>
      <c r="U638" s="27" t="s">
        <v>195</v>
      </c>
      <c r="V638" s="27" t="s">
        <v>196</v>
      </c>
    </row>
    <row r="639" ht="14.25" customHeight="1">
      <c r="A639" s="27" t="s">
        <v>1288</v>
      </c>
      <c r="B639" s="27" t="s">
        <v>1287</v>
      </c>
      <c r="C639" s="27" t="str">
        <f t="array" ref="C639">INDEX(Funciones!$G$2:$G$372,MATCH($A639,Funciones!$B$2:$B$372,0))</f>
        <v>Presurizar los cilindros de freno entre 3,7 y 3,9 bar</v>
      </c>
      <c r="D639" s="27" t="s">
        <v>3316</v>
      </c>
      <c r="E639" s="27" t="s">
        <v>1255</v>
      </c>
      <c r="F639" s="27" t="s">
        <v>3318</v>
      </c>
      <c r="G639" s="27" t="s">
        <v>3319</v>
      </c>
      <c r="H639" s="18" t="str">
        <f t="array" ref="H639">_xlfn.XLOOKUP(E:E,'Calificación consecuencia'!B:B,'Calificación consecuencia'!K:K,"No encontrada",2)</f>
        <v>Baja</v>
      </c>
      <c r="I639" s="27" t="s">
        <v>425</v>
      </c>
      <c r="J639" s="30" t="s">
        <v>116</v>
      </c>
      <c r="K639" s="21"/>
      <c r="L639" s="21"/>
      <c r="M639" s="30" t="s">
        <v>116</v>
      </c>
      <c r="N639" s="30" t="s">
        <v>116</v>
      </c>
      <c r="O639" s="21"/>
      <c r="P639" s="21"/>
      <c r="Q639" s="21"/>
      <c r="R639" s="21"/>
      <c r="S639" s="21"/>
      <c r="T639" s="21"/>
      <c r="U639" s="27" t="s">
        <v>195</v>
      </c>
      <c r="V639" s="27" t="s">
        <v>196</v>
      </c>
    </row>
    <row r="640" ht="14.25" customHeight="1">
      <c r="A640" s="27" t="s">
        <v>1288</v>
      </c>
      <c r="B640" s="27" t="s">
        <v>1287</v>
      </c>
      <c r="C640" s="27" t="str">
        <f t="array" ref="C640">INDEX(Funciones!$G$2:$G$372,MATCH($A640,Funciones!$B$2:$B$372,0))</f>
        <v>Presurizar los cilindros de freno entre 3,7 y 3,9 bar</v>
      </c>
      <c r="D640" s="27" t="s">
        <v>3316</v>
      </c>
      <c r="E640" s="27" t="s">
        <v>1259</v>
      </c>
      <c r="F640" s="27" t="s">
        <v>3322</v>
      </c>
      <c r="G640" s="27" t="s">
        <v>3323</v>
      </c>
      <c r="H640" s="18" t="str">
        <f t="array" ref="H640">_xlfn.XLOOKUP(E:E,'Calificación consecuencia'!B:B,'Calificación consecuencia'!K:K,"No encontrada",2)</f>
        <v>Baja</v>
      </c>
      <c r="I640" s="27" t="s">
        <v>425</v>
      </c>
      <c r="J640" s="30" t="s">
        <v>116</v>
      </c>
      <c r="K640" s="21"/>
      <c r="L640" s="21"/>
      <c r="M640" s="30" t="s">
        <v>116</v>
      </c>
      <c r="N640" s="30" t="s">
        <v>116</v>
      </c>
      <c r="O640" s="21"/>
      <c r="P640" s="21"/>
      <c r="Q640" s="21"/>
      <c r="R640" s="21"/>
      <c r="S640" s="21"/>
      <c r="T640" s="21"/>
      <c r="U640" s="27" t="s">
        <v>195</v>
      </c>
      <c r="V640" s="27" t="s">
        <v>196</v>
      </c>
    </row>
    <row r="641" ht="14.25" customHeight="1">
      <c r="A641" s="27" t="s">
        <v>1288</v>
      </c>
      <c r="B641" s="27" t="s">
        <v>1287</v>
      </c>
      <c r="C641" s="27" t="str">
        <f t="array" ref="C641">INDEX(Funciones!$G$2:$G$372,MATCH($A641,Funciones!$B$2:$B$372,0))</f>
        <v>Presurizar los cilindros de freno entre 3,7 y 3,9 bar</v>
      </c>
      <c r="D641" s="27" t="s">
        <v>3324</v>
      </c>
      <c r="E641" s="27" t="s">
        <v>1265</v>
      </c>
      <c r="F641" s="27" t="s">
        <v>3325</v>
      </c>
      <c r="G641" s="27" t="s">
        <v>3326</v>
      </c>
      <c r="H641" s="18" t="str">
        <f t="array" ref="H641">_xlfn.XLOOKUP(E:E,'Calificación consecuencia'!B:B,'Calificación consecuencia'!K:K,"No encontrada",2)</f>
        <v>Media</v>
      </c>
      <c r="I641" s="27" t="s">
        <v>425</v>
      </c>
      <c r="J641" s="30" t="s">
        <v>116</v>
      </c>
      <c r="K641" s="21"/>
      <c r="L641" s="21"/>
      <c r="M641" s="30" t="s">
        <v>116</v>
      </c>
      <c r="N641" s="30" t="s">
        <v>116</v>
      </c>
      <c r="O641" s="21"/>
      <c r="P641" s="21"/>
      <c r="Q641" s="21"/>
      <c r="R641" s="21"/>
      <c r="S641" s="21"/>
      <c r="T641" s="21"/>
      <c r="U641" s="27" t="s">
        <v>195</v>
      </c>
      <c r="V641" s="27" t="s">
        <v>196</v>
      </c>
    </row>
    <row r="642" ht="14.25" customHeight="1">
      <c r="A642" s="27" t="s">
        <v>1288</v>
      </c>
      <c r="B642" s="27" t="s">
        <v>1287</v>
      </c>
      <c r="C642" s="27" t="str">
        <f t="array" ref="C642">INDEX(Funciones!$G$2:$G$372,MATCH($A642,Funciones!$B$2:$B$372,0))</f>
        <v>Presurizar los cilindros de freno entre 3,7 y 3,9 bar</v>
      </c>
      <c r="D642" s="27" t="s">
        <v>3329</v>
      </c>
      <c r="E642" s="27" t="s">
        <v>1275</v>
      </c>
      <c r="F642" s="27" t="s">
        <v>3330</v>
      </c>
      <c r="G642" s="27" t="s">
        <v>2473</v>
      </c>
      <c r="H642" s="18" t="str">
        <f t="array" ref="H642">_xlfn.XLOOKUP(E:E,'Calificación consecuencia'!B:B,'Calificación consecuencia'!K:K,"No encontrada",2)</f>
        <v>Baja</v>
      </c>
      <c r="I642" s="27" t="s">
        <v>425</v>
      </c>
      <c r="J642" s="30" t="s">
        <v>116</v>
      </c>
      <c r="K642" s="21"/>
      <c r="L642" s="21"/>
      <c r="M642" s="30" t="s">
        <v>116</v>
      </c>
      <c r="N642" s="30" t="s">
        <v>116</v>
      </c>
      <c r="O642" s="21"/>
      <c r="P642" s="21"/>
      <c r="Q642" s="21"/>
      <c r="R642" s="21"/>
      <c r="S642" s="21"/>
      <c r="T642" s="21"/>
      <c r="U642" s="27" t="s">
        <v>195</v>
      </c>
      <c r="V642" s="27" t="s">
        <v>196</v>
      </c>
    </row>
    <row r="643" ht="14.25" customHeight="1">
      <c r="A643" s="9" t="s">
        <v>1297</v>
      </c>
      <c r="B643" s="9" t="s">
        <v>1296</v>
      </c>
      <c r="C643" s="9" t="str">
        <f t="array" ref="C643">INDEX(Funciones!$G$2:$G$372,MATCH($A643,Funciones!$B$2:$B$372,0))</f>
        <v>Transmitir la fuerza a zapatas con juego de _____ mm</v>
      </c>
      <c r="D643" s="9" t="s">
        <v>4219</v>
      </c>
      <c r="E643" s="9" t="s">
        <v>1744</v>
      </c>
      <c r="F643" s="9" t="s">
        <v>3581</v>
      </c>
      <c r="G643" s="9" t="s">
        <v>3582</v>
      </c>
      <c r="H643" s="18" t="str">
        <f t="array" ref="H643">_xlfn.XLOOKUP(E:E,'Calificación consecuencia'!B:B,'Calificación consecuencia'!K:K,"No encontrada",2)</f>
        <v>Baja</v>
      </c>
      <c r="I643" s="9" t="s">
        <v>425</v>
      </c>
      <c r="J643" s="20" t="s">
        <v>116</v>
      </c>
      <c r="K643" s="21"/>
      <c r="L643" s="21"/>
      <c r="M643" s="20" t="s">
        <v>116</v>
      </c>
      <c r="N643" s="20" t="s">
        <v>116</v>
      </c>
      <c r="O643" s="21"/>
      <c r="P643" s="21"/>
      <c r="Q643" s="21"/>
      <c r="R643" s="21"/>
      <c r="S643" s="21"/>
      <c r="T643" s="21"/>
      <c r="U643" s="9" t="s">
        <v>195</v>
      </c>
      <c r="V643" s="9" t="s">
        <v>196</v>
      </c>
    </row>
    <row r="644" ht="14.25" customHeight="1">
      <c r="A644" s="9" t="s">
        <v>1297</v>
      </c>
      <c r="B644" s="9" t="s">
        <v>1296</v>
      </c>
      <c r="C644" s="9" t="str">
        <f t="array" ref="C644">INDEX(Funciones!$G$2:$G$372,MATCH($A644,Funciones!$B$2:$B$372,0))</f>
        <v>Transmitir la fuerza a zapatas con juego de _____ mm</v>
      </c>
      <c r="D644" s="9" t="s">
        <v>4220</v>
      </c>
      <c r="E644" s="9" t="s">
        <v>1964</v>
      </c>
      <c r="F644" s="9" t="s">
        <v>3709</v>
      </c>
      <c r="G644" s="9" t="s">
        <v>3588</v>
      </c>
      <c r="H644" s="18" t="str">
        <f t="array" ref="H644">_xlfn.XLOOKUP(E:E,'Calificación consecuencia'!B:B,'Calificación consecuencia'!K:K,"No encontrada",2)</f>
        <v>Baja</v>
      </c>
      <c r="I644" s="9" t="s">
        <v>1351</v>
      </c>
      <c r="J644" s="20" t="s">
        <v>116</v>
      </c>
      <c r="K644" s="21"/>
      <c r="L644" s="21"/>
      <c r="M644" s="20" t="s">
        <v>116</v>
      </c>
      <c r="N644" s="20" t="s">
        <v>116</v>
      </c>
      <c r="O644" s="21"/>
      <c r="P644" s="21"/>
      <c r="Q644" s="21"/>
      <c r="R644" s="21"/>
      <c r="S644" s="21"/>
      <c r="T644" s="21"/>
      <c r="U644" s="9" t="s">
        <v>195</v>
      </c>
      <c r="V644" s="9" t="s">
        <v>196</v>
      </c>
    </row>
    <row r="645" ht="14.25" customHeight="1">
      <c r="A645" s="9" t="s">
        <v>1297</v>
      </c>
      <c r="B645" s="9" t="s">
        <v>1296</v>
      </c>
      <c r="C645" s="9" t="str">
        <f t="array" ref="C645">INDEX(Funciones!$G$2:$G$372,MATCH($A645,Funciones!$B$2:$B$372,0))</f>
        <v>Transmitir la fuerza a zapatas con juego de _____ mm</v>
      </c>
      <c r="D645" s="9" t="s">
        <v>4220</v>
      </c>
      <c r="E645" s="9" t="s">
        <v>1749</v>
      </c>
      <c r="F645" s="9" t="s">
        <v>3717</v>
      </c>
      <c r="G645" s="9" t="s">
        <v>3585</v>
      </c>
      <c r="H645" s="18" t="str">
        <f t="array" ref="H645">_xlfn.XLOOKUP(E:E,'Calificación consecuencia'!B:B,'Calificación consecuencia'!K:K,"No encontrada",2)</f>
        <v>Baja</v>
      </c>
      <c r="I645" s="9" t="s">
        <v>425</v>
      </c>
      <c r="J645" s="20" t="s">
        <v>116</v>
      </c>
      <c r="K645" s="21"/>
      <c r="L645" s="21"/>
      <c r="M645" s="20" t="s">
        <v>116</v>
      </c>
      <c r="N645" s="20" t="s">
        <v>116</v>
      </c>
      <c r="O645" s="21"/>
      <c r="P645" s="21"/>
      <c r="Q645" s="21"/>
      <c r="R645" s="21"/>
      <c r="S645" s="21"/>
      <c r="T645" s="21"/>
      <c r="U645" s="9" t="s">
        <v>195</v>
      </c>
      <c r="V645" s="9" t="s">
        <v>196</v>
      </c>
    </row>
    <row r="646" ht="14.25" customHeight="1">
      <c r="A646" s="27" t="s">
        <v>1307</v>
      </c>
      <c r="B646" s="27" t="s">
        <v>1306</v>
      </c>
      <c r="C646" s="27" t="str">
        <f t="array" ref="C646">INDEX(Funciones!$G$2:$G$372,MATCH($A646,Funciones!$B$2:$B$372,0))</f>
        <v>Entregar potencia mecánica de _____ kW</v>
      </c>
      <c r="D646" s="27" t="s">
        <v>4083</v>
      </c>
      <c r="E646" s="27" t="s">
        <v>1339</v>
      </c>
      <c r="F646" s="27" t="s">
        <v>3995</v>
      </c>
      <c r="G646" s="27" t="s">
        <v>3374</v>
      </c>
      <c r="H646" s="18" t="str">
        <f t="array" ref="H646">_xlfn.XLOOKUP(E:E,'Calificación consecuencia'!B:B,'Calificación consecuencia'!K:K,"No encontrada",2)</f>
        <v>Media</v>
      </c>
      <c r="I646" s="27" t="s">
        <v>1800</v>
      </c>
      <c r="J646" s="30" t="s">
        <v>116</v>
      </c>
      <c r="K646" s="21"/>
      <c r="L646" s="21"/>
      <c r="M646" s="29" t="s">
        <v>120</v>
      </c>
      <c r="N646" s="21"/>
      <c r="O646" s="30" t="s">
        <v>116</v>
      </c>
      <c r="P646" s="30" t="s">
        <v>116</v>
      </c>
      <c r="Q646" s="21"/>
      <c r="R646" s="21"/>
      <c r="S646" s="21"/>
      <c r="T646" s="21"/>
      <c r="U646" s="27" t="s">
        <v>345</v>
      </c>
      <c r="V646" s="27" t="s">
        <v>196</v>
      </c>
    </row>
    <row r="647" ht="14.25" customHeight="1">
      <c r="A647" s="27" t="s">
        <v>1307</v>
      </c>
      <c r="B647" s="27" t="s">
        <v>1306</v>
      </c>
      <c r="C647" s="27" t="str">
        <f t="array" ref="C647">INDEX(Funciones!$G$2:$G$372,MATCH($A647,Funciones!$B$2:$B$372,0))</f>
        <v>Entregar potencia mecánica de _____ kW</v>
      </c>
      <c r="D647" s="27" t="s">
        <v>4083</v>
      </c>
      <c r="E647" s="27" t="s">
        <v>1786</v>
      </c>
      <c r="F647" s="27" t="s">
        <v>3996</v>
      </c>
      <c r="G647" s="27" t="s">
        <v>3378</v>
      </c>
      <c r="H647" s="18" t="str">
        <f t="array" ref="H647">_xlfn.XLOOKUP(E:E,'Calificación consecuencia'!B:B,'Calificación consecuencia'!K:K,"No encontrada",2)</f>
        <v>Baja</v>
      </c>
      <c r="I647" s="27" t="s">
        <v>2106</v>
      </c>
      <c r="J647" s="30" t="s">
        <v>116</v>
      </c>
      <c r="K647" s="21"/>
      <c r="L647" s="21"/>
      <c r="M647" s="29" t="s">
        <v>120</v>
      </c>
      <c r="N647" s="21"/>
      <c r="O647" s="29" t="s">
        <v>120</v>
      </c>
      <c r="P647" s="21"/>
      <c r="Q647" s="21"/>
      <c r="R647" s="21"/>
      <c r="S647" s="29" t="s">
        <v>120</v>
      </c>
      <c r="T647" s="21"/>
      <c r="U647" s="27" t="s">
        <v>1680</v>
      </c>
      <c r="V647" s="27" t="s">
        <v>1408</v>
      </c>
    </row>
    <row r="648" ht="14.25" customHeight="1">
      <c r="A648" s="27" t="s">
        <v>1307</v>
      </c>
      <c r="B648" s="27" t="s">
        <v>1306</v>
      </c>
      <c r="C648" s="27" t="str">
        <f t="array" ref="C648">INDEX(Funciones!$G$2:$G$372,MATCH($A648,Funciones!$B$2:$B$372,0))</f>
        <v>Entregar potencia mecánica de _____ kW</v>
      </c>
      <c r="D648" s="27" t="s">
        <v>4084</v>
      </c>
      <c r="E648" s="27" t="s">
        <v>1350</v>
      </c>
      <c r="F648" s="27" t="s">
        <v>3998</v>
      </c>
      <c r="G648" s="27" t="s">
        <v>3382</v>
      </c>
      <c r="H648" s="18" t="str">
        <f t="array" ref="H648">_xlfn.XLOOKUP(E:E,'Calificación consecuencia'!B:B,'Calificación consecuencia'!K:K,"No encontrada",2)</f>
        <v>Baja</v>
      </c>
      <c r="I648" s="27" t="s">
        <v>2106</v>
      </c>
      <c r="J648" s="30" t="s">
        <v>116</v>
      </c>
      <c r="K648" s="21"/>
      <c r="L648" s="21"/>
      <c r="M648" s="29" t="s">
        <v>120</v>
      </c>
      <c r="N648" s="21"/>
      <c r="O648" s="29" t="s">
        <v>120</v>
      </c>
      <c r="P648" s="21"/>
      <c r="Q648" s="21"/>
      <c r="R648" s="21"/>
      <c r="S648" s="29" t="s">
        <v>120</v>
      </c>
      <c r="T648" s="21"/>
      <c r="U648" s="27" t="s">
        <v>1680</v>
      </c>
      <c r="V648" s="27" t="s">
        <v>1408</v>
      </c>
    </row>
    <row r="649" ht="14.25" customHeight="1">
      <c r="A649" s="27" t="s">
        <v>1307</v>
      </c>
      <c r="B649" s="27" t="s">
        <v>1306</v>
      </c>
      <c r="C649" s="27" t="str">
        <f t="array" ref="C649">INDEX(Funciones!$G$2:$G$372,MATCH($A649,Funciones!$B$2:$B$372,0))</f>
        <v>Entregar potencia mecánica de _____ kW</v>
      </c>
      <c r="D649" s="27" t="s">
        <v>4084</v>
      </c>
      <c r="E649" s="27" t="s">
        <v>1794</v>
      </c>
      <c r="F649" s="27" t="s">
        <v>3999</v>
      </c>
      <c r="G649" s="27" t="s">
        <v>3614</v>
      </c>
      <c r="H649" s="18" t="str">
        <f t="array" ref="H649">_xlfn.XLOOKUP(E:E,'Calificación consecuencia'!B:B,'Calificación consecuencia'!K:K,"No encontrada",2)</f>
        <v>Baja</v>
      </c>
      <c r="I649" s="27" t="s">
        <v>1800</v>
      </c>
      <c r="J649" s="30" t="s">
        <v>116</v>
      </c>
      <c r="K649" s="21"/>
      <c r="L649" s="21"/>
      <c r="M649" s="29" t="s">
        <v>120</v>
      </c>
      <c r="N649" s="21"/>
      <c r="O649" s="30" t="s">
        <v>116</v>
      </c>
      <c r="P649" s="30" t="s">
        <v>116</v>
      </c>
      <c r="Q649" s="21"/>
      <c r="R649" s="21"/>
      <c r="S649" s="21"/>
      <c r="T649" s="21"/>
      <c r="U649" s="27" t="s">
        <v>345</v>
      </c>
      <c r="V649" s="27" t="s">
        <v>196</v>
      </c>
    </row>
    <row r="650" ht="14.25" customHeight="1">
      <c r="A650" s="27" t="s">
        <v>1307</v>
      </c>
      <c r="B650" s="27" t="s">
        <v>1306</v>
      </c>
      <c r="C650" s="27" t="str">
        <f t="array" ref="C650">INDEX(Funciones!$G$2:$G$372,MATCH($A650,Funciones!$B$2:$B$372,0))</f>
        <v>Entregar potencia mecánica de _____ kW</v>
      </c>
      <c r="D650" s="27" t="s">
        <v>4084</v>
      </c>
      <c r="E650" s="27" t="s">
        <v>2376</v>
      </c>
      <c r="F650" s="27" t="s">
        <v>4000</v>
      </c>
      <c r="G650" s="27" t="s">
        <v>1493</v>
      </c>
      <c r="H650" s="18" t="str">
        <f t="array" ref="H650">_xlfn.XLOOKUP(E:E,'Calificación consecuencia'!B:B,'Calificación consecuencia'!K:K,"No encontrada",2)</f>
        <v>Baja</v>
      </c>
      <c r="I650" s="27" t="s">
        <v>2106</v>
      </c>
      <c r="J650" s="30" t="s">
        <v>116</v>
      </c>
      <c r="K650" s="21"/>
      <c r="L650" s="21"/>
      <c r="M650" s="29" t="s">
        <v>120</v>
      </c>
      <c r="N650" s="21"/>
      <c r="O650" s="29" t="s">
        <v>120</v>
      </c>
      <c r="P650" s="21"/>
      <c r="Q650" s="21"/>
      <c r="R650" s="21"/>
      <c r="S650" s="29" t="s">
        <v>120</v>
      </c>
      <c r="T650" s="21"/>
      <c r="U650" s="27" t="s">
        <v>1680</v>
      </c>
      <c r="V650" s="27" t="s">
        <v>1408</v>
      </c>
    </row>
    <row r="651" ht="14.25" customHeight="1">
      <c r="A651" s="9" t="s">
        <v>1314</v>
      </c>
      <c r="B651" s="9" t="s">
        <v>1313</v>
      </c>
      <c r="C651" s="9" t="str">
        <f t="array" ref="C651">INDEX(Funciones!$G$2:$G$372,MATCH($A651,Funciones!$B$2:$B$372,0))</f>
        <v>Transmitir el par motriz hasta _____ N·m</v>
      </c>
      <c r="D651" s="9" t="s">
        <v>4146</v>
      </c>
      <c r="E651" s="9" t="s">
        <v>1305</v>
      </c>
      <c r="F651" s="9" t="s">
        <v>3357</v>
      </c>
      <c r="G651" s="9" t="s">
        <v>3358</v>
      </c>
      <c r="H651" s="18" t="str">
        <f t="array" ref="H651">_xlfn.XLOOKUP(E:E,'Calificación consecuencia'!B:B,'Calificación consecuencia'!K:K,"No encontrada",2)</f>
        <v>Baja</v>
      </c>
      <c r="I651" s="9" t="s">
        <v>1800</v>
      </c>
      <c r="J651" s="20" t="s">
        <v>116</v>
      </c>
      <c r="K651" s="21"/>
      <c r="L651" s="21"/>
      <c r="M651" s="22" t="s">
        <v>120</v>
      </c>
      <c r="N651" s="21"/>
      <c r="O651" s="20" t="s">
        <v>116</v>
      </c>
      <c r="P651" s="20" t="s">
        <v>116</v>
      </c>
      <c r="Q651" s="21"/>
      <c r="R651" s="21"/>
      <c r="S651" s="21"/>
      <c r="T651" s="21"/>
      <c r="U651" s="9" t="s">
        <v>345</v>
      </c>
      <c r="V651" s="9" t="s">
        <v>196</v>
      </c>
    </row>
    <row r="652" ht="14.25" customHeight="1">
      <c r="A652" s="9" t="s">
        <v>1314</v>
      </c>
      <c r="B652" s="9" t="s">
        <v>1313</v>
      </c>
      <c r="C652" s="9" t="str">
        <f t="array" ref="C652">INDEX(Funciones!$G$2:$G$372,MATCH($A652,Funciones!$B$2:$B$372,0))</f>
        <v>Transmitir el par motriz hasta _____ N·m</v>
      </c>
      <c r="D652" s="9" t="s">
        <v>4146</v>
      </c>
      <c r="E652" s="9" t="s">
        <v>1311</v>
      </c>
      <c r="F652" s="9" t="s">
        <v>3363</v>
      </c>
      <c r="G652" s="9" t="s">
        <v>3364</v>
      </c>
      <c r="H652" s="18" t="str">
        <f t="array" ref="H652">_xlfn.XLOOKUP(E:E,'Calificación consecuencia'!B:B,'Calificación consecuencia'!K:K,"No encontrada",2)</f>
        <v>Baja</v>
      </c>
      <c r="I652" s="9" t="s">
        <v>1800</v>
      </c>
      <c r="J652" s="20" t="s">
        <v>116</v>
      </c>
      <c r="K652" s="21"/>
      <c r="L652" s="21"/>
      <c r="M652" s="22" t="s">
        <v>120</v>
      </c>
      <c r="N652" s="21"/>
      <c r="O652" s="20" t="s">
        <v>116</v>
      </c>
      <c r="P652" s="20" t="s">
        <v>116</v>
      </c>
      <c r="Q652" s="21"/>
      <c r="R652" s="21"/>
      <c r="S652" s="21"/>
      <c r="T652" s="21"/>
      <c r="U652" s="9" t="s">
        <v>345</v>
      </c>
      <c r="V652" s="9" t="s">
        <v>196</v>
      </c>
    </row>
    <row r="653" ht="14.25" customHeight="1">
      <c r="A653" s="9" t="s">
        <v>1314</v>
      </c>
      <c r="B653" s="9" t="s">
        <v>1313</v>
      </c>
      <c r="C653" s="9" t="str">
        <f t="array" ref="C653">INDEX(Funciones!$G$2:$G$372,MATCH($A653,Funciones!$B$2:$B$372,0))</f>
        <v>Transmitir el par motriz hasta _____ N·m</v>
      </c>
      <c r="D653" s="9" t="s">
        <v>4146</v>
      </c>
      <c r="E653" s="9" t="s">
        <v>1315</v>
      </c>
      <c r="F653" s="9" t="s">
        <v>3365</v>
      </c>
      <c r="G653" s="9" t="s">
        <v>3366</v>
      </c>
      <c r="H653" s="18" t="str">
        <f t="array" ref="H653">_xlfn.XLOOKUP(E:E,'Calificación consecuencia'!B:B,'Calificación consecuencia'!K:K,"No encontrada",2)</f>
        <v>Baja</v>
      </c>
      <c r="I653" s="9" t="s">
        <v>1800</v>
      </c>
      <c r="J653" s="20" t="s">
        <v>116</v>
      </c>
      <c r="K653" s="21"/>
      <c r="L653" s="21"/>
      <c r="M653" s="22" t="s">
        <v>120</v>
      </c>
      <c r="N653" s="21"/>
      <c r="O653" s="20" t="s">
        <v>116</v>
      </c>
      <c r="P653" s="20" t="s">
        <v>116</v>
      </c>
      <c r="Q653" s="21"/>
      <c r="R653" s="21"/>
      <c r="S653" s="21"/>
      <c r="T653" s="21"/>
      <c r="U653" s="9" t="s">
        <v>345</v>
      </c>
      <c r="V653" s="9" t="s">
        <v>196</v>
      </c>
    </row>
    <row r="654" ht="14.25" customHeight="1">
      <c r="A654" s="9" t="s">
        <v>1314</v>
      </c>
      <c r="B654" s="9" t="s">
        <v>1313</v>
      </c>
      <c r="C654" s="9" t="str">
        <f t="array" ref="C654">INDEX(Funciones!$G$2:$G$372,MATCH($A654,Funciones!$B$2:$B$372,0))</f>
        <v>Transmitir el par motriz hasta _____ N·m</v>
      </c>
      <c r="D654" s="9" t="s">
        <v>4147</v>
      </c>
      <c r="E654" s="9" t="s">
        <v>1325</v>
      </c>
      <c r="F654" s="9" t="s">
        <v>3368</v>
      </c>
      <c r="G654" s="9" t="s">
        <v>3369</v>
      </c>
      <c r="H654" s="18" t="str">
        <f t="array" ref="H654">_xlfn.XLOOKUP(E:E,'Calificación consecuencia'!B:B,'Calificación consecuencia'!K:K,"No encontrada",2)</f>
        <v>Baja</v>
      </c>
      <c r="I654" s="9" t="s">
        <v>1800</v>
      </c>
      <c r="J654" s="20" t="s">
        <v>116</v>
      </c>
      <c r="K654" s="21"/>
      <c r="L654" s="21"/>
      <c r="M654" s="22" t="s">
        <v>120</v>
      </c>
      <c r="N654" s="21"/>
      <c r="O654" s="20" t="s">
        <v>116</v>
      </c>
      <c r="P654" s="20" t="s">
        <v>116</v>
      </c>
      <c r="Q654" s="21"/>
      <c r="R654" s="21"/>
      <c r="S654" s="21"/>
      <c r="T654" s="21"/>
      <c r="U654" s="9" t="s">
        <v>345</v>
      </c>
      <c r="V654" s="9" t="s">
        <v>196</v>
      </c>
    </row>
    <row r="655" ht="14.25" customHeight="1">
      <c r="A655" s="9" t="s">
        <v>1314</v>
      </c>
      <c r="B655" s="9" t="s">
        <v>1313</v>
      </c>
      <c r="C655" s="9" t="str">
        <f t="array" ref="C655">INDEX(Funciones!$G$2:$G$372,MATCH($A655,Funciones!$B$2:$B$372,0))</f>
        <v>Transmitir el par motriz hasta _____ N·m</v>
      </c>
      <c r="D655" s="9" t="s">
        <v>4147</v>
      </c>
      <c r="E655" s="9" t="s">
        <v>1333</v>
      </c>
      <c r="F655" s="9" t="s">
        <v>3370</v>
      </c>
      <c r="G655" s="9" t="s">
        <v>3371</v>
      </c>
      <c r="H655" s="18" t="str">
        <f t="array" ref="H655">_xlfn.XLOOKUP(E:E,'Calificación consecuencia'!B:B,'Calificación consecuencia'!K:K,"No encontrada",2)</f>
        <v>Baja</v>
      </c>
      <c r="I655" s="9" t="s">
        <v>1800</v>
      </c>
      <c r="J655" s="20" t="s">
        <v>116</v>
      </c>
      <c r="K655" s="21"/>
      <c r="L655" s="21"/>
      <c r="M655" s="22" t="s">
        <v>120</v>
      </c>
      <c r="N655" s="21"/>
      <c r="O655" s="20" t="s">
        <v>116</v>
      </c>
      <c r="P655" s="20" t="s">
        <v>116</v>
      </c>
      <c r="Q655" s="21"/>
      <c r="R655" s="21"/>
      <c r="S655" s="21"/>
      <c r="T655" s="21"/>
      <c r="U655" s="9" t="s">
        <v>345</v>
      </c>
      <c r="V655" s="9" t="s">
        <v>196</v>
      </c>
    </row>
    <row r="656" ht="14.25" customHeight="1">
      <c r="A656" s="27" t="s">
        <v>1324</v>
      </c>
      <c r="B656" s="27" t="s">
        <v>1323</v>
      </c>
      <c r="C656" s="27" t="str">
        <f t="array" ref="C656">INDEX(Funciones!$G$2:$G$372,MATCH($A656,Funciones!$B$2:$B$372,0))</f>
        <v>Transmitir potencia auxiliar hasta _____ kW</v>
      </c>
      <c r="D656" s="27" t="s">
        <v>4221</v>
      </c>
      <c r="E656" s="27" t="s">
        <v>3407</v>
      </c>
      <c r="F656" s="27" t="s">
        <v>4222</v>
      </c>
      <c r="G656" s="27" t="s">
        <v>4223</v>
      </c>
      <c r="H656" s="18" t="str">
        <f t="array" ref="H656">_xlfn.XLOOKUP(E:E,'Calificación consecuencia'!B:B,'Calificación consecuencia'!K:K,"No encontrada",2)</f>
        <v>Baja</v>
      </c>
      <c r="I656" s="27" t="s">
        <v>339</v>
      </c>
      <c r="J656" s="30" t="s">
        <v>116</v>
      </c>
      <c r="K656" s="21"/>
      <c r="L656" s="21"/>
      <c r="M656" s="29" t="s">
        <v>120</v>
      </c>
      <c r="N656" s="21"/>
      <c r="O656" s="30" t="s">
        <v>116</v>
      </c>
      <c r="P656" s="30" t="s">
        <v>116</v>
      </c>
      <c r="Q656" s="21"/>
      <c r="R656" s="21"/>
      <c r="S656" s="21"/>
      <c r="T656" s="21"/>
      <c r="U656" s="27" t="s">
        <v>345</v>
      </c>
      <c r="V656" s="27" t="s">
        <v>196</v>
      </c>
    </row>
    <row r="657" ht="14.25" customHeight="1">
      <c r="A657" s="27" t="s">
        <v>1324</v>
      </c>
      <c r="B657" s="27" t="s">
        <v>1323</v>
      </c>
      <c r="C657" s="27" t="str">
        <f t="array" ref="C657">INDEX(Funciones!$G$2:$G$372,MATCH($A657,Funciones!$B$2:$B$372,0))</f>
        <v>Transmitir potencia auxiliar hasta _____ kW</v>
      </c>
      <c r="D657" s="27" t="s">
        <v>4221</v>
      </c>
      <c r="E657" s="27" t="s">
        <v>3408</v>
      </c>
      <c r="F657" s="27" t="s">
        <v>4224</v>
      </c>
      <c r="G657" s="27" t="s">
        <v>4225</v>
      </c>
      <c r="H657" s="18" t="str">
        <f t="array" ref="H657">_xlfn.XLOOKUP(E:E,'Calificación consecuencia'!B:B,'Calificación consecuencia'!K:K,"No encontrada",2)</f>
        <v>Baja</v>
      </c>
      <c r="I657" s="27" t="s">
        <v>339</v>
      </c>
      <c r="J657" s="30" t="s">
        <v>116</v>
      </c>
      <c r="K657" s="21"/>
      <c r="L657" s="21"/>
      <c r="M657" s="29" t="s">
        <v>120</v>
      </c>
      <c r="N657" s="21"/>
      <c r="O657" s="30" t="s">
        <v>116</v>
      </c>
      <c r="P657" s="30" t="s">
        <v>116</v>
      </c>
      <c r="Q657" s="21"/>
      <c r="R657" s="21"/>
      <c r="S657" s="21"/>
      <c r="T657" s="21"/>
      <c r="U657" s="27" t="s">
        <v>345</v>
      </c>
      <c r="V657" s="27" t="s">
        <v>196</v>
      </c>
    </row>
    <row r="658" ht="14.25" customHeight="1">
      <c r="A658" s="27" t="s">
        <v>1324</v>
      </c>
      <c r="B658" s="27" t="s">
        <v>1323</v>
      </c>
      <c r="C658" s="27" t="str">
        <f t="array" ref="C658">INDEX(Funciones!$G$2:$G$372,MATCH($A658,Funciones!$B$2:$B$372,0))</f>
        <v>Transmitir potencia auxiliar hasta _____ kW</v>
      </c>
      <c r="D658" s="27" t="s">
        <v>4226</v>
      </c>
      <c r="E658" s="27" t="s">
        <v>1325</v>
      </c>
      <c r="F658" s="27" t="s">
        <v>4227</v>
      </c>
      <c r="G658" s="27" t="s">
        <v>3369</v>
      </c>
      <c r="H658" s="18" t="str">
        <f t="array" ref="H658">_xlfn.XLOOKUP(E:E,'Calificación consecuencia'!B:B,'Calificación consecuencia'!K:K,"No encontrada",2)</f>
        <v>Baja</v>
      </c>
      <c r="I658" s="27" t="s">
        <v>1800</v>
      </c>
      <c r="J658" s="30" t="s">
        <v>116</v>
      </c>
      <c r="K658" s="21"/>
      <c r="L658" s="21"/>
      <c r="M658" s="29" t="s">
        <v>120</v>
      </c>
      <c r="N658" s="21"/>
      <c r="O658" s="30" t="s">
        <v>116</v>
      </c>
      <c r="P658" s="30" t="s">
        <v>116</v>
      </c>
      <c r="Q658" s="21"/>
      <c r="R658" s="21"/>
      <c r="S658" s="21"/>
      <c r="T658" s="21"/>
      <c r="U658" s="27" t="s">
        <v>345</v>
      </c>
      <c r="V658" s="27" t="s">
        <v>196</v>
      </c>
    </row>
    <row r="659" ht="14.25" customHeight="1">
      <c r="A659" s="9" t="s">
        <v>1336</v>
      </c>
      <c r="B659" s="9" t="s">
        <v>1335</v>
      </c>
      <c r="C659" s="9" t="str">
        <f t="array" ref="C659">INDEX(Funciones!$G$2:$G$372,MATCH($A659,Funciones!$B$2:$B$372,0))</f>
        <v>Acoplar vehículos con tracción de _____ kN</v>
      </c>
      <c r="D659" s="9" t="s">
        <v>4102</v>
      </c>
      <c r="E659" s="9" t="s">
        <v>3185</v>
      </c>
      <c r="F659" s="9" t="s">
        <v>4103</v>
      </c>
      <c r="G659" s="9" t="s">
        <v>4104</v>
      </c>
      <c r="H659" s="18" t="str">
        <f t="array" ref="H659">_xlfn.XLOOKUP(E:E,'Calificación consecuencia'!B:B,'Calificación consecuencia'!K:K,"No encontrada",2)</f>
        <v>Media</v>
      </c>
      <c r="I659" s="9" t="s">
        <v>425</v>
      </c>
      <c r="J659" s="20" t="s">
        <v>116</v>
      </c>
      <c r="K659" s="21"/>
      <c r="L659" s="21"/>
      <c r="M659" s="20" t="s">
        <v>116</v>
      </c>
      <c r="N659" s="22" t="s">
        <v>120</v>
      </c>
      <c r="O659" s="21"/>
      <c r="P659" s="21"/>
      <c r="Q659" s="21"/>
      <c r="R659" s="21"/>
      <c r="S659" s="21"/>
      <c r="T659" s="21"/>
      <c r="U659" s="9" t="s">
        <v>230</v>
      </c>
      <c r="V659" s="9" t="s">
        <v>230</v>
      </c>
    </row>
    <row r="660" ht="14.25" customHeight="1">
      <c r="A660" s="9" t="s">
        <v>1336</v>
      </c>
      <c r="B660" s="9" t="s">
        <v>1335</v>
      </c>
      <c r="C660" s="9" t="str">
        <f t="array" ref="C660">INDEX(Funciones!$G$2:$G$372,MATCH($A660,Funciones!$B$2:$B$372,0))</f>
        <v>Acoplar vehículos con tracción de _____ kN</v>
      </c>
      <c r="D660" s="9" t="s">
        <v>4102</v>
      </c>
      <c r="E660" s="9" t="s">
        <v>3190</v>
      </c>
      <c r="F660" s="9" t="s">
        <v>4105</v>
      </c>
      <c r="G660" s="9" t="s">
        <v>4106</v>
      </c>
      <c r="H660" s="18" t="str">
        <f t="array" ref="H660">_xlfn.XLOOKUP(E:E,'Calificación consecuencia'!B:B,'Calificación consecuencia'!K:K,"No encontrada",2)</f>
        <v>Media</v>
      </c>
      <c r="I660" s="9" t="s">
        <v>425</v>
      </c>
      <c r="J660" s="20" t="s">
        <v>116</v>
      </c>
      <c r="K660" s="21"/>
      <c r="L660" s="21"/>
      <c r="M660" s="20" t="s">
        <v>116</v>
      </c>
      <c r="N660" s="20" t="s">
        <v>116</v>
      </c>
      <c r="O660" s="21"/>
      <c r="P660" s="21"/>
      <c r="Q660" s="21"/>
      <c r="R660" s="21"/>
      <c r="S660" s="21"/>
      <c r="T660" s="21"/>
      <c r="U660" s="9" t="s">
        <v>195</v>
      </c>
      <c r="V660" s="9" t="s">
        <v>196</v>
      </c>
    </row>
    <row r="661" ht="14.25" customHeight="1">
      <c r="A661" s="9" t="s">
        <v>1336</v>
      </c>
      <c r="B661" s="9" t="s">
        <v>1335</v>
      </c>
      <c r="C661" s="9" t="str">
        <f t="array" ref="C661">INDEX(Funciones!$G$2:$G$372,MATCH($A661,Funciones!$B$2:$B$372,0))</f>
        <v>Acoplar vehículos con tracción de _____ kN</v>
      </c>
      <c r="D661" s="9" t="s">
        <v>4102</v>
      </c>
      <c r="E661" s="9" t="s">
        <v>3196</v>
      </c>
      <c r="F661" s="9" t="s">
        <v>4107</v>
      </c>
      <c r="G661" s="9" t="s">
        <v>4108</v>
      </c>
      <c r="H661" s="18" t="str">
        <f t="array" ref="H661">_xlfn.XLOOKUP(E:E,'Calificación consecuencia'!B:B,'Calificación consecuencia'!K:K,"No encontrada",2)</f>
        <v>Media</v>
      </c>
      <c r="I661" s="9" t="s">
        <v>425</v>
      </c>
      <c r="J661" s="20" t="s">
        <v>116</v>
      </c>
      <c r="K661" s="21"/>
      <c r="L661" s="21"/>
      <c r="M661" s="20" t="s">
        <v>116</v>
      </c>
      <c r="N661" s="20" t="s">
        <v>116</v>
      </c>
      <c r="O661" s="21"/>
      <c r="P661" s="21"/>
      <c r="Q661" s="21"/>
      <c r="R661" s="21"/>
      <c r="S661" s="21"/>
      <c r="T661" s="21"/>
      <c r="U661" s="9" t="s">
        <v>195</v>
      </c>
      <c r="V661" s="9" t="s">
        <v>196</v>
      </c>
    </row>
    <row r="662" ht="14.25" customHeight="1">
      <c r="A662" s="9" t="s">
        <v>1336</v>
      </c>
      <c r="B662" s="9" t="s">
        <v>1335</v>
      </c>
      <c r="C662" s="9" t="str">
        <f t="array" ref="C662">INDEX(Funciones!$G$2:$G$372,MATCH($A662,Funciones!$B$2:$B$372,0))</f>
        <v>Acoplar vehículos con tracción de _____ kN</v>
      </c>
      <c r="D662" s="9" t="s">
        <v>4109</v>
      </c>
      <c r="E662" s="9" t="s">
        <v>3201</v>
      </c>
      <c r="F662" s="9" t="s">
        <v>4110</v>
      </c>
      <c r="G662" s="9" t="s">
        <v>4111</v>
      </c>
      <c r="H662" s="18" t="str">
        <f t="array" ref="H662">_xlfn.XLOOKUP(E:E,'Calificación consecuencia'!B:B,'Calificación consecuencia'!K:K,"No encontrada",2)</f>
        <v>Baja</v>
      </c>
      <c r="I662" s="9" t="s">
        <v>425</v>
      </c>
      <c r="J662" s="20" t="s">
        <v>116</v>
      </c>
      <c r="K662" s="21"/>
      <c r="L662" s="21"/>
      <c r="M662" s="20" t="s">
        <v>116</v>
      </c>
      <c r="N662" s="20" t="s">
        <v>116</v>
      </c>
      <c r="O662" s="21"/>
      <c r="P662" s="21"/>
      <c r="Q662" s="21"/>
      <c r="R662" s="21"/>
      <c r="S662" s="21"/>
      <c r="T662" s="21"/>
      <c r="U662" s="9" t="s">
        <v>195</v>
      </c>
      <c r="V662" s="9" t="s">
        <v>196</v>
      </c>
    </row>
    <row r="663" ht="14.25" customHeight="1">
      <c r="A663" s="27" t="s">
        <v>1340</v>
      </c>
      <c r="B663" s="27" t="s">
        <v>1335</v>
      </c>
      <c r="C663" s="27" t="str">
        <f t="array" ref="C663">INDEX(Funciones!$G$2:$G$372,MATCH($A663,Funciones!$B$2:$B$372,0))</f>
        <v>Mantener la altura del enganche entre _____ y _____ mm</v>
      </c>
      <c r="D663" s="27" t="s">
        <v>4112</v>
      </c>
      <c r="E663" s="27" t="s">
        <v>3210</v>
      </c>
      <c r="F663" s="27" t="s">
        <v>4113</v>
      </c>
      <c r="G663" s="27" t="s">
        <v>4114</v>
      </c>
      <c r="H663" s="18" t="str">
        <f t="array" ref="H663">_xlfn.XLOOKUP(E:E,'Calificación consecuencia'!B:B,'Calificación consecuencia'!K:K,"No encontrada",2)</f>
        <v>Baja</v>
      </c>
      <c r="I663" s="27" t="s">
        <v>1351</v>
      </c>
      <c r="J663" s="30" t="s">
        <v>116</v>
      </c>
      <c r="K663" s="21"/>
      <c r="L663" s="21"/>
      <c r="M663" s="30" t="s">
        <v>116</v>
      </c>
      <c r="N663" s="30" t="s">
        <v>116</v>
      </c>
      <c r="O663" s="21"/>
      <c r="P663" s="21"/>
      <c r="Q663" s="21"/>
      <c r="R663" s="21"/>
      <c r="S663" s="21"/>
      <c r="T663" s="21"/>
      <c r="U663" s="27" t="s">
        <v>195</v>
      </c>
      <c r="V663" s="27" t="s">
        <v>196</v>
      </c>
    </row>
    <row r="664" ht="14.25" customHeight="1">
      <c r="A664" s="27" t="s">
        <v>1340</v>
      </c>
      <c r="B664" s="27" t="s">
        <v>1335</v>
      </c>
      <c r="C664" s="27" t="str">
        <f t="array" ref="C664">INDEX(Funciones!$G$2:$G$372,MATCH($A664,Funciones!$B$2:$B$372,0))</f>
        <v>Mantener la altura del enganche entre _____ y _____ mm</v>
      </c>
      <c r="D664" s="27" t="s">
        <v>4115</v>
      </c>
      <c r="E664" s="27" t="s">
        <v>3217</v>
      </c>
      <c r="F664" s="27" t="s">
        <v>4116</v>
      </c>
      <c r="G664" s="27" t="s">
        <v>4117</v>
      </c>
      <c r="H664" s="18" t="str">
        <f t="array" ref="H664">_xlfn.XLOOKUP(E:E,'Calificación consecuencia'!B:B,'Calificación consecuencia'!K:K,"No encontrada",2)</f>
        <v>Baja</v>
      </c>
      <c r="I664" s="27" t="s">
        <v>1800</v>
      </c>
      <c r="J664" s="30" t="s">
        <v>116</v>
      </c>
      <c r="K664" s="21"/>
      <c r="L664" s="21"/>
      <c r="M664" s="29" t="s">
        <v>120</v>
      </c>
      <c r="N664" s="21"/>
      <c r="O664" s="30" t="s">
        <v>116</v>
      </c>
      <c r="P664" s="30" t="s">
        <v>116</v>
      </c>
      <c r="Q664" s="21"/>
      <c r="R664" s="21"/>
      <c r="S664" s="21"/>
      <c r="T664" s="21"/>
      <c r="U664" s="27" t="s">
        <v>345</v>
      </c>
      <c r="V664" s="27" t="s">
        <v>196</v>
      </c>
    </row>
    <row r="665" ht="14.25" customHeight="1">
      <c r="A665" s="27" t="s">
        <v>1340</v>
      </c>
      <c r="B665" s="27" t="s">
        <v>1335</v>
      </c>
      <c r="C665" s="27" t="str">
        <f t="array" ref="C665">INDEX(Funciones!$G$2:$G$372,MATCH($A665,Funciones!$B$2:$B$372,0))</f>
        <v>Mantener la altura del enganche entre _____ y _____ mm</v>
      </c>
      <c r="D665" s="27" t="s">
        <v>4118</v>
      </c>
      <c r="E665" s="27" t="s">
        <v>3225</v>
      </c>
      <c r="F665" s="27" t="s">
        <v>4119</v>
      </c>
      <c r="G665" s="27" t="s">
        <v>4120</v>
      </c>
      <c r="H665" s="18" t="str">
        <f t="array" ref="H665">_xlfn.XLOOKUP(E:E,'Calificación consecuencia'!B:B,'Calificación consecuencia'!K:K,"No encontrada",2)</f>
        <v>Media</v>
      </c>
      <c r="I665" s="27" t="s">
        <v>1800</v>
      </c>
      <c r="J665" s="30" t="s">
        <v>116</v>
      </c>
      <c r="K665" s="21"/>
      <c r="L665" s="21"/>
      <c r="M665" s="29" t="s">
        <v>120</v>
      </c>
      <c r="N665" s="21"/>
      <c r="O665" s="30" t="s">
        <v>116</v>
      </c>
      <c r="P665" s="29" t="s">
        <v>120</v>
      </c>
      <c r="Q665" s="29" t="s">
        <v>120</v>
      </c>
      <c r="R665" s="29" t="s">
        <v>120</v>
      </c>
      <c r="S665" s="21"/>
      <c r="T665" s="21"/>
      <c r="U665" s="27" t="s">
        <v>230</v>
      </c>
      <c r="V665" s="27" t="s">
        <v>230</v>
      </c>
    </row>
    <row r="666" ht="14.25" customHeight="1">
      <c r="A666" s="9" t="s">
        <v>1347</v>
      </c>
      <c r="B666" s="9" t="s">
        <v>1346</v>
      </c>
      <c r="C666" s="9" t="str">
        <f t="array" ref="C666">INDEX(Funciones!$G$2:$G$372,MATCH($A666,Funciones!$B$2:$B$372,0))</f>
        <v>Remolcar trenes de trabajo hasta _____ t</v>
      </c>
      <c r="D666" s="9" t="s">
        <v>4121</v>
      </c>
      <c r="E666" s="9" t="s">
        <v>1813</v>
      </c>
      <c r="F666" s="9" t="s">
        <v>3762</v>
      </c>
      <c r="G666" s="9" t="s">
        <v>3628</v>
      </c>
      <c r="H666" s="18" t="str">
        <f t="array" ref="H666">_xlfn.XLOOKUP(E:E,'Calificación consecuencia'!B:B,'Calificación consecuencia'!K:K,"No encontrada",2)</f>
        <v>Baja</v>
      </c>
      <c r="I666" s="9" t="s">
        <v>425</v>
      </c>
      <c r="J666" s="20" t="s">
        <v>116</v>
      </c>
      <c r="K666" s="21"/>
      <c r="L666" s="21"/>
      <c r="M666" s="20" t="s">
        <v>116</v>
      </c>
      <c r="N666" s="20" t="s">
        <v>116</v>
      </c>
      <c r="O666" s="21"/>
      <c r="P666" s="21"/>
      <c r="Q666" s="21"/>
      <c r="R666" s="21"/>
      <c r="S666" s="21"/>
      <c r="T666" s="21"/>
      <c r="U666" s="9" t="s">
        <v>195</v>
      </c>
      <c r="V666" s="9" t="s">
        <v>196</v>
      </c>
    </row>
    <row r="667" ht="14.25" customHeight="1">
      <c r="A667" s="9" t="s">
        <v>1347</v>
      </c>
      <c r="B667" s="9" t="s">
        <v>1346</v>
      </c>
      <c r="C667" s="9" t="str">
        <f t="array" ref="C667">INDEX(Funciones!$G$2:$G$372,MATCH($A667,Funciones!$B$2:$B$372,0))</f>
        <v>Remolcar trenes de trabajo hasta _____ t</v>
      </c>
      <c r="D667" s="9" t="s">
        <v>4121</v>
      </c>
      <c r="E667" s="9" t="s">
        <v>2009</v>
      </c>
      <c r="F667" s="9" t="s">
        <v>3763</v>
      </c>
      <c r="G667" s="9" t="s">
        <v>3764</v>
      </c>
      <c r="H667" s="18" t="str">
        <f t="array" ref="H667">_xlfn.XLOOKUP(E:E,'Calificación consecuencia'!B:B,'Calificación consecuencia'!K:K,"No encontrada",2)</f>
        <v>Baja</v>
      </c>
      <c r="I667" s="9" t="s">
        <v>2694</v>
      </c>
      <c r="J667" s="20" t="s">
        <v>116</v>
      </c>
      <c r="K667" s="21"/>
      <c r="L667" s="21"/>
      <c r="M667" s="20" t="s">
        <v>116</v>
      </c>
      <c r="N667" s="20" t="s">
        <v>116</v>
      </c>
      <c r="O667" s="21"/>
      <c r="P667" s="21"/>
      <c r="Q667" s="21"/>
      <c r="R667" s="21"/>
      <c r="S667" s="21"/>
      <c r="T667" s="21"/>
      <c r="U667" s="9" t="s">
        <v>195</v>
      </c>
      <c r="V667" s="9" t="s">
        <v>196</v>
      </c>
    </row>
    <row r="668" ht="14.25" customHeight="1">
      <c r="A668" s="9" t="s">
        <v>1347</v>
      </c>
      <c r="B668" s="9" t="s">
        <v>1346</v>
      </c>
      <c r="C668" s="9" t="str">
        <f t="array" ref="C668">INDEX(Funciones!$G$2:$G$372,MATCH($A668,Funciones!$B$2:$B$372,0))</f>
        <v>Remolcar trenes de trabajo hasta _____ t</v>
      </c>
      <c r="D668" s="9" t="s">
        <v>4122</v>
      </c>
      <c r="E668" s="9" t="s">
        <v>1822</v>
      </c>
      <c r="F668" s="9" t="s">
        <v>3766</v>
      </c>
      <c r="G668" s="9" t="s">
        <v>3634</v>
      </c>
      <c r="H668" s="18" t="str">
        <f t="array" ref="H668">_xlfn.XLOOKUP(E:E,'Calificación consecuencia'!B:B,'Calificación consecuencia'!K:K,"No encontrada",2)</f>
        <v>Media</v>
      </c>
      <c r="I668" s="9" t="s">
        <v>425</v>
      </c>
      <c r="J668" s="20" t="s">
        <v>116</v>
      </c>
      <c r="K668" s="21"/>
      <c r="L668" s="21"/>
      <c r="M668" s="20" t="s">
        <v>116</v>
      </c>
      <c r="N668" s="20" t="s">
        <v>116</v>
      </c>
      <c r="O668" s="21"/>
      <c r="P668" s="21"/>
      <c r="Q668" s="21"/>
      <c r="R668" s="21"/>
      <c r="S668" s="21"/>
      <c r="T668" s="21"/>
      <c r="U668" s="9" t="s">
        <v>195</v>
      </c>
      <c r="V668" s="9" t="s">
        <v>196</v>
      </c>
    </row>
    <row r="669" ht="14.25" customHeight="1">
      <c r="A669" s="9" t="s">
        <v>1347</v>
      </c>
      <c r="B669" s="9" t="s">
        <v>1346</v>
      </c>
      <c r="C669" s="9" t="str">
        <f t="array" ref="C669">INDEX(Funciones!$G$2:$G$372,MATCH($A669,Funciones!$B$2:$B$372,0))</f>
        <v>Remolcar trenes de trabajo hasta _____ t</v>
      </c>
      <c r="D669" s="9" t="s">
        <v>4122</v>
      </c>
      <c r="E669" s="9" t="s">
        <v>2011</v>
      </c>
      <c r="F669" s="9" t="s">
        <v>3767</v>
      </c>
      <c r="G669" s="9" t="s">
        <v>3630</v>
      </c>
      <c r="H669" s="18" t="str">
        <f t="array" ref="H669">_xlfn.XLOOKUP(E:E,'Calificación consecuencia'!B:B,'Calificación consecuencia'!K:K,"No encontrada",2)</f>
        <v>Media</v>
      </c>
      <c r="I669" s="9" t="s">
        <v>1351</v>
      </c>
      <c r="J669" s="20" t="s">
        <v>116</v>
      </c>
      <c r="K669" s="21"/>
      <c r="L669" s="21"/>
      <c r="M669" s="20" t="s">
        <v>116</v>
      </c>
      <c r="N669" s="20" t="s">
        <v>116</v>
      </c>
      <c r="O669" s="21"/>
      <c r="P669" s="21"/>
      <c r="Q669" s="21"/>
      <c r="R669" s="21"/>
      <c r="S669" s="21"/>
      <c r="T669" s="21"/>
      <c r="U669" s="9" t="s">
        <v>195</v>
      </c>
      <c r="V669" s="9" t="s">
        <v>196</v>
      </c>
    </row>
    <row r="670" ht="14.25" customHeight="1">
      <c r="A670" s="27" t="s">
        <v>1353</v>
      </c>
      <c r="B670" s="27" t="s">
        <v>1352</v>
      </c>
      <c r="C670" s="27" t="str">
        <f t="array" ref="C670">INDEX(Funciones!$G$2:$G$372,MATCH($A670,Funciones!$B$2:$B$372,0))</f>
        <v>Comprimir el aire a una presión de _____ bar</v>
      </c>
      <c r="D670" s="27" t="s">
        <v>3403</v>
      </c>
      <c r="E670" s="27" t="s">
        <v>999</v>
      </c>
      <c r="F670" s="27" t="s">
        <v>2657</v>
      </c>
      <c r="G670" s="27" t="s">
        <v>2658</v>
      </c>
      <c r="H670" s="18" t="str">
        <f t="array" ref="H670">_xlfn.XLOOKUP(E:E,'Calificación consecuencia'!B:B,'Calificación consecuencia'!K:K,"No encontrada",2)</f>
        <v>Media</v>
      </c>
      <c r="I670" s="27" t="s">
        <v>1800</v>
      </c>
      <c r="J670" s="30" t="s">
        <v>116</v>
      </c>
      <c r="K670" s="21"/>
      <c r="L670" s="21"/>
      <c r="M670" s="30" t="s">
        <v>116</v>
      </c>
      <c r="N670" s="30" t="s">
        <v>116</v>
      </c>
      <c r="O670" s="21"/>
      <c r="P670" s="21"/>
      <c r="Q670" s="21"/>
      <c r="R670" s="21"/>
      <c r="S670" s="21"/>
      <c r="T670" s="21"/>
      <c r="U670" s="27" t="s">
        <v>195</v>
      </c>
      <c r="V670" s="27" t="s">
        <v>196</v>
      </c>
    </row>
    <row r="671" ht="14.25" customHeight="1">
      <c r="A671" s="27" t="s">
        <v>1353</v>
      </c>
      <c r="B671" s="27" t="s">
        <v>1352</v>
      </c>
      <c r="C671" s="27" t="str">
        <f t="array" ref="C671">INDEX(Funciones!$G$2:$G$372,MATCH($A671,Funciones!$B$2:$B$372,0))</f>
        <v>Comprimir el aire a una presión de _____ bar</v>
      </c>
      <c r="D671" s="27" t="s">
        <v>3403</v>
      </c>
      <c r="E671" s="27" t="s">
        <v>1005</v>
      </c>
      <c r="F671" s="27" t="s">
        <v>2677</v>
      </c>
      <c r="G671" s="27" t="s">
        <v>2679</v>
      </c>
      <c r="H671" s="18" t="str">
        <f t="array" ref="H671">_xlfn.XLOOKUP(E:E,'Calificación consecuencia'!B:B,'Calificación consecuencia'!K:K,"No encontrada",2)</f>
        <v>Baja</v>
      </c>
      <c r="I671" s="27" t="s">
        <v>2694</v>
      </c>
      <c r="J671" s="30" t="s">
        <v>116</v>
      </c>
      <c r="K671" s="21"/>
      <c r="L671" s="21"/>
      <c r="M671" s="30" t="s">
        <v>116</v>
      </c>
      <c r="N671" s="30" t="s">
        <v>116</v>
      </c>
      <c r="O671" s="21"/>
      <c r="P671" s="21"/>
      <c r="Q671" s="21"/>
      <c r="R671" s="21"/>
      <c r="S671" s="21"/>
      <c r="T671" s="21"/>
      <c r="U671" s="27" t="s">
        <v>195</v>
      </c>
      <c r="V671" s="27" t="s">
        <v>196</v>
      </c>
    </row>
    <row r="672" ht="14.25" customHeight="1">
      <c r="A672" s="27" t="s">
        <v>1353</v>
      </c>
      <c r="B672" s="27" t="s">
        <v>1352</v>
      </c>
      <c r="C672" s="27" t="str">
        <f t="array" ref="C672">INDEX(Funciones!$G$2:$G$372,MATCH($A672,Funciones!$B$2:$B$372,0))</f>
        <v>Comprimir el aire a una presión de _____ bar</v>
      </c>
      <c r="D672" s="27" t="s">
        <v>3403</v>
      </c>
      <c r="E672" s="27" t="s">
        <v>1017</v>
      </c>
      <c r="F672" s="27" t="s">
        <v>2709</v>
      </c>
      <c r="G672" s="27" t="s">
        <v>2710</v>
      </c>
      <c r="H672" s="18" t="str">
        <f t="array" ref="H672">_xlfn.XLOOKUP(E:E,'Calificación consecuencia'!B:B,'Calificación consecuencia'!K:K,"No encontrada",2)</f>
        <v>Media</v>
      </c>
      <c r="I672" s="27" t="s">
        <v>1800</v>
      </c>
      <c r="J672" s="30" t="s">
        <v>116</v>
      </c>
      <c r="K672" s="21"/>
      <c r="L672" s="21"/>
      <c r="M672" s="30" t="s">
        <v>116</v>
      </c>
      <c r="N672" s="30" t="s">
        <v>116</v>
      </c>
      <c r="O672" s="21"/>
      <c r="P672" s="21"/>
      <c r="Q672" s="21"/>
      <c r="R672" s="21"/>
      <c r="S672" s="21"/>
      <c r="T672" s="21"/>
      <c r="U672" s="27" t="s">
        <v>195</v>
      </c>
      <c r="V672" s="27" t="s">
        <v>196</v>
      </c>
    </row>
    <row r="673" ht="14.25" customHeight="1">
      <c r="A673" s="27" t="s">
        <v>1353</v>
      </c>
      <c r="B673" s="27" t="s">
        <v>1352</v>
      </c>
      <c r="C673" s="27" t="str">
        <f t="array" ref="C673">INDEX(Funciones!$G$2:$G$372,MATCH($A673,Funciones!$B$2:$B$372,0))</f>
        <v>Comprimir el aire a una presión de _____ bar</v>
      </c>
      <c r="D673" s="27" t="s">
        <v>3404</v>
      </c>
      <c r="E673" s="27" t="s">
        <v>727</v>
      </c>
      <c r="F673" s="27" t="s">
        <v>3405</v>
      </c>
      <c r="G673" s="27" t="s">
        <v>1792</v>
      </c>
      <c r="H673" s="18" t="str">
        <f t="array" ref="H673">_xlfn.XLOOKUP(E:E,'Calificación consecuencia'!B:B,'Calificación consecuencia'!K:K,"No encontrada",2)</f>
        <v>Baja</v>
      </c>
      <c r="I673" s="27" t="s">
        <v>1800</v>
      </c>
      <c r="J673" s="30" t="s">
        <v>116</v>
      </c>
      <c r="K673" s="21"/>
      <c r="L673" s="21"/>
      <c r="M673" s="29" t="s">
        <v>120</v>
      </c>
      <c r="N673" s="21"/>
      <c r="O673" s="30" t="s">
        <v>116</v>
      </c>
      <c r="P673" s="30" t="s">
        <v>116</v>
      </c>
      <c r="Q673" s="21"/>
      <c r="R673" s="21"/>
      <c r="S673" s="21"/>
      <c r="T673" s="21"/>
      <c r="U673" s="27" t="s">
        <v>345</v>
      </c>
      <c r="V673" s="27" t="s">
        <v>196</v>
      </c>
    </row>
    <row r="674" ht="14.25" customHeight="1">
      <c r="A674" s="27" t="s">
        <v>1353</v>
      </c>
      <c r="B674" s="27" t="s">
        <v>1352</v>
      </c>
      <c r="C674" s="27" t="str">
        <f t="array" ref="C674">INDEX(Funciones!$G$2:$G$372,MATCH($A674,Funciones!$B$2:$B$372,0))</f>
        <v>Comprimir el aire a una presión de _____ bar</v>
      </c>
      <c r="D674" s="27" t="s">
        <v>3404</v>
      </c>
      <c r="E674" s="27" t="s">
        <v>1036</v>
      </c>
      <c r="F674" s="27" t="s">
        <v>3406</v>
      </c>
      <c r="G674" s="27" t="s">
        <v>2810</v>
      </c>
      <c r="H674" s="18" t="str">
        <f t="array" ref="H674">_xlfn.XLOOKUP(E:E,'Calificación consecuencia'!B:B,'Calificación consecuencia'!K:K,"No encontrada",2)</f>
        <v>Baja</v>
      </c>
      <c r="I674" s="27" t="s">
        <v>2106</v>
      </c>
      <c r="J674" s="30" t="s">
        <v>116</v>
      </c>
      <c r="K674" s="21"/>
      <c r="L674" s="21"/>
      <c r="M674" s="29" t="s">
        <v>120</v>
      </c>
      <c r="N674" s="21"/>
      <c r="O674" s="30" t="s">
        <v>116</v>
      </c>
      <c r="P674" s="30" t="s">
        <v>116</v>
      </c>
      <c r="Q674" s="21"/>
      <c r="R674" s="21"/>
      <c r="S674" s="21"/>
      <c r="T674" s="21"/>
      <c r="U674" s="27" t="s">
        <v>345</v>
      </c>
      <c r="V674" s="27" t="s">
        <v>196</v>
      </c>
    </row>
    <row r="675" ht="14.25" customHeight="1">
      <c r="A675" s="27" t="s">
        <v>1353</v>
      </c>
      <c r="B675" s="27" t="s">
        <v>1352</v>
      </c>
      <c r="C675" s="27" t="str">
        <f t="array" ref="C675">INDEX(Funciones!$G$2:$G$372,MATCH($A675,Funciones!$B$2:$B$372,0))</f>
        <v>Comprimir el aire a una presión de _____ bar</v>
      </c>
      <c r="D675" s="27" t="s">
        <v>3409</v>
      </c>
      <c r="E675" s="27" t="s">
        <v>1421</v>
      </c>
      <c r="F675" s="27" t="s">
        <v>3410</v>
      </c>
      <c r="G675" s="27" t="s">
        <v>2841</v>
      </c>
      <c r="H675" s="18" t="str">
        <f t="array" ref="H675">_xlfn.XLOOKUP(E:E,'Calificación consecuencia'!B:B,'Calificación consecuencia'!K:K,"No encontrada",2)</f>
        <v>Baja</v>
      </c>
      <c r="I675" s="27" t="s">
        <v>2106</v>
      </c>
      <c r="J675" s="30" t="s">
        <v>116</v>
      </c>
      <c r="K675" s="21"/>
      <c r="L675" s="21"/>
      <c r="M675" s="29" t="s">
        <v>120</v>
      </c>
      <c r="N675" s="21"/>
      <c r="O675" s="29" t="s">
        <v>120</v>
      </c>
      <c r="P675" s="21"/>
      <c r="Q675" s="21"/>
      <c r="R675" s="21"/>
      <c r="S675" s="29" t="s">
        <v>120</v>
      </c>
      <c r="T675" s="21"/>
      <c r="U675" s="27" t="s">
        <v>1680</v>
      </c>
      <c r="V675" s="27" t="s">
        <v>1408</v>
      </c>
    </row>
    <row r="676" ht="14.25" customHeight="1">
      <c r="A676" s="27" t="s">
        <v>1353</v>
      </c>
      <c r="B676" s="27" t="s">
        <v>1352</v>
      </c>
      <c r="C676" s="27" t="str">
        <f t="array" ref="C676">INDEX(Funciones!$G$2:$G$372,MATCH($A676,Funciones!$B$2:$B$372,0))</f>
        <v>Comprimir el aire a una presión de _____ bar</v>
      </c>
      <c r="D676" s="27" t="s">
        <v>3409</v>
      </c>
      <c r="E676" s="27" t="s">
        <v>1426</v>
      </c>
      <c r="F676" s="27" t="s">
        <v>3411</v>
      </c>
      <c r="G676" s="27" t="s">
        <v>1888</v>
      </c>
      <c r="H676" s="18" t="str">
        <f t="array" ref="H676">_xlfn.XLOOKUP(E:E,'Calificación consecuencia'!B:B,'Calificación consecuencia'!K:K,"No encontrada",2)</f>
        <v>Baja</v>
      </c>
      <c r="I676" s="27" t="s">
        <v>2106</v>
      </c>
      <c r="J676" s="30" t="s">
        <v>116</v>
      </c>
      <c r="K676" s="21"/>
      <c r="L676" s="21"/>
      <c r="M676" s="29" t="s">
        <v>120</v>
      </c>
      <c r="N676" s="21"/>
      <c r="O676" s="29" t="s">
        <v>120</v>
      </c>
      <c r="P676" s="21"/>
      <c r="Q676" s="21"/>
      <c r="R676" s="21"/>
      <c r="S676" s="29" t="s">
        <v>120</v>
      </c>
      <c r="T676" s="21"/>
      <c r="U676" s="27" t="s">
        <v>1680</v>
      </c>
      <c r="V676" s="27" t="s">
        <v>1408</v>
      </c>
    </row>
    <row r="677" ht="14.25" customHeight="1">
      <c r="A677" s="9" t="s">
        <v>1358</v>
      </c>
      <c r="B677" s="9" t="s">
        <v>1352</v>
      </c>
      <c r="C677" s="9" t="str">
        <f t="array" ref="C677">INDEX(Funciones!$G$2:$G$372,MATCH($A677,Funciones!$B$2:$B$372,0))</f>
        <v>Suministrar caudal de aire de _____ L/min</v>
      </c>
      <c r="D677" s="9" t="s">
        <v>4123</v>
      </c>
      <c r="E677" s="9" t="s">
        <v>999</v>
      </c>
      <c r="F677" s="9" t="s">
        <v>2657</v>
      </c>
      <c r="G677" s="9" t="s">
        <v>2658</v>
      </c>
      <c r="H677" s="18" t="str">
        <f t="array" ref="H677">_xlfn.XLOOKUP(E:E,'Calificación consecuencia'!B:B,'Calificación consecuencia'!K:K,"No encontrada",2)</f>
        <v>Media</v>
      </c>
      <c r="I677" s="9" t="s">
        <v>1800</v>
      </c>
      <c r="J677" s="20" t="s">
        <v>116</v>
      </c>
      <c r="K677" s="21"/>
      <c r="L677" s="21"/>
      <c r="M677" s="20" t="s">
        <v>116</v>
      </c>
      <c r="N677" s="20" t="s">
        <v>116</v>
      </c>
      <c r="O677" s="21"/>
      <c r="P677" s="21"/>
      <c r="Q677" s="21"/>
      <c r="R677" s="21"/>
      <c r="S677" s="21"/>
      <c r="T677" s="21"/>
      <c r="U677" s="9" t="s">
        <v>195</v>
      </c>
      <c r="V677" s="9" t="s">
        <v>196</v>
      </c>
    </row>
    <row r="678" ht="14.25" customHeight="1">
      <c r="A678" s="9" t="s">
        <v>1358</v>
      </c>
      <c r="B678" s="9" t="s">
        <v>1352</v>
      </c>
      <c r="C678" s="9" t="str">
        <f t="array" ref="C678">INDEX(Funciones!$G$2:$G$372,MATCH($A678,Funciones!$B$2:$B$372,0))</f>
        <v>Suministrar caudal de aire de _____ L/min</v>
      </c>
      <c r="D678" s="9" t="s">
        <v>4123</v>
      </c>
      <c r="E678" s="9" t="s">
        <v>1005</v>
      </c>
      <c r="F678" s="9" t="s">
        <v>2677</v>
      </c>
      <c r="G678" s="9" t="s">
        <v>2679</v>
      </c>
      <c r="H678" s="18" t="str">
        <f t="array" ref="H678">_xlfn.XLOOKUP(E:E,'Calificación consecuencia'!B:B,'Calificación consecuencia'!K:K,"No encontrada",2)</f>
        <v>Baja</v>
      </c>
      <c r="I678" s="9" t="s">
        <v>2694</v>
      </c>
      <c r="J678" s="20" t="s">
        <v>116</v>
      </c>
      <c r="K678" s="21"/>
      <c r="L678" s="21"/>
      <c r="M678" s="20" t="s">
        <v>116</v>
      </c>
      <c r="N678" s="20" t="s">
        <v>116</v>
      </c>
      <c r="O678" s="21"/>
      <c r="P678" s="21"/>
      <c r="Q678" s="21"/>
      <c r="R678" s="21"/>
      <c r="S678" s="21"/>
      <c r="T678" s="21"/>
      <c r="U678" s="9" t="s">
        <v>195</v>
      </c>
      <c r="V678" s="9" t="s">
        <v>196</v>
      </c>
    </row>
    <row r="679" ht="14.25" customHeight="1">
      <c r="A679" s="9" t="s">
        <v>1358</v>
      </c>
      <c r="B679" s="9" t="s">
        <v>1352</v>
      </c>
      <c r="C679" s="9" t="str">
        <f t="array" ref="C679">INDEX(Funciones!$G$2:$G$372,MATCH($A679,Funciones!$B$2:$B$372,0))</f>
        <v>Suministrar caudal de aire de _____ L/min</v>
      </c>
      <c r="D679" s="9" t="s">
        <v>4123</v>
      </c>
      <c r="E679" s="9" t="s">
        <v>1017</v>
      </c>
      <c r="F679" s="9" t="s">
        <v>2709</v>
      </c>
      <c r="G679" s="9" t="s">
        <v>2710</v>
      </c>
      <c r="H679" s="18" t="str">
        <f t="array" ref="H679">_xlfn.XLOOKUP(E:E,'Calificación consecuencia'!B:B,'Calificación consecuencia'!K:K,"No encontrada",2)</f>
        <v>Media</v>
      </c>
      <c r="I679" s="9" t="s">
        <v>1800</v>
      </c>
      <c r="J679" s="20" t="s">
        <v>116</v>
      </c>
      <c r="K679" s="21"/>
      <c r="L679" s="21"/>
      <c r="M679" s="20" t="s">
        <v>116</v>
      </c>
      <c r="N679" s="20" t="s">
        <v>116</v>
      </c>
      <c r="O679" s="21"/>
      <c r="P679" s="21"/>
      <c r="Q679" s="21"/>
      <c r="R679" s="21"/>
      <c r="S679" s="21"/>
      <c r="T679" s="21"/>
      <c r="U679" s="9" t="s">
        <v>195</v>
      </c>
      <c r="V679" s="9" t="s">
        <v>196</v>
      </c>
    </row>
    <row r="680" ht="14.25" customHeight="1">
      <c r="A680" s="9" t="s">
        <v>1358</v>
      </c>
      <c r="B680" s="9" t="s">
        <v>1352</v>
      </c>
      <c r="C680" s="9" t="str">
        <f t="array" ref="C680">INDEX(Funciones!$G$2:$G$372,MATCH($A680,Funciones!$B$2:$B$372,0))</f>
        <v>Suministrar caudal de aire de _____ L/min</v>
      </c>
      <c r="D680" s="9" t="s">
        <v>4124</v>
      </c>
      <c r="E680" s="9" t="s">
        <v>727</v>
      </c>
      <c r="F680" s="9" t="s">
        <v>2744</v>
      </c>
      <c r="G680" s="9" t="s">
        <v>1792</v>
      </c>
      <c r="H680" s="18" t="str">
        <f t="array" ref="H680">_xlfn.XLOOKUP(E:E,'Calificación consecuencia'!B:B,'Calificación consecuencia'!K:K,"No encontrada",2)</f>
        <v>Baja</v>
      </c>
      <c r="I680" s="9" t="s">
        <v>1800</v>
      </c>
      <c r="J680" s="20" t="s">
        <v>116</v>
      </c>
      <c r="K680" s="21"/>
      <c r="L680" s="21"/>
      <c r="M680" s="22" t="s">
        <v>120</v>
      </c>
      <c r="N680" s="21"/>
      <c r="O680" s="20" t="s">
        <v>116</v>
      </c>
      <c r="P680" s="20" t="s">
        <v>116</v>
      </c>
      <c r="Q680" s="21"/>
      <c r="R680" s="21"/>
      <c r="S680" s="21"/>
      <c r="T680" s="21"/>
      <c r="U680" s="9" t="s">
        <v>345</v>
      </c>
      <c r="V680" s="9" t="s">
        <v>196</v>
      </c>
    </row>
    <row r="681" ht="14.25" customHeight="1">
      <c r="A681" s="9" t="s">
        <v>1358</v>
      </c>
      <c r="B681" s="9" t="s">
        <v>1352</v>
      </c>
      <c r="C681" s="9" t="str">
        <f t="array" ref="C681">INDEX(Funciones!$G$2:$G$372,MATCH($A681,Funciones!$B$2:$B$372,0))</f>
        <v>Suministrar caudal de aire de _____ L/min</v>
      </c>
      <c r="D681" s="9" t="s">
        <v>4124</v>
      </c>
      <c r="E681" s="9" t="s">
        <v>1031</v>
      </c>
      <c r="F681" s="9" t="s">
        <v>2776</v>
      </c>
      <c r="G681" s="9" t="s">
        <v>2777</v>
      </c>
      <c r="H681" s="18" t="str">
        <f t="array" ref="H681">_xlfn.XLOOKUP(E:E,'Calificación consecuencia'!B:B,'Calificación consecuencia'!K:K,"No encontrada",2)</f>
        <v>Baja</v>
      </c>
      <c r="I681" s="9" t="s">
        <v>2106</v>
      </c>
      <c r="J681" s="20" t="s">
        <v>116</v>
      </c>
      <c r="K681" s="21"/>
      <c r="L681" s="21"/>
      <c r="M681" s="22" t="s">
        <v>120</v>
      </c>
      <c r="N681" s="21"/>
      <c r="O681" s="22" t="s">
        <v>120</v>
      </c>
      <c r="P681" s="21"/>
      <c r="Q681" s="21"/>
      <c r="R681" s="21"/>
      <c r="S681" s="22" t="s">
        <v>120</v>
      </c>
      <c r="T681" s="21"/>
      <c r="U681" s="9" t="s">
        <v>1680</v>
      </c>
      <c r="V681" s="9" t="s">
        <v>1408</v>
      </c>
    </row>
    <row r="682" ht="14.25" customHeight="1">
      <c r="A682" s="9" t="s">
        <v>1358</v>
      </c>
      <c r="B682" s="9" t="s">
        <v>1352</v>
      </c>
      <c r="C682" s="9" t="str">
        <f t="array" ref="C682">INDEX(Funciones!$G$2:$G$372,MATCH($A682,Funciones!$B$2:$B$372,0))</f>
        <v>Suministrar caudal de aire de _____ L/min</v>
      </c>
      <c r="D682" s="9" t="s">
        <v>4124</v>
      </c>
      <c r="E682" s="9" t="s">
        <v>1036</v>
      </c>
      <c r="F682" s="9" t="s">
        <v>2808</v>
      </c>
      <c r="G682" s="9" t="s">
        <v>2810</v>
      </c>
      <c r="H682" s="18" t="str">
        <f t="array" ref="H682">_xlfn.XLOOKUP(E:E,'Calificación consecuencia'!B:B,'Calificación consecuencia'!K:K,"No encontrada",2)</f>
        <v>Baja</v>
      </c>
      <c r="I682" s="9" t="s">
        <v>2106</v>
      </c>
      <c r="J682" s="20" t="s">
        <v>116</v>
      </c>
      <c r="K682" s="21"/>
      <c r="L682" s="21"/>
      <c r="M682" s="22" t="s">
        <v>120</v>
      </c>
      <c r="N682" s="21"/>
      <c r="O682" s="20" t="s">
        <v>116</v>
      </c>
      <c r="P682" s="20" t="s">
        <v>116</v>
      </c>
      <c r="Q682" s="21"/>
      <c r="R682" s="21"/>
      <c r="S682" s="21"/>
      <c r="T682" s="21"/>
      <c r="U682" s="9" t="s">
        <v>345</v>
      </c>
      <c r="V682" s="9" t="s">
        <v>196</v>
      </c>
    </row>
    <row r="683" ht="14.25" customHeight="1">
      <c r="A683" s="9" t="s">
        <v>1358</v>
      </c>
      <c r="B683" s="9" t="s">
        <v>1352</v>
      </c>
      <c r="C683" s="9" t="str">
        <f t="array" ref="C683">INDEX(Funciones!$G$2:$G$372,MATCH($A683,Funciones!$B$2:$B$372,0))</f>
        <v>Suministrar caudal de aire de _____ L/min</v>
      </c>
      <c r="D683" s="9" t="s">
        <v>4124</v>
      </c>
      <c r="E683" s="9" t="s">
        <v>1041</v>
      </c>
      <c r="F683" s="9" t="s">
        <v>2838</v>
      </c>
      <c r="G683" s="9" t="s">
        <v>2841</v>
      </c>
      <c r="H683" s="18" t="str">
        <f t="array" ref="H683">_xlfn.XLOOKUP(E:E,'Calificación consecuencia'!B:B,'Calificación consecuencia'!K:K,"No encontrada",2)</f>
        <v>Baja</v>
      </c>
      <c r="I683" s="9" t="s">
        <v>2106</v>
      </c>
      <c r="J683" s="20" t="s">
        <v>116</v>
      </c>
      <c r="K683" s="21"/>
      <c r="L683" s="21"/>
      <c r="M683" s="22" t="s">
        <v>120</v>
      </c>
      <c r="N683" s="21"/>
      <c r="O683" s="22" t="s">
        <v>120</v>
      </c>
      <c r="P683" s="21"/>
      <c r="Q683" s="21"/>
      <c r="R683" s="21"/>
      <c r="S683" s="22" t="s">
        <v>120</v>
      </c>
      <c r="T683" s="21"/>
      <c r="U683" s="9" t="s">
        <v>1680</v>
      </c>
      <c r="V683" s="9" t="s">
        <v>1408</v>
      </c>
    </row>
    <row r="684" ht="14.25" customHeight="1">
      <c r="A684" s="9" t="s">
        <v>1358</v>
      </c>
      <c r="B684" s="9" t="s">
        <v>1352</v>
      </c>
      <c r="C684" s="9" t="str">
        <f t="array" ref="C684">INDEX(Funciones!$G$2:$G$372,MATCH($A684,Funciones!$B$2:$B$372,0))</f>
        <v>Suministrar caudal de aire de _____ L/min</v>
      </c>
      <c r="D684" s="9" t="s">
        <v>4124</v>
      </c>
      <c r="E684" s="9" t="s">
        <v>1047</v>
      </c>
      <c r="F684" s="9" t="s">
        <v>2875</v>
      </c>
      <c r="G684" s="9" t="s">
        <v>1888</v>
      </c>
      <c r="H684" s="18" t="str">
        <f t="array" ref="H684">_xlfn.XLOOKUP(E:E,'Calificación consecuencia'!B:B,'Calificación consecuencia'!K:K,"No encontrada",2)</f>
        <v>Baja</v>
      </c>
      <c r="I684" s="9" t="s">
        <v>2106</v>
      </c>
      <c r="J684" s="20" t="s">
        <v>116</v>
      </c>
      <c r="K684" s="21"/>
      <c r="L684" s="21"/>
      <c r="M684" s="22" t="s">
        <v>120</v>
      </c>
      <c r="N684" s="21"/>
      <c r="O684" s="22" t="s">
        <v>120</v>
      </c>
      <c r="P684" s="21"/>
      <c r="Q684" s="21"/>
      <c r="R684" s="21"/>
      <c r="S684" s="22" t="s">
        <v>120</v>
      </c>
      <c r="T684" s="21"/>
      <c r="U684" s="9" t="s">
        <v>1680</v>
      </c>
      <c r="V684" s="9" t="s">
        <v>1408</v>
      </c>
    </row>
    <row r="685" ht="14.25" customHeight="1">
      <c r="A685" s="27" t="s">
        <v>1364</v>
      </c>
      <c r="B685" s="27" t="s">
        <v>1363</v>
      </c>
      <c r="C685" s="27" t="str">
        <f t="array" ref="C685">INDEX(Funciones!$G$2:$G$372,MATCH($A685,Funciones!$B$2:$B$372,0))</f>
        <v>Sellar la cabina con 0 filtraciones en prueba de agua</v>
      </c>
      <c r="D685" s="27" t="s">
        <v>3649</v>
      </c>
      <c r="E685" s="27" t="s">
        <v>1157</v>
      </c>
      <c r="F685" s="27" t="s">
        <v>3650</v>
      </c>
      <c r="G685" s="27" t="s">
        <v>3279</v>
      </c>
      <c r="H685" s="18" t="str">
        <f t="array" ref="H685">_xlfn.XLOOKUP(E:E,'Calificación consecuencia'!B:B,'Calificación consecuencia'!K:K,"No encontrada",2)</f>
        <v>Baja</v>
      </c>
      <c r="I685" s="27" t="s">
        <v>2106</v>
      </c>
      <c r="J685" s="30" t="s">
        <v>116</v>
      </c>
      <c r="K685" s="21"/>
      <c r="L685" s="21"/>
      <c r="M685" s="29" t="s">
        <v>120</v>
      </c>
      <c r="N685" s="21"/>
      <c r="O685" s="30" t="s">
        <v>116</v>
      </c>
      <c r="P685" s="30" t="s">
        <v>116</v>
      </c>
      <c r="Q685" s="21"/>
      <c r="R685" s="21"/>
      <c r="S685" s="21"/>
      <c r="T685" s="21"/>
      <c r="U685" s="27" t="s">
        <v>345</v>
      </c>
      <c r="V685" s="27" t="s">
        <v>196</v>
      </c>
    </row>
    <row r="686" ht="14.25" customHeight="1">
      <c r="A686" s="27" t="s">
        <v>1364</v>
      </c>
      <c r="B686" s="27" t="s">
        <v>1363</v>
      </c>
      <c r="C686" s="27" t="str">
        <f t="array" ref="C686">INDEX(Funciones!$G$2:$G$372,MATCH($A686,Funciones!$B$2:$B$372,0))</f>
        <v>Sellar la cabina con 0 filtraciones en prueba de agua</v>
      </c>
      <c r="D686" s="27" t="s">
        <v>3651</v>
      </c>
      <c r="E686" s="27" t="s">
        <v>1167</v>
      </c>
      <c r="F686" s="27" t="s">
        <v>3652</v>
      </c>
      <c r="G686" s="27" t="s">
        <v>3282</v>
      </c>
      <c r="H686" s="18" t="str">
        <f t="array" ref="H686">_xlfn.XLOOKUP(E:E,'Calificación consecuencia'!B:B,'Calificación consecuencia'!K:K,"No encontrada",2)</f>
        <v>Baja</v>
      </c>
      <c r="I686" s="27" t="s">
        <v>2106</v>
      </c>
      <c r="J686" s="30" t="s">
        <v>116</v>
      </c>
      <c r="K686" s="21"/>
      <c r="L686" s="21"/>
      <c r="M686" s="29" t="s">
        <v>120</v>
      </c>
      <c r="N686" s="21"/>
      <c r="O686" s="29" t="s">
        <v>120</v>
      </c>
      <c r="P686" s="21"/>
      <c r="Q686" s="21"/>
      <c r="R686" s="21"/>
      <c r="S686" s="29" t="s">
        <v>120</v>
      </c>
      <c r="T686" s="21"/>
      <c r="U686" s="27" t="s">
        <v>1680</v>
      </c>
      <c r="V686" s="27" t="s">
        <v>1408</v>
      </c>
    </row>
    <row r="687" ht="14.25" customHeight="1">
      <c r="A687" s="27" t="s">
        <v>1364</v>
      </c>
      <c r="B687" s="27" t="s">
        <v>1363</v>
      </c>
      <c r="C687" s="27" t="str">
        <f t="array" ref="C687">INDEX(Funciones!$G$2:$G$372,MATCH($A687,Funciones!$B$2:$B$372,0))</f>
        <v>Sellar la cabina con 0 filtraciones en prueba de agua</v>
      </c>
      <c r="D687" s="27" t="s">
        <v>3651</v>
      </c>
      <c r="E687" s="27" t="s">
        <v>1176</v>
      </c>
      <c r="F687" s="27" t="s">
        <v>3653</v>
      </c>
      <c r="G687" s="27" t="s">
        <v>3284</v>
      </c>
      <c r="H687" s="18" t="str">
        <f t="array" ref="H687">_xlfn.XLOOKUP(E:E,'Calificación consecuencia'!B:B,'Calificación consecuencia'!K:K,"No encontrada",2)</f>
        <v>Baja</v>
      </c>
      <c r="I687" s="27" t="s">
        <v>2106</v>
      </c>
      <c r="J687" s="30" t="s">
        <v>116</v>
      </c>
      <c r="K687" s="21"/>
      <c r="L687" s="21"/>
      <c r="M687" s="29" t="s">
        <v>120</v>
      </c>
      <c r="N687" s="21"/>
      <c r="O687" s="29" t="s">
        <v>120</v>
      </c>
      <c r="P687" s="21"/>
      <c r="Q687" s="21"/>
      <c r="R687" s="21"/>
      <c r="S687" s="29" t="s">
        <v>120</v>
      </c>
      <c r="T687" s="21"/>
      <c r="U687" s="27" t="s">
        <v>1680</v>
      </c>
      <c r="V687" s="27" t="s">
        <v>1408</v>
      </c>
    </row>
    <row r="688" ht="14.25" customHeight="1">
      <c r="A688" s="27" t="s">
        <v>1364</v>
      </c>
      <c r="B688" s="27" t="s">
        <v>1363</v>
      </c>
      <c r="C688" s="27" t="str">
        <f t="array" ref="C688">INDEX(Funciones!$G$2:$G$372,MATCH($A688,Funciones!$B$2:$B$372,0))</f>
        <v>Sellar la cabina con 0 filtraciones en prueba de agua</v>
      </c>
      <c r="D688" s="27" t="s">
        <v>3651</v>
      </c>
      <c r="E688" s="27" t="s">
        <v>1184</v>
      </c>
      <c r="F688" s="27" t="s">
        <v>3654</v>
      </c>
      <c r="G688" s="27" t="s">
        <v>3286</v>
      </c>
      <c r="H688" s="18" t="str">
        <f t="array" ref="H688">_xlfn.XLOOKUP(E:E,'Calificación consecuencia'!B:B,'Calificación consecuencia'!K:K,"No encontrada",2)</f>
        <v>Baja</v>
      </c>
      <c r="I688" s="27" t="s">
        <v>2106</v>
      </c>
      <c r="J688" s="30" t="s">
        <v>116</v>
      </c>
      <c r="K688" s="21"/>
      <c r="L688" s="21"/>
      <c r="M688" s="29" t="s">
        <v>120</v>
      </c>
      <c r="N688" s="21"/>
      <c r="O688" s="29" t="s">
        <v>120</v>
      </c>
      <c r="P688" s="21"/>
      <c r="Q688" s="21"/>
      <c r="R688" s="21"/>
      <c r="S688" s="29" t="s">
        <v>120</v>
      </c>
      <c r="T688" s="21"/>
      <c r="U688" s="27" t="s">
        <v>1680</v>
      </c>
      <c r="V688" s="27" t="s">
        <v>1408</v>
      </c>
    </row>
    <row r="689" ht="14.25" customHeight="1">
      <c r="A689" s="9" t="s">
        <v>1370</v>
      </c>
      <c r="B689" s="9" t="s">
        <v>1369</v>
      </c>
      <c r="C689" s="9" t="str">
        <f t="array" ref="C689">INDEX(Funciones!$G$2:$G$372,MATCH($A689,Funciones!$B$2:$B$372,0))</f>
        <v>Generar corriente de carga de _____ A</v>
      </c>
      <c r="D689" s="9" t="s">
        <v>4207</v>
      </c>
      <c r="E689" s="9" t="s">
        <v>3379</v>
      </c>
      <c r="F689" s="9" t="s">
        <v>4208</v>
      </c>
      <c r="G689" s="9" t="s">
        <v>4209</v>
      </c>
      <c r="H689" s="18" t="str">
        <f t="array" ref="H689">_xlfn.XLOOKUP(E:E,'Calificación consecuencia'!B:B,'Calificación consecuencia'!K:K,"No encontrada",2)</f>
        <v>Baja</v>
      </c>
      <c r="I689" s="9" t="s">
        <v>339</v>
      </c>
      <c r="J689" s="20" t="s">
        <v>116</v>
      </c>
      <c r="K689" s="21"/>
      <c r="L689" s="21"/>
      <c r="M689" s="22" t="s">
        <v>120</v>
      </c>
      <c r="N689" s="21"/>
      <c r="O689" s="20" t="s">
        <v>116</v>
      </c>
      <c r="P689" s="20" t="s">
        <v>116</v>
      </c>
      <c r="Q689" s="21"/>
      <c r="R689" s="21"/>
      <c r="S689" s="21"/>
      <c r="T689" s="21"/>
      <c r="U689" s="9" t="s">
        <v>345</v>
      </c>
      <c r="V689" s="9" t="s">
        <v>196</v>
      </c>
    </row>
    <row r="690" ht="14.25" customHeight="1">
      <c r="A690" s="9" t="s">
        <v>1370</v>
      </c>
      <c r="B690" s="9" t="s">
        <v>1369</v>
      </c>
      <c r="C690" s="9" t="str">
        <f t="array" ref="C690">INDEX(Funciones!$G$2:$G$372,MATCH($A690,Funciones!$B$2:$B$372,0))</f>
        <v>Generar corriente de carga de _____ A</v>
      </c>
      <c r="D690" s="9" t="s">
        <v>4207</v>
      </c>
      <c r="E690" s="9" t="s">
        <v>3383</v>
      </c>
      <c r="F690" s="9" t="s">
        <v>4210</v>
      </c>
      <c r="G690" s="9" t="s">
        <v>4211</v>
      </c>
      <c r="H690" s="18" t="str">
        <f t="array" ref="H690">_xlfn.XLOOKUP(E:E,'Calificación consecuencia'!B:B,'Calificación consecuencia'!K:K,"No encontrada",2)</f>
        <v>Baja</v>
      </c>
      <c r="I690" s="9" t="s">
        <v>339</v>
      </c>
      <c r="J690" s="20" t="s">
        <v>116</v>
      </c>
      <c r="K690" s="21"/>
      <c r="L690" s="21"/>
      <c r="M690" s="22" t="s">
        <v>120</v>
      </c>
      <c r="N690" s="21"/>
      <c r="O690" s="20" t="s">
        <v>116</v>
      </c>
      <c r="P690" s="20" t="s">
        <v>116</v>
      </c>
      <c r="Q690" s="21"/>
      <c r="R690" s="21"/>
      <c r="S690" s="21"/>
      <c r="T690" s="21"/>
      <c r="U690" s="9" t="s">
        <v>345</v>
      </c>
      <c r="V690" s="9" t="s">
        <v>196</v>
      </c>
    </row>
    <row r="691" ht="14.25" customHeight="1">
      <c r="A691" s="9" t="s">
        <v>1370</v>
      </c>
      <c r="B691" s="9" t="s">
        <v>1369</v>
      </c>
      <c r="C691" s="9" t="str">
        <f t="array" ref="C691">INDEX(Funciones!$G$2:$G$372,MATCH($A691,Funciones!$B$2:$B$372,0))</f>
        <v>Generar corriente de carga de _____ A</v>
      </c>
      <c r="D691" s="9" t="s">
        <v>4212</v>
      </c>
      <c r="E691" s="9" t="s">
        <v>3384</v>
      </c>
      <c r="F691" s="9" t="s">
        <v>4213</v>
      </c>
      <c r="G691" s="9" t="s">
        <v>4214</v>
      </c>
      <c r="H691" s="18" t="str">
        <f t="array" ref="H691">_xlfn.XLOOKUP(E:E,'Calificación consecuencia'!B:B,'Calificación consecuencia'!K:K,"No encontrada",2)</f>
        <v>Baja</v>
      </c>
      <c r="I691" s="9" t="s">
        <v>1800</v>
      </c>
      <c r="J691" s="20" t="s">
        <v>116</v>
      </c>
      <c r="K691" s="21"/>
      <c r="L691" s="21"/>
      <c r="M691" s="22" t="s">
        <v>120</v>
      </c>
      <c r="N691" s="21"/>
      <c r="O691" s="22" t="s">
        <v>120</v>
      </c>
      <c r="P691" s="21"/>
      <c r="Q691" s="21"/>
      <c r="R691" s="21"/>
      <c r="S691" s="20" t="s">
        <v>116</v>
      </c>
      <c r="T691" s="20" t="s">
        <v>116</v>
      </c>
      <c r="U691" s="9" t="s">
        <v>3471</v>
      </c>
      <c r="V691" s="9" t="s">
        <v>196</v>
      </c>
    </row>
    <row r="692" ht="14.25" customHeight="1">
      <c r="A692" s="9" t="s">
        <v>1370</v>
      </c>
      <c r="B692" s="9" t="s">
        <v>1369</v>
      </c>
      <c r="C692" s="9" t="str">
        <f t="array" ref="C692">INDEX(Funciones!$G$2:$G$372,MATCH($A692,Funciones!$B$2:$B$372,0))</f>
        <v>Generar corriente de carga de _____ A</v>
      </c>
      <c r="D692" s="9" t="s">
        <v>4212</v>
      </c>
      <c r="E692" s="9" t="s">
        <v>3385</v>
      </c>
      <c r="F692" s="9" t="s">
        <v>4215</v>
      </c>
      <c r="G692" s="9" t="s">
        <v>4216</v>
      </c>
      <c r="H692" s="18" t="str">
        <f t="array" ref="H692">_xlfn.XLOOKUP(E:E,'Calificación consecuencia'!B:B,'Calificación consecuencia'!K:K,"No encontrada",2)</f>
        <v>Media</v>
      </c>
      <c r="I692" s="9" t="s">
        <v>1800</v>
      </c>
      <c r="J692" s="20" t="s">
        <v>116</v>
      </c>
      <c r="K692" s="21"/>
      <c r="L692" s="21"/>
      <c r="M692" s="22" t="s">
        <v>120</v>
      </c>
      <c r="N692" s="21"/>
      <c r="O692" s="22" t="s">
        <v>120</v>
      </c>
      <c r="P692" s="21"/>
      <c r="Q692" s="21"/>
      <c r="R692" s="21"/>
      <c r="S692" s="20" t="s">
        <v>116</v>
      </c>
      <c r="T692" s="20" t="s">
        <v>116</v>
      </c>
      <c r="U692" s="9" t="s">
        <v>3471</v>
      </c>
      <c r="V692" s="9" t="s">
        <v>196</v>
      </c>
    </row>
    <row r="693" ht="14.25" customHeight="1">
      <c r="A693" s="9" t="s">
        <v>1370</v>
      </c>
      <c r="B693" s="9" t="s">
        <v>1369</v>
      </c>
      <c r="C693" s="9" t="str">
        <f t="array" ref="C693">INDEX(Funciones!$G$2:$G$372,MATCH($A693,Funciones!$B$2:$B$372,0))</f>
        <v>Generar corriente de carga de _____ A</v>
      </c>
      <c r="D693" s="9" t="s">
        <v>4217</v>
      </c>
      <c r="E693" s="9" t="s">
        <v>1728</v>
      </c>
      <c r="F693" s="9" t="s">
        <v>4218</v>
      </c>
      <c r="G693" s="9" t="s">
        <v>3572</v>
      </c>
      <c r="H693" s="18" t="str">
        <f t="array" ref="H693">_xlfn.XLOOKUP(E:E,'Calificación consecuencia'!B:B,'Calificación consecuencia'!K:K,"No encontrada",2)</f>
        <v>Baja</v>
      </c>
      <c r="I693" s="9" t="s">
        <v>2106</v>
      </c>
      <c r="J693" s="20" t="s">
        <v>116</v>
      </c>
      <c r="K693" s="21"/>
      <c r="L693" s="21"/>
      <c r="M693" s="22" t="s">
        <v>120</v>
      </c>
      <c r="N693" s="21"/>
      <c r="O693" s="22" t="s">
        <v>120</v>
      </c>
      <c r="P693" s="21"/>
      <c r="Q693" s="21"/>
      <c r="R693" s="21"/>
      <c r="S693" s="22" t="s">
        <v>120</v>
      </c>
      <c r="T693" s="21"/>
      <c r="U693" s="9" t="s">
        <v>1680</v>
      </c>
      <c r="V693" s="9" t="s">
        <v>1408</v>
      </c>
    </row>
    <row r="694" ht="14.25" customHeight="1">
      <c r="A694" s="27" t="s">
        <v>1377</v>
      </c>
      <c r="B694" s="27" t="s">
        <v>1376</v>
      </c>
      <c r="C694" s="27" t="str">
        <f t="array" ref="C694">INDEX(Funciones!$G$2:$G$372,MATCH($A694,Funciones!$B$2:$B$372,0))</f>
        <v>Suministrar la corriente de arranque con tensión mínima de 19,2 V</v>
      </c>
      <c r="D694" s="27" t="s">
        <v>3287</v>
      </c>
      <c r="E694" s="27" t="s">
        <v>1191</v>
      </c>
      <c r="F694" s="27" t="s">
        <v>3288</v>
      </c>
      <c r="G694" s="27" t="s">
        <v>3289</v>
      </c>
      <c r="H694" s="18" t="str">
        <f t="array" ref="H694">_xlfn.XLOOKUP(E:E,'Calificación consecuencia'!B:B,'Calificación consecuencia'!K:K,"No encontrada",2)</f>
        <v>Media</v>
      </c>
      <c r="I694" s="27" t="s">
        <v>339</v>
      </c>
      <c r="J694" s="30" t="s">
        <v>116</v>
      </c>
      <c r="K694" s="21"/>
      <c r="L694" s="21"/>
      <c r="M694" s="29" t="s">
        <v>120</v>
      </c>
      <c r="N694" s="21"/>
      <c r="O694" s="30" t="s">
        <v>116</v>
      </c>
      <c r="P694" s="29" t="s">
        <v>120</v>
      </c>
      <c r="Q694" s="30" t="s">
        <v>116</v>
      </c>
      <c r="R694" s="21"/>
      <c r="S694" s="21"/>
      <c r="T694" s="21"/>
      <c r="U694" s="27" t="s">
        <v>785</v>
      </c>
      <c r="V694" s="27" t="s">
        <v>786</v>
      </c>
    </row>
    <row r="695" ht="14.25" customHeight="1">
      <c r="A695" s="27" t="s">
        <v>1377</v>
      </c>
      <c r="B695" s="27" t="s">
        <v>1376</v>
      </c>
      <c r="C695" s="27" t="str">
        <f t="array" ref="C695">INDEX(Funciones!$G$2:$G$372,MATCH($A695,Funciones!$B$2:$B$372,0))</f>
        <v>Suministrar la corriente de arranque con tensión mínima de 19,2 V</v>
      </c>
      <c r="D695" s="27" t="s">
        <v>3287</v>
      </c>
      <c r="E695" s="27" t="s">
        <v>1195</v>
      </c>
      <c r="F695" s="27" t="s">
        <v>3290</v>
      </c>
      <c r="G695" s="27" t="s">
        <v>3291</v>
      </c>
      <c r="H695" s="18" t="str">
        <f t="array" ref="H695">_xlfn.XLOOKUP(E:E,'Calificación consecuencia'!B:B,'Calificación consecuencia'!K:K,"No encontrada",2)</f>
        <v>Baja</v>
      </c>
      <c r="I695" s="27" t="s">
        <v>339</v>
      </c>
      <c r="J695" s="30" t="s">
        <v>116</v>
      </c>
      <c r="K695" s="21"/>
      <c r="L695" s="21"/>
      <c r="M695" s="29" t="s">
        <v>120</v>
      </c>
      <c r="N695" s="21"/>
      <c r="O695" s="30" t="s">
        <v>116</v>
      </c>
      <c r="P695" s="29" t="s">
        <v>120</v>
      </c>
      <c r="Q695" s="30" t="s">
        <v>116</v>
      </c>
      <c r="R695" s="21"/>
      <c r="S695" s="21"/>
      <c r="T695" s="21"/>
      <c r="U695" s="27" t="s">
        <v>785</v>
      </c>
      <c r="V695" s="27" t="s">
        <v>786</v>
      </c>
    </row>
    <row r="696" ht="14.25" customHeight="1">
      <c r="A696" s="27" t="s">
        <v>1377</v>
      </c>
      <c r="B696" s="27" t="s">
        <v>1376</v>
      </c>
      <c r="C696" s="27" t="str">
        <f t="array" ref="C696">INDEX(Funciones!$G$2:$G$372,MATCH($A696,Funciones!$B$2:$B$372,0))</f>
        <v>Suministrar la corriente de arranque con tensión mínima de 19,2 V</v>
      </c>
      <c r="D696" s="27" t="s">
        <v>3287</v>
      </c>
      <c r="E696" s="27" t="s">
        <v>1204</v>
      </c>
      <c r="F696" s="27" t="s">
        <v>3292</v>
      </c>
      <c r="G696" s="27" t="s">
        <v>3293</v>
      </c>
      <c r="H696" s="18" t="str">
        <f t="array" ref="H696">_xlfn.XLOOKUP(E:E,'Calificación consecuencia'!B:B,'Calificación consecuencia'!K:K,"No encontrada",2)</f>
        <v>Baja</v>
      </c>
      <c r="I696" s="27" t="s">
        <v>339</v>
      </c>
      <c r="J696" s="30" t="s">
        <v>116</v>
      </c>
      <c r="K696" s="21"/>
      <c r="L696" s="21"/>
      <c r="M696" s="29" t="s">
        <v>120</v>
      </c>
      <c r="N696" s="21"/>
      <c r="O696" s="30" t="s">
        <v>116</v>
      </c>
      <c r="P696" s="29" t="s">
        <v>120</v>
      </c>
      <c r="Q696" s="29" t="s">
        <v>120</v>
      </c>
      <c r="R696" s="30" t="s">
        <v>116</v>
      </c>
      <c r="S696" s="21"/>
      <c r="T696" s="21"/>
      <c r="U696" s="27" t="s">
        <v>1680</v>
      </c>
      <c r="V696" s="27" t="s">
        <v>1408</v>
      </c>
    </row>
    <row r="697" ht="14.25" customHeight="1">
      <c r="A697" s="27" t="s">
        <v>1377</v>
      </c>
      <c r="B697" s="27" t="s">
        <v>1376</v>
      </c>
      <c r="C697" s="27" t="str">
        <f t="array" ref="C697">INDEX(Funciones!$G$2:$G$372,MATCH($A697,Funciones!$B$2:$B$372,0))</f>
        <v>Suministrar la corriente de arranque con tensión mínima de 19,2 V</v>
      </c>
      <c r="D697" s="27" t="s">
        <v>3287</v>
      </c>
      <c r="E697" s="27" t="s">
        <v>1210</v>
      </c>
      <c r="F697" s="27" t="s">
        <v>3297</v>
      </c>
      <c r="G697" s="27" t="s">
        <v>3298</v>
      </c>
      <c r="H697" s="18" t="str">
        <f t="array" ref="H697">_xlfn.XLOOKUP(E:E,'Calificación consecuencia'!B:B,'Calificación consecuencia'!K:K,"No encontrada",2)</f>
        <v>Media</v>
      </c>
      <c r="I697" s="27" t="s">
        <v>339</v>
      </c>
      <c r="J697" s="30" t="s">
        <v>116</v>
      </c>
      <c r="K697" s="21"/>
      <c r="L697" s="21"/>
      <c r="M697" s="29" t="s">
        <v>120</v>
      </c>
      <c r="N697" s="21"/>
      <c r="O697" s="30" t="s">
        <v>116</v>
      </c>
      <c r="P697" s="29" t="s">
        <v>120</v>
      </c>
      <c r="Q697" s="30" t="s">
        <v>116</v>
      </c>
      <c r="R697" s="21"/>
      <c r="S697" s="21"/>
      <c r="T697" s="21"/>
      <c r="U697" s="27" t="s">
        <v>785</v>
      </c>
      <c r="V697" s="27" t="s">
        <v>786</v>
      </c>
    </row>
    <row r="698" ht="14.25" customHeight="1">
      <c r="A698" s="27" t="s">
        <v>1377</v>
      </c>
      <c r="B698" s="27" t="s">
        <v>1376</v>
      </c>
      <c r="C698" s="27" t="str">
        <f t="array" ref="C698">INDEX(Funciones!$G$2:$G$372,MATCH($A698,Funciones!$B$2:$B$372,0))</f>
        <v>Suministrar la corriente de arranque con tensión mínima de 19,2 V</v>
      </c>
      <c r="D698" s="27" t="s">
        <v>3287</v>
      </c>
      <c r="E698" s="27" t="s">
        <v>1219</v>
      </c>
      <c r="F698" s="27" t="s">
        <v>3301</v>
      </c>
      <c r="G698" s="27" t="s">
        <v>3302</v>
      </c>
      <c r="H698" s="18" t="str">
        <f t="array" ref="H698">_xlfn.XLOOKUP(E:E,'Calificación consecuencia'!B:B,'Calificación consecuencia'!K:K,"No encontrada",2)</f>
        <v>Media</v>
      </c>
      <c r="I698" s="27" t="s">
        <v>339</v>
      </c>
      <c r="J698" s="30" t="s">
        <v>116</v>
      </c>
      <c r="K698" s="21"/>
      <c r="L698" s="21"/>
      <c r="M698" s="29" t="s">
        <v>120</v>
      </c>
      <c r="N698" s="21"/>
      <c r="O698" s="30" t="s">
        <v>116</v>
      </c>
      <c r="P698" s="29" t="s">
        <v>120</v>
      </c>
      <c r="Q698" s="30" t="s">
        <v>116</v>
      </c>
      <c r="R698" s="21"/>
      <c r="S698" s="21"/>
      <c r="T698" s="21"/>
      <c r="U698" s="27" t="s">
        <v>785</v>
      </c>
      <c r="V698" s="27" t="s">
        <v>786</v>
      </c>
    </row>
    <row r="699" ht="14.25" customHeight="1">
      <c r="A699" s="27" t="s">
        <v>1377</v>
      </c>
      <c r="B699" s="27" t="s">
        <v>1376</v>
      </c>
      <c r="C699" s="27" t="str">
        <f t="array" ref="C699">INDEX(Funciones!$G$2:$G$372,MATCH($A699,Funciones!$B$2:$B$372,0))</f>
        <v>Suministrar la corriente de arranque con tensión mínima de 19,2 V</v>
      </c>
      <c r="D699" s="27" t="s">
        <v>3304</v>
      </c>
      <c r="E699" s="27" t="s">
        <v>1228</v>
      </c>
      <c r="F699" s="27" t="s">
        <v>3305</v>
      </c>
      <c r="G699" s="27" t="s">
        <v>3306</v>
      </c>
      <c r="H699" s="18" t="str">
        <f t="array" ref="H699">_xlfn.XLOOKUP(E:E,'Calificación consecuencia'!B:B,'Calificación consecuencia'!K:K,"No encontrada",2)</f>
        <v>Baja</v>
      </c>
      <c r="I699" s="27" t="s">
        <v>2106</v>
      </c>
      <c r="J699" s="30" t="s">
        <v>116</v>
      </c>
      <c r="K699" s="21"/>
      <c r="L699" s="21"/>
      <c r="M699" s="29" t="s">
        <v>120</v>
      </c>
      <c r="N699" s="21"/>
      <c r="O699" s="29" t="s">
        <v>120</v>
      </c>
      <c r="P699" s="21"/>
      <c r="Q699" s="21"/>
      <c r="R699" s="21"/>
      <c r="S699" s="29" t="s">
        <v>120</v>
      </c>
      <c r="T699" s="21"/>
      <c r="U699" s="27" t="s">
        <v>1680</v>
      </c>
      <c r="V699" s="27" t="s">
        <v>1408</v>
      </c>
    </row>
    <row r="700" ht="14.25" customHeight="1">
      <c r="A700" s="27" t="s">
        <v>1377</v>
      </c>
      <c r="B700" s="27" t="s">
        <v>1376</v>
      </c>
      <c r="C700" s="27" t="str">
        <f t="array" ref="C700">INDEX(Funciones!$G$2:$G$372,MATCH($A700,Funciones!$B$2:$B$372,0))</f>
        <v>Suministrar la corriente de arranque con tensión mínima de 19,2 V</v>
      </c>
      <c r="D700" s="27" t="s">
        <v>3304</v>
      </c>
      <c r="E700" s="27" t="s">
        <v>1233</v>
      </c>
      <c r="F700" s="27" t="s">
        <v>3307</v>
      </c>
      <c r="G700" s="27" t="s">
        <v>3308</v>
      </c>
      <c r="H700" s="18" t="str">
        <f t="array" ref="H700">_xlfn.XLOOKUP(E:E,'Calificación consecuencia'!B:B,'Calificación consecuencia'!K:K,"No encontrada",2)</f>
        <v>Baja</v>
      </c>
      <c r="I700" s="27" t="s">
        <v>2106</v>
      </c>
      <c r="J700" s="30" t="s">
        <v>116</v>
      </c>
      <c r="K700" s="21"/>
      <c r="L700" s="21"/>
      <c r="M700" s="29" t="s">
        <v>120</v>
      </c>
      <c r="N700" s="21"/>
      <c r="O700" s="29" t="s">
        <v>120</v>
      </c>
      <c r="P700" s="21"/>
      <c r="Q700" s="21"/>
      <c r="R700" s="21"/>
      <c r="S700" s="29" t="s">
        <v>120</v>
      </c>
      <c r="T700" s="21"/>
      <c r="U700" s="27" t="s">
        <v>1680</v>
      </c>
      <c r="V700" s="27" t="s">
        <v>1408</v>
      </c>
    </row>
    <row r="701" ht="14.25" customHeight="1">
      <c r="A701" s="9" t="s">
        <v>1383</v>
      </c>
      <c r="B701" s="9" t="s">
        <v>1376</v>
      </c>
      <c r="C701" s="9" t="str">
        <f t="array" ref="C701">INDEX(Funciones!$G$2:$G$372,MATCH($A701,Funciones!$B$2:$B$372,0))</f>
        <v>Almacenar energía eléctrica con tensión mínima de 19,2 V</v>
      </c>
      <c r="D701" s="9" t="s">
        <v>3309</v>
      </c>
      <c r="E701" s="9" t="s">
        <v>1191</v>
      </c>
      <c r="F701" s="9" t="s">
        <v>3288</v>
      </c>
      <c r="G701" s="9" t="s">
        <v>3289</v>
      </c>
      <c r="H701" s="18" t="str">
        <f t="array" ref="H701">_xlfn.XLOOKUP(E:E,'Calificación consecuencia'!B:B,'Calificación consecuencia'!K:K,"No encontrada",2)</f>
        <v>Media</v>
      </c>
      <c r="I701" s="9" t="s">
        <v>339</v>
      </c>
      <c r="J701" s="20" t="s">
        <v>116</v>
      </c>
      <c r="K701" s="21"/>
      <c r="L701" s="21"/>
      <c r="M701" s="22" t="s">
        <v>120</v>
      </c>
      <c r="N701" s="21"/>
      <c r="O701" s="20" t="s">
        <v>116</v>
      </c>
      <c r="P701" s="22" t="s">
        <v>120</v>
      </c>
      <c r="Q701" s="20" t="s">
        <v>116</v>
      </c>
      <c r="R701" s="21"/>
      <c r="S701" s="21"/>
      <c r="T701" s="21"/>
      <c r="U701" s="9" t="s">
        <v>785</v>
      </c>
      <c r="V701" s="9" t="s">
        <v>786</v>
      </c>
    </row>
    <row r="702" ht="14.25" customHeight="1">
      <c r="A702" s="9" t="s">
        <v>1383</v>
      </c>
      <c r="B702" s="9" t="s">
        <v>1376</v>
      </c>
      <c r="C702" s="9" t="str">
        <f t="array" ref="C702">INDEX(Funciones!$G$2:$G$372,MATCH($A702,Funciones!$B$2:$B$372,0))</f>
        <v>Almacenar energía eléctrica con tensión mínima de 19,2 V</v>
      </c>
      <c r="D702" s="9" t="s">
        <v>3309</v>
      </c>
      <c r="E702" s="9" t="s">
        <v>1204</v>
      </c>
      <c r="F702" s="9" t="s">
        <v>3292</v>
      </c>
      <c r="G702" s="9" t="s">
        <v>3293</v>
      </c>
      <c r="H702" s="18" t="str">
        <f t="array" ref="H702">_xlfn.XLOOKUP(E:E,'Calificación consecuencia'!B:B,'Calificación consecuencia'!K:K,"No encontrada",2)</f>
        <v>Baja</v>
      </c>
      <c r="I702" s="9" t="s">
        <v>339</v>
      </c>
      <c r="J702" s="20" t="s">
        <v>116</v>
      </c>
      <c r="K702" s="21"/>
      <c r="L702" s="21"/>
      <c r="M702" s="22" t="s">
        <v>120</v>
      </c>
      <c r="N702" s="21"/>
      <c r="O702" s="20" t="s">
        <v>116</v>
      </c>
      <c r="P702" s="22" t="s">
        <v>120</v>
      </c>
      <c r="Q702" s="22" t="s">
        <v>120</v>
      </c>
      <c r="R702" s="20" t="s">
        <v>116</v>
      </c>
      <c r="S702" s="21"/>
      <c r="T702" s="21"/>
      <c r="U702" s="9" t="s">
        <v>1680</v>
      </c>
      <c r="V702" s="9" t="s">
        <v>1408</v>
      </c>
    </row>
    <row r="703" ht="14.25" customHeight="1">
      <c r="A703" s="9" t="s">
        <v>1383</v>
      </c>
      <c r="B703" s="9" t="s">
        <v>1376</v>
      </c>
      <c r="C703" s="9" t="str">
        <f t="array" ref="C703">INDEX(Funciones!$G$2:$G$372,MATCH($A703,Funciones!$B$2:$B$372,0))</f>
        <v>Almacenar energía eléctrica con tensión mínima de 19,2 V</v>
      </c>
      <c r="D703" s="9" t="s">
        <v>3310</v>
      </c>
      <c r="E703" s="9" t="s">
        <v>1228</v>
      </c>
      <c r="F703" s="9" t="s">
        <v>3305</v>
      </c>
      <c r="G703" s="9" t="s">
        <v>3306</v>
      </c>
      <c r="H703" s="18" t="str">
        <f t="array" ref="H703">_xlfn.XLOOKUP(E:E,'Calificación consecuencia'!B:B,'Calificación consecuencia'!K:K,"No encontrada",2)</f>
        <v>Baja</v>
      </c>
      <c r="I703" s="9" t="s">
        <v>2106</v>
      </c>
      <c r="J703" s="20" t="s">
        <v>116</v>
      </c>
      <c r="K703" s="21"/>
      <c r="L703" s="21"/>
      <c r="M703" s="22" t="s">
        <v>120</v>
      </c>
      <c r="N703" s="21"/>
      <c r="O703" s="22" t="s">
        <v>120</v>
      </c>
      <c r="P703" s="21"/>
      <c r="Q703" s="21"/>
      <c r="R703" s="21"/>
      <c r="S703" s="22" t="s">
        <v>120</v>
      </c>
      <c r="T703" s="21"/>
      <c r="U703" s="9" t="s">
        <v>1680</v>
      </c>
      <c r="V703" s="9" t="s">
        <v>1408</v>
      </c>
    </row>
    <row r="704" ht="14.25" customHeight="1">
      <c r="A704" s="27" t="s">
        <v>1388</v>
      </c>
      <c r="B704" s="27" t="s">
        <v>1387</v>
      </c>
      <c r="C704" s="27" t="str">
        <f t="array" ref="C704">INDEX(Funciones!$G$2:$G$372,MATCH($A704,Funciones!$B$2:$B$372,0))</f>
        <v>Arrancar el motor diésel en un máximo de _____ s</v>
      </c>
      <c r="D704" s="27" t="s">
        <v>4228</v>
      </c>
      <c r="E704" s="27" t="s">
        <v>3420</v>
      </c>
      <c r="F704" s="27" t="s">
        <v>4229</v>
      </c>
      <c r="G704" s="27" t="s">
        <v>4230</v>
      </c>
      <c r="H704" s="18" t="str">
        <f t="array" ref="H704">_xlfn.XLOOKUP(E:E,'Calificación consecuencia'!B:B,'Calificación consecuencia'!K:K,"No encontrada",2)</f>
        <v>Baja</v>
      </c>
      <c r="I704" s="27" t="s">
        <v>1800</v>
      </c>
      <c r="J704" s="30" t="s">
        <v>116</v>
      </c>
      <c r="K704" s="21"/>
      <c r="L704" s="21"/>
      <c r="M704" s="29" t="s">
        <v>120</v>
      </c>
      <c r="N704" s="21"/>
      <c r="O704" s="30" t="s">
        <v>116</v>
      </c>
      <c r="P704" s="29" t="s">
        <v>120</v>
      </c>
      <c r="Q704" s="29" t="s">
        <v>120</v>
      </c>
      <c r="R704" s="29" t="s">
        <v>120</v>
      </c>
      <c r="S704" s="21"/>
      <c r="T704" s="21"/>
      <c r="U704" s="27" t="s">
        <v>230</v>
      </c>
      <c r="V704" s="27" t="s">
        <v>230</v>
      </c>
    </row>
    <row r="705" ht="14.25" customHeight="1">
      <c r="A705" s="27" t="s">
        <v>1388</v>
      </c>
      <c r="B705" s="27" t="s">
        <v>1387</v>
      </c>
      <c r="C705" s="27" t="str">
        <f t="array" ref="C705">INDEX(Funciones!$G$2:$G$372,MATCH($A705,Funciones!$B$2:$B$372,0))</f>
        <v>Arrancar el motor diésel en un máximo de _____ s</v>
      </c>
      <c r="D705" s="27" t="s">
        <v>4228</v>
      </c>
      <c r="E705" s="27" t="s">
        <v>3421</v>
      </c>
      <c r="F705" s="27" t="s">
        <v>4231</v>
      </c>
      <c r="G705" s="27" t="s">
        <v>4232</v>
      </c>
      <c r="H705" s="18" t="str">
        <f t="array" ref="H705">_xlfn.XLOOKUP(E:E,'Calificación consecuencia'!B:B,'Calificación consecuencia'!K:K,"No encontrada",2)</f>
        <v>Baja</v>
      </c>
      <c r="I705" s="27" t="s">
        <v>2106</v>
      </c>
      <c r="J705" s="30" t="s">
        <v>116</v>
      </c>
      <c r="K705" s="21"/>
      <c r="L705" s="21"/>
      <c r="M705" s="29" t="s">
        <v>120</v>
      </c>
      <c r="N705" s="21"/>
      <c r="O705" s="29" t="s">
        <v>120</v>
      </c>
      <c r="P705" s="21"/>
      <c r="Q705" s="21"/>
      <c r="R705" s="21"/>
      <c r="S705" s="29" t="s">
        <v>120</v>
      </c>
      <c r="T705" s="21"/>
      <c r="U705" s="27" t="s">
        <v>1680</v>
      </c>
      <c r="V705" s="27" t="s">
        <v>1408</v>
      </c>
    </row>
    <row r="706" ht="14.25" customHeight="1">
      <c r="A706" s="27" t="s">
        <v>1388</v>
      </c>
      <c r="B706" s="27" t="s">
        <v>1387</v>
      </c>
      <c r="C706" s="27" t="str">
        <f t="array" ref="C706">INDEX(Funciones!$G$2:$G$372,MATCH($A706,Funciones!$B$2:$B$372,0))</f>
        <v>Arrancar el motor diésel en un máximo de _____ s</v>
      </c>
      <c r="D706" s="27" t="s">
        <v>4228</v>
      </c>
      <c r="E706" s="27" t="s">
        <v>3422</v>
      </c>
      <c r="F706" s="27" t="s">
        <v>4233</v>
      </c>
      <c r="G706" s="27" t="s">
        <v>4234</v>
      </c>
      <c r="H706" s="18" t="str">
        <f t="array" ref="H706">_xlfn.XLOOKUP(E:E,'Calificación consecuencia'!B:B,'Calificación consecuencia'!K:K,"No encontrada",2)</f>
        <v>Baja</v>
      </c>
      <c r="I706" s="27" t="s">
        <v>2106</v>
      </c>
      <c r="J706" s="30" t="s">
        <v>116</v>
      </c>
      <c r="K706" s="21"/>
      <c r="L706" s="21"/>
      <c r="M706" s="29" t="s">
        <v>120</v>
      </c>
      <c r="N706" s="21"/>
      <c r="O706" s="30" t="s">
        <v>116</v>
      </c>
      <c r="P706" s="30" t="s">
        <v>116</v>
      </c>
      <c r="Q706" s="21"/>
      <c r="R706" s="21"/>
      <c r="S706" s="21"/>
      <c r="T706" s="21"/>
      <c r="U706" s="27" t="s">
        <v>345</v>
      </c>
      <c r="V706" s="27" t="s">
        <v>196</v>
      </c>
    </row>
    <row r="707" ht="14.25" customHeight="1">
      <c r="A707" s="27" t="s">
        <v>1388</v>
      </c>
      <c r="B707" s="27" t="s">
        <v>1387</v>
      </c>
      <c r="C707" s="27" t="str">
        <f t="array" ref="C707">INDEX(Funciones!$G$2:$G$372,MATCH($A707,Funciones!$B$2:$B$372,0))</f>
        <v>Arrancar el motor diésel en un máximo de _____ s</v>
      </c>
      <c r="D707" s="27" t="s">
        <v>4228</v>
      </c>
      <c r="E707" s="27" t="s">
        <v>3423</v>
      </c>
      <c r="F707" s="27" t="s">
        <v>4235</v>
      </c>
      <c r="G707" s="27" t="s">
        <v>4236</v>
      </c>
      <c r="H707" s="18" t="str">
        <f t="array" ref="H707">_xlfn.XLOOKUP(E:E,'Calificación consecuencia'!B:B,'Calificación consecuencia'!K:K,"No encontrada",2)</f>
        <v>Baja</v>
      </c>
      <c r="I707" s="27" t="s">
        <v>2106</v>
      </c>
      <c r="J707" s="30" t="s">
        <v>116</v>
      </c>
      <c r="K707" s="21"/>
      <c r="L707" s="21"/>
      <c r="M707" s="29" t="s">
        <v>120</v>
      </c>
      <c r="N707" s="21"/>
      <c r="O707" s="29" t="s">
        <v>120</v>
      </c>
      <c r="P707" s="21"/>
      <c r="Q707" s="21"/>
      <c r="R707" s="21"/>
      <c r="S707" s="29" t="s">
        <v>120</v>
      </c>
      <c r="T707" s="21"/>
      <c r="U707" s="27" t="s">
        <v>1680</v>
      </c>
      <c r="V707" s="27" t="s">
        <v>1408</v>
      </c>
    </row>
    <row r="708" ht="14.25" customHeight="1">
      <c r="A708" s="27" t="s">
        <v>1388</v>
      </c>
      <c r="B708" s="27" t="s">
        <v>1387</v>
      </c>
      <c r="C708" s="27" t="str">
        <f t="array" ref="C708">INDEX(Funciones!$G$2:$G$372,MATCH($A708,Funciones!$B$2:$B$372,0))</f>
        <v>Arrancar el motor diésel en un máximo de _____ s</v>
      </c>
      <c r="D708" s="27" t="s">
        <v>4237</v>
      </c>
      <c r="E708" s="27" t="s">
        <v>3424</v>
      </c>
      <c r="F708" s="27" t="s">
        <v>4238</v>
      </c>
      <c r="G708" s="27" t="s">
        <v>4239</v>
      </c>
      <c r="H708" s="18" t="str">
        <f t="array" ref="H708">_xlfn.XLOOKUP(E:E,'Calificación consecuencia'!B:B,'Calificación consecuencia'!K:K,"No encontrada",2)</f>
        <v>Baja</v>
      </c>
      <c r="I708" s="27" t="s">
        <v>1800</v>
      </c>
      <c r="J708" s="30" t="s">
        <v>116</v>
      </c>
      <c r="K708" s="21"/>
      <c r="L708" s="21"/>
      <c r="M708" s="29" t="s">
        <v>120</v>
      </c>
      <c r="N708" s="21"/>
      <c r="O708" s="29" t="s">
        <v>120</v>
      </c>
      <c r="P708" s="21"/>
      <c r="Q708" s="21"/>
      <c r="R708" s="21"/>
      <c r="S708" s="30" t="s">
        <v>116</v>
      </c>
      <c r="T708" s="30" t="s">
        <v>116</v>
      </c>
      <c r="U708" s="27" t="s">
        <v>3471</v>
      </c>
      <c r="V708" s="27" t="s">
        <v>196</v>
      </c>
    </row>
    <row r="709" ht="14.25" customHeight="1">
      <c r="A709" s="27" t="s">
        <v>1388</v>
      </c>
      <c r="B709" s="27" t="s">
        <v>1387</v>
      </c>
      <c r="C709" s="27" t="str">
        <f t="array" ref="C709">INDEX(Funciones!$G$2:$G$372,MATCH($A709,Funciones!$B$2:$B$372,0))</f>
        <v>Arrancar el motor diésel en un máximo de _____ s</v>
      </c>
      <c r="D709" s="27" t="s">
        <v>4237</v>
      </c>
      <c r="E709" s="27" t="s">
        <v>3426</v>
      </c>
      <c r="F709" s="27" t="s">
        <v>4240</v>
      </c>
      <c r="G709" s="27" t="s">
        <v>4241</v>
      </c>
      <c r="H709" s="18" t="str">
        <f t="array" ref="H709">_xlfn.XLOOKUP(E:E,'Calificación consecuencia'!B:B,'Calificación consecuencia'!K:K,"No encontrada",2)</f>
        <v>Baja</v>
      </c>
      <c r="I709" s="27" t="s">
        <v>2106</v>
      </c>
      <c r="J709" s="30" t="s">
        <v>116</v>
      </c>
      <c r="K709" s="21"/>
      <c r="L709" s="21"/>
      <c r="M709" s="29" t="s">
        <v>120</v>
      </c>
      <c r="N709" s="21"/>
      <c r="O709" s="29" t="s">
        <v>120</v>
      </c>
      <c r="P709" s="21"/>
      <c r="Q709" s="21"/>
      <c r="R709" s="21"/>
      <c r="S709" s="29" t="s">
        <v>120</v>
      </c>
      <c r="T709" s="21"/>
      <c r="U709" s="27" t="s">
        <v>1680</v>
      </c>
      <c r="V709" s="27" t="s">
        <v>1408</v>
      </c>
    </row>
    <row r="710" ht="14.25" customHeight="1">
      <c r="A710" s="9" t="s">
        <v>1402</v>
      </c>
      <c r="B710" s="9" t="s">
        <v>1401</v>
      </c>
      <c r="C710" s="9" t="str">
        <f t="array" ref="C710">INDEX(Funciones!$G$2:$G$372,MATCH($A710,Funciones!$B$2:$B$372,0))</f>
        <v>Distribuir el par entre ejes hasta _____ N·m</v>
      </c>
      <c r="D710" s="9" t="s">
        <v>4085</v>
      </c>
      <c r="E710" s="9" t="s">
        <v>1770</v>
      </c>
      <c r="F710" s="9" t="s">
        <v>3601</v>
      </c>
      <c r="G710" s="9" t="s">
        <v>3602</v>
      </c>
      <c r="H710" s="18" t="str">
        <f t="array" ref="H710">_xlfn.XLOOKUP(E:E,'Calificación consecuencia'!B:B,'Calificación consecuencia'!K:K,"No encontrada",2)</f>
        <v>Baja</v>
      </c>
      <c r="I710" s="9" t="s">
        <v>1800</v>
      </c>
      <c r="J710" s="20" t="s">
        <v>116</v>
      </c>
      <c r="K710" s="21"/>
      <c r="L710" s="21"/>
      <c r="M710" s="22" t="s">
        <v>120</v>
      </c>
      <c r="N710" s="21"/>
      <c r="O710" s="20" t="s">
        <v>116</v>
      </c>
      <c r="P710" s="20" t="s">
        <v>116</v>
      </c>
      <c r="Q710" s="21"/>
      <c r="R710" s="21"/>
      <c r="S710" s="21"/>
      <c r="T710" s="21"/>
      <c r="U710" s="9" t="s">
        <v>345</v>
      </c>
      <c r="V710" s="9" t="s">
        <v>196</v>
      </c>
    </row>
    <row r="711" ht="14.25" customHeight="1">
      <c r="A711" s="9" t="s">
        <v>1402</v>
      </c>
      <c r="B711" s="9" t="s">
        <v>1401</v>
      </c>
      <c r="C711" s="9" t="str">
        <f t="array" ref="C711">INDEX(Funciones!$G$2:$G$372,MATCH($A711,Funciones!$B$2:$B$372,0))</f>
        <v>Distribuir el par entre ejes hasta _____ N·m</v>
      </c>
      <c r="D711" s="9" t="s">
        <v>4086</v>
      </c>
      <c r="E711" s="9" t="s">
        <v>1775</v>
      </c>
      <c r="F711" s="9" t="s">
        <v>3604</v>
      </c>
      <c r="G711" s="9" t="s">
        <v>3605</v>
      </c>
      <c r="H711" s="18" t="str">
        <f t="array" ref="H711">_xlfn.XLOOKUP(E:E,'Calificación consecuencia'!B:B,'Calificación consecuencia'!K:K,"No encontrada",2)</f>
        <v>Baja</v>
      </c>
      <c r="I711" s="9" t="s">
        <v>1800</v>
      </c>
      <c r="J711" s="20" t="s">
        <v>116</v>
      </c>
      <c r="K711" s="21"/>
      <c r="L711" s="21"/>
      <c r="M711" s="22" t="s">
        <v>120</v>
      </c>
      <c r="N711" s="21"/>
      <c r="O711" s="20" t="s">
        <v>116</v>
      </c>
      <c r="P711" s="20" t="s">
        <v>116</v>
      </c>
      <c r="Q711" s="21"/>
      <c r="R711" s="21"/>
      <c r="S711" s="21"/>
      <c r="T711" s="21"/>
      <c r="U711" s="9" t="s">
        <v>345</v>
      </c>
      <c r="V711" s="9" t="s">
        <v>196</v>
      </c>
    </row>
    <row r="712" ht="14.25" customHeight="1">
      <c r="A712" s="9" t="s">
        <v>1402</v>
      </c>
      <c r="B712" s="9" t="s">
        <v>1401</v>
      </c>
      <c r="C712" s="9" t="str">
        <f t="array" ref="C712">INDEX(Funciones!$G$2:$G$372,MATCH($A712,Funciones!$B$2:$B$372,0))</f>
        <v>Distribuir el par entre ejes hasta _____ N·m</v>
      </c>
      <c r="D712" s="9" t="s">
        <v>4086</v>
      </c>
      <c r="E712" s="9" t="s">
        <v>1779</v>
      </c>
      <c r="F712" s="9" t="s">
        <v>3606</v>
      </c>
      <c r="G712" s="9" t="s">
        <v>3607</v>
      </c>
      <c r="H712" s="18" t="str">
        <f t="array" ref="H712">_xlfn.XLOOKUP(E:E,'Calificación consecuencia'!B:B,'Calificación consecuencia'!K:K,"No encontrada",2)</f>
        <v>Baja</v>
      </c>
      <c r="I712" s="9" t="s">
        <v>1800</v>
      </c>
      <c r="J712" s="20" t="s">
        <v>116</v>
      </c>
      <c r="K712" s="21"/>
      <c r="L712" s="21"/>
      <c r="M712" s="22" t="s">
        <v>120</v>
      </c>
      <c r="N712" s="21"/>
      <c r="O712" s="20" t="s">
        <v>116</v>
      </c>
      <c r="P712" s="20" t="s">
        <v>116</v>
      </c>
      <c r="Q712" s="21"/>
      <c r="R712" s="21"/>
      <c r="S712" s="21"/>
      <c r="T712" s="21"/>
      <c r="U712" s="9" t="s">
        <v>345</v>
      </c>
      <c r="V712" s="9" t="s">
        <v>196</v>
      </c>
    </row>
    <row r="713" ht="14.25" customHeight="1">
      <c r="A713" s="27" t="s">
        <v>1413</v>
      </c>
      <c r="B713" s="27" t="s">
        <v>1412</v>
      </c>
      <c r="C713" s="27" t="str">
        <f t="array" ref="C713">INDEX(Funciones!$G$2:$G$372,MATCH($A713,Funciones!$B$2:$B$372,0))</f>
        <v>Transmitir el par motriz hasta _____ N·m</v>
      </c>
      <c r="D713" s="27" t="s">
        <v>4146</v>
      </c>
      <c r="E713" s="27" t="s">
        <v>1305</v>
      </c>
      <c r="F713" s="27" t="s">
        <v>3357</v>
      </c>
      <c r="G713" s="27" t="s">
        <v>3358</v>
      </c>
      <c r="H713" s="18" t="str">
        <f t="array" ref="H713">_xlfn.XLOOKUP(E:E,'Calificación consecuencia'!B:B,'Calificación consecuencia'!K:K,"No encontrada",2)</f>
        <v>Baja</v>
      </c>
      <c r="I713" s="27" t="s">
        <v>1800</v>
      </c>
      <c r="J713" s="30" t="s">
        <v>116</v>
      </c>
      <c r="K713" s="21"/>
      <c r="L713" s="21"/>
      <c r="M713" s="29" t="s">
        <v>120</v>
      </c>
      <c r="N713" s="21"/>
      <c r="O713" s="30" t="s">
        <v>116</v>
      </c>
      <c r="P713" s="30" t="s">
        <v>116</v>
      </c>
      <c r="Q713" s="21"/>
      <c r="R713" s="21"/>
      <c r="S713" s="21"/>
      <c r="T713" s="21"/>
      <c r="U713" s="27" t="s">
        <v>345</v>
      </c>
      <c r="V713" s="27" t="s">
        <v>196</v>
      </c>
    </row>
    <row r="714" ht="14.25" customHeight="1">
      <c r="A714" s="27" t="s">
        <v>1413</v>
      </c>
      <c r="B714" s="27" t="s">
        <v>1412</v>
      </c>
      <c r="C714" s="27" t="str">
        <f t="array" ref="C714">INDEX(Funciones!$G$2:$G$372,MATCH($A714,Funciones!$B$2:$B$372,0))</f>
        <v>Transmitir el par motriz hasta _____ N·m</v>
      </c>
      <c r="D714" s="27" t="s">
        <v>4146</v>
      </c>
      <c r="E714" s="27" t="s">
        <v>1311</v>
      </c>
      <c r="F714" s="27" t="s">
        <v>3363</v>
      </c>
      <c r="G714" s="27" t="s">
        <v>3364</v>
      </c>
      <c r="H714" s="18" t="str">
        <f t="array" ref="H714">_xlfn.XLOOKUP(E:E,'Calificación consecuencia'!B:B,'Calificación consecuencia'!K:K,"No encontrada",2)</f>
        <v>Baja</v>
      </c>
      <c r="I714" s="27" t="s">
        <v>1800</v>
      </c>
      <c r="J714" s="30" t="s">
        <v>116</v>
      </c>
      <c r="K714" s="21"/>
      <c r="L714" s="21"/>
      <c r="M714" s="29" t="s">
        <v>120</v>
      </c>
      <c r="N714" s="21"/>
      <c r="O714" s="30" t="s">
        <v>116</v>
      </c>
      <c r="P714" s="30" t="s">
        <v>116</v>
      </c>
      <c r="Q714" s="21"/>
      <c r="R714" s="21"/>
      <c r="S714" s="21"/>
      <c r="T714" s="21"/>
      <c r="U714" s="27" t="s">
        <v>345</v>
      </c>
      <c r="V714" s="27" t="s">
        <v>196</v>
      </c>
    </row>
    <row r="715" ht="14.25" customHeight="1">
      <c r="A715" s="27" t="s">
        <v>1413</v>
      </c>
      <c r="B715" s="27" t="s">
        <v>1412</v>
      </c>
      <c r="C715" s="27" t="str">
        <f t="array" ref="C715">INDEX(Funciones!$G$2:$G$372,MATCH($A715,Funciones!$B$2:$B$372,0))</f>
        <v>Transmitir el par motriz hasta _____ N·m</v>
      </c>
      <c r="D715" s="27" t="s">
        <v>4146</v>
      </c>
      <c r="E715" s="27" t="s">
        <v>1315</v>
      </c>
      <c r="F715" s="27" t="s">
        <v>3365</v>
      </c>
      <c r="G715" s="27" t="s">
        <v>3366</v>
      </c>
      <c r="H715" s="18" t="str">
        <f t="array" ref="H715">_xlfn.XLOOKUP(E:E,'Calificación consecuencia'!B:B,'Calificación consecuencia'!K:K,"No encontrada",2)</f>
        <v>Baja</v>
      </c>
      <c r="I715" s="27" t="s">
        <v>1800</v>
      </c>
      <c r="J715" s="30" t="s">
        <v>116</v>
      </c>
      <c r="K715" s="21"/>
      <c r="L715" s="21"/>
      <c r="M715" s="29" t="s">
        <v>120</v>
      </c>
      <c r="N715" s="21"/>
      <c r="O715" s="30" t="s">
        <v>116</v>
      </c>
      <c r="P715" s="30" t="s">
        <v>116</v>
      </c>
      <c r="Q715" s="21"/>
      <c r="R715" s="21"/>
      <c r="S715" s="21"/>
      <c r="T715" s="21"/>
      <c r="U715" s="27" t="s">
        <v>345</v>
      </c>
      <c r="V715" s="27" t="s">
        <v>196</v>
      </c>
    </row>
    <row r="716" ht="14.25" customHeight="1">
      <c r="A716" s="27" t="s">
        <v>1413</v>
      </c>
      <c r="B716" s="27" t="s">
        <v>1412</v>
      </c>
      <c r="C716" s="27" t="str">
        <f t="array" ref="C716">INDEX(Funciones!$G$2:$G$372,MATCH($A716,Funciones!$B$2:$B$372,0))</f>
        <v>Transmitir el par motriz hasta _____ N·m</v>
      </c>
      <c r="D716" s="27" t="s">
        <v>4147</v>
      </c>
      <c r="E716" s="27" t="s">
        <v>1325</v>
      </c>
      <c r="F716" s="27" t="s">
        <v>3368</v>
      </c>
      <c r="G716" s="27" t="s">
        <v>3369</v>
      </c>
      <c r="H716" s="18" t="str">
        <f t="array" ref="H716">_xlfn.XLOOKUP(E:E,'Calificación consecuencia'!B:B,'Calificación consecuencia'!K:K,"No encontrada",2)</f>
        <v>Baja</v>
      </c>
      <c r="I716" s="27" t="s">
        <v>1800</v>
      </c>
      <c r="J716" s="30" t="s">
        <v>116</v>
      </c>
      <c r="K716" s="21"/>
      <c r="L716" s="21"/>
      <c r="M716" s="29" t="s">
        <v>120</v>
      </c>
      <c r="N716" s="21"/>
      <c r="O716" s="30" t="s">
        <v>116</v>
      </c>
      <c r="P716" s="30" t="s">
        <v>116</v>
      </c>
      <c r="Q716" s="21"/>
      <c r="R716" s="21"/>
      <c r="S716" s="21"/>
      <c r="T716" s="21"/>
      <c r="U716" s="27" t="s">
        <v>345</v>
      </c>
      <c r="V716" s="27" t="s">
        <v>196</v>
      </c>
    </row>
    <row r="717" ht="14.25" customHeight="1">
      <c r="A717" s="27" t="s">
        <v>1413</v>
      </c>
      <c r="B717" s="27" t="s">
        <v>1412</v>
      </c>
      <c r="C717" s="27" t="str">
        <f t="array" ref="C717">INDEX(Funciones!$G$2:$G$372,MATCH($A717,Funciones!$B$2:$B$372,0))</f>
        <v>Transmitir el par motriz hasta _____ N·m</v>
      </c>
      <c r="D717" s="27" t="s">
        <v>4147</v>
      </c>
      <c r="E717" s="27" t="s">
        <v>1333</v>
      </c>
      <c r="F717" s="27" t="s">
        <v>3370</v>
      </c>
      <c r="G717" s="27" t="s">
        <v>3371</v>
      </c>
      <c r="H717" s="18" t="str">
        <f t="array" ref="H717">_xlfn.XLOOKUP(E:E,'Calificación consecuencia'!B:B,'Calificación consecuencia'!K:K,"No encontrada",2)</f>
        <v>Baja</v>
      </c>
      <c r="I717" s="27" t="s">
        <v>1800</v>
      </c>
      <c r="J717" s="30" t="s">
        <v>116</v>
      </c>
      <c r="K717" s="21"/>
      <c r="L717" s="21"/>
      <c r="M717" s="29" t="s">
        <v>120</v>
      </c>
      <c r="N717" s="21"/>
      <c r="O717" s="30" t="s">
        <v>116</v>
      </c>
      <c r="P717" s="30" t="s">
        <v>116</v>
      </c>
      <c r="Q717" s="21"/>
      <c r="R717" s="21"/>
      <c r="S717" s="21"/>
      <c r="T717" s="21"/>
      <c r="U717" s="27" t="s">
        <v>345</v>
      </c>
      <c r="V717" s="27" t="s">
        <v>196</v>
      </c>
    </row>
    <row r="718" ht="14.25" customHeight="1">
      <c r="A718" s="9" t="s">
        <v>1419</v>
      </c>
      <c r="B718" s="9" t="s">
        <v>1418</v>
      </c>
      <c r="C718" s="9" t="str">
        <f t="array" ref="C718">INDEX(Funciones!$G$2:$G$372,MATCH($A718,Funciones!$B$2:$B$372,0))</f>
        <v>Transportar material de vía hasta _____ t</v>
      </c>
      <c r="D718" s="9" t="s">
        <v>4242</v>
      </c>
      <c r="E718" s="9" t="s">
        <v>2780</v>
      </c>
      <c r="F718" s="9" t="s">
        <v>4243</v>
      </c>
      <c r="G718" s="9" t="s">
        <v>4034</v>
      </c>
      <c r="H718" s="18" t="str">
        <f t="array" ref="H718">_xlfn.XLOOKUP(E:E,'Calificación consecuencia'!B:B,'Calificación consecuencia'!K:K,"No encontrada",2)</f>
        <v>Baja</v>
      </c>
      <c r="I718" s="9" t="s">
        <v>425</v>
      </c>
      <c r="J718" s="20" t="s">
        <v>116</v>
      </c>
      <c r="K718" s="21"/>
      <c r="L718" s="21"/>
      <c r="M718" s="20" t="s">
        <v>116</v>
      </c>
      <c r="N718" s="20" t="s">
        <v>116</v>
      </c>
      <c r="O718" s="21"/>
      <c r="P718" s="21"/>
      <c r="Q718" s="21"/>
      <c r="R718" s="21"/>
      <c r="S718" s="21"/>
      <c r="T718" s="21"/>
      <c r="U718" s="9" t="s">
        <v>195</v>
      </c>
      <c r="V718" s="9" t="s">
        <v>196</v>
      </c>
    </row>
    <row r="719" ht="14.25" customHeight="1">
      <c r="A719" s="9" t="s">
        <v>1419</v>
      </c>
      <c r="B719" s="9" t="s">
        <v>1418</v>
      </c>
      <c r="C719" s="9" t="str">
        <f t="array" ref="C719">INDEX(Funciones!$G$2:$G$372,MATCH($A719,Funciones!$B$2:$B$372,0))</f>
        <v>Transportar material de vía hasta _____ t</v>
      </c>
      <c r="D719" s="9" t="s">
        <v>4242</v>
      </c>
      <c r="E719" s="9" t="s">
        <v>3427</v>
      </c>
      <c r="F719" s="9" t="s">
        <v>4244</v>
      </c>
      <c r="G719" s="9" t="s">
        <v>4245</v>
      </c>
      <c r="H719" s="18" t="str">
        <f t="array" ref="H719">_xlfn.XLOOKUP(E:E,'Calificación consecuencia'!B:B,'Calificación consecuencia'!K:K,"No encontrada",2)</f>
        <v>Media</v>
      </c>
      <c r="I719" s="9" t="s">
        <v>425</v>
      </c>
      <c r="J719" s="20" t="s">
        <v>116</v>
      </c>
      <c r="K719" s="21"/>
      <c r="L719" s="21"/>
      <c r="M719" s="20" t="s">
        <v>116</v>
      </c>
      <c r="N719" s="20" t="s">
        <v>116</v>
      </c>
      <c r="O719" s="21"/>
      <c r="P719" s="21"/>
      <c r="Q719" s="21"/>
      <c r="R719" s="21"/>
      <c r="S719" s="21"/>
      <c r="T719" s="21"/>
      <c r="U719" s="9" t="s">
        <v>195</v>
      </c>
      <c r="V719" s="9" t="s">
        <v>196</v>
      </c>
    </row>
    <row r="720" ht="14.25" customHeight="1">
      <c r="A720" s="9" t="s">
        <v>1419</v>
      </c>
      <c r="B720" s="9" t="s">
        <v>1418</v>
      </c>
      <c r="C720" s="9" t="str">
        <f t="array" ref="C720">INDEX(Funciones!$G$2:$G$372,MATCH($A720,Funciones!$B$2:$B$372,0))</f>
        <v>Transportar material de vía hasta _____ t</v>
      </c>
      <c r="D720" s="9" t="s">
        <v>4246</v>
      </c>
      <c r="E720" s="9" t="s">
        <v>3428</v>
      </c>
      <c r="F720" s="9" t="s">
        <v>4247</v>
      </c>
      <c r="G720" s="9" t="s">
        <v>4248</v>
      </c>
      <c r="H720" s="18" t="str">
        <f t="array" ref="H720">_xlfn.XLOOKUP(E:E,'Calificación consecuencia'!B:B,'Calificación consecuencia'!K:K,"No encontrada",2)</f>
        <v>Baja</v>
      </c>
      <c r="I720" s="9" t="s">
        <v>1351</v>
      </c>
      <c r="J720" s="20" t="s">
        <v>116</v>
      </c>
      <c r="K720" s="21"/>
      <c r="L720" s="21"/>
      <c r="M720" s="20" t="s">
        <v>116</v>
      </c>
      <c r="N720" s="20" t="s">
        <v>116</v>
      </c>
      <c r="O720" s="21"/>
      <c r="P720" s="21"/>
      <c r="Q720" s="21"/>
      <c r="R720" s="21"/>
      <c r="S720" s="21"/>
      <c r="T720" s="21"/>
      <c r="U720" s="9" t="s">
        <v>195</v>
      </c>
      <c r="V720" s="9" t="s">
        <v>196</v>
      </c>
    </row>
    <row r="721" ht="14.25" customHeight="1">
      <c r="A721" s="27" t="s">
        <v>1435</v>
      </c>
      <c r="B721" s="27" t="s">
        <v>1434</v>
      </c>
      <c r="C721" s="27" t="str">
        <f t="array" ref="C721">INDEX(Funciones!$G$2:$G$372,MATCH($A721,Funciones!$B$2:$B$372,0))</f>
        <v>Impedir el remonte de pestaña con cota qR ≥ 6,5 mm</v>
      </c>
      <c r="D721" s="27" t="s">
        <v>3220</v>
      </c>
      <c r="E721" s="27" t="s">
        <v>1127</v>
      </c>
      <c r="F721" s="27" t="s">
        <v>3221</v>
      </c>
      <c r="G721" s="27" t="s">
        <v>3222</v>
      </c>
      <c r="H721" s="18" t="str">
        <f t="array" ref="H721">_xlfn.XLOOKUP(E:E,'Calificación consecuencia'!B:B,'Calificación consecuencia'!K:K,"No encontrada",2)</f>
        <v>Baja</v>
      </c>
      <c r="I721" s="27" t="s">
        <v>425</v>
      </c>
      <c r="J721" s="29" t="s">
        <v>120</v>
      </c>
      <c r="K721" s="30" t="s">
        <v>116</v>
      </c>
      <c r="L721" s="21"/>
      <c r="M721" s="21"/>
      <c r="N721" s="21"/>
      <c r="O721" s="21"/>
      <c r="P721" s="21"/>
      <c r="Q721" s="21"/>
      <c r="R721" s="21"/>
      <c r="S721" s="21"/>
      <c r="T721" s="21"/>
      <c r="U721" s="27" t="s">
        <v>439</v>
      </c>
      <c r="V721" s="27" t="s">
        <v>440</v>
      </c>
    </row>
    <row r="722" ht="14.25" customHeight="1">
      <c r="A722" s="27" t="s">
        <v>1435</v>
      </c>
      <c r="B722" s="27" t="s">
        <v>1434</v>
      </c>
      <c r="C722" s="27" t="str">
        <f t="array" ref="C722">INDEX(Funciones!$G$2:$G$372,MATCH($A722,Funciones!$B$2:$B$372,0))</f>
        <v>Impedir el remonte de pestaña con cota qR ≥ 6,5 mm</v>
      </c>
      <c r="D722" s="27" t="s">
        <v>3230</v>
      </c>
      <c r="E722" s="27" t="s">
        <v>1134</v>
      </c>
      <c r="F722" s="27" t="s">
        <v>3231</v>
      </c>
      <c r="G722" s="27" t="s">
        <v>3232</v>
      </c>
      <c r="H722" s="18" t="str">
        <f t="array" ref="H722">_xlfn.XLOOKUP(E:E,'Calificación consecuencia'!B:B,'Calificación consecuencia'!K:K,"No encontrada",2)</f>
        <v>Media</v>
      </c>
      <c r="I722" s="27" t="s">
        <v>1800</v>
      </c>
      <c r="J722" s="29" t="s">
        <v>120</v>
      </c>
      <c r="K722" s="30" t="s">
        <v>116</v>
      </c>
      <c r="L722" s="21"/>
      <c r="M722" s="21"/>
      <c r="N722" s="21"/>
      <c r="O722" s="21"/>
      <c r="P722" s="21"/>
      <c r="Q722" s="21"/>
      <c r="R722" s="21"/>
      <c r="S722" s="21"/>
      <c r="T722" s="21"/>
      <c r="U722" s="27" t="s">
        <v>439</v>
      </c>
      <c r="V722" s="27" t="s">
        <v>440</v>
      </c>
    </row>
    <row r="723" ht="14.25" customHeight="1">
      <c r="A723" s="27" t="s">
        <v>1435</v>
      </c>
      <c r="B723" s="27" t="s">
        <v>1434</v>
      </c>
      <c r="C723" s="27" t="str">
        <f t="array" ref="C723">INDEX(Funciones!$G$2:$G$372,MATCH($A723,Funciones!$B$2:$B$372,0))</f>
        <v>Impedir el remonte de pestaña con cota qR ≥ 6,5 mm</v>
      </c>
      <c r="D723" s="27" t="s">
        <v>3230</v>
      </c>
      <c r="E723" s="27" t="s">
        <v>1141</v>
      </c>
      <c r="F723" s="27" t="s">
        <v>3250</v>
      </c>
      <c r="G723" s="27" t="s">
        <v>3251</v>
      </c>
      <c r="H723" s="18" t="str">
        <f t="array" ref="H723">_xlfn.XLOOKUP(E:E,'Calificación consecuencia'!B:B,'Calificación consecuencia'!K:K,"No encontrada",2)</f>
        <v>Media</v>
      </c>
      <c r="I723" s="27" t="s">
        <v>425</v>
      </c>
      <c r="J723" s="29" t="s">
        <v>120</v>
      </c>
      <c r="K723" s="30" t="s">
        <v>116</v>
      </c>
      <c r="L723" s="21"/>
      <c r="M723" s="21"/>
      <c r="N723" s="21"/>
      <c r="O723" s="21"/>
      <c r="P723" s="21"/>
      <c r="Q723" s="21"/>
      <c r="R723" s="21"/>
      <c r="S723" s="21"/>
      <c r="T723" s="21"/>
      <c r="U723" s="27" t="s">
        <v>439</v>
      </c>
      <c r="V723" s="27" t="s">
        <v>440</v>
      </c>
    </row>
    <row r="724" ht="14.25" customHeight="1">
      <c r="A724" s="27" t="s">
        <v>1435</v>
      </c>
      <c r="B724" s="27" t="s">
        <v>1434</v>
      </c>
      <c r="C724" s="27" t="str">
        <f t="array" ref="C724">INDEX(Funciones!$G$2:$G$372,MATCH($A724,Funciones!$B$2:$B$372,0))</f>
        <v>Impedir el remonte de pestaña con cota qR ≥ 6,5 mm</v>
      </c>
      <c r="D724" s="27" t="s">
        <v>3230</v>
      </c>
      <c r="E724" s="27" t="s">
        <v>1147</v>
      </c>
      <c r="F724" s="27" t="s">
        <v>3271</v>
      </c>
      <c r="G724" s="27" t="s">
        <v>3272</v>
      </c>
      <c r="H724" s="18" t="str">
        <f t="array" ref="H724">_xlfn.XLOOKUP(E:E,'Calificación consecuencia'!B:B,'Calificación consecuencia'!K:K,"No encontrada",2)</f>
        <v>Media</v>
      </c>
      <c r="I724" s="27" t="s">
        <v>1800</v>
      </c>
      <c r="J724" s="29" t="s">
        <v>120</v>
      </c>
      <c r="K724" s="30" t="s">
        <v>116</v>
      </c>
      <c r="L724" s="21"/>
      <c r="M724" s="21"/>
      <c r="N724" s="21"/>
      <c r="O724" s="21"/>
      <c r="P724" s="21"/>
      <c r="Q724" s="21"/>
      <c r="R724" s="21"/>
      <c r="S724" s="21"/>
      <c r="T724" s="21"/>
      <c r="U724" s="27" t="s">
        <v>439</v>
      </c>
      <c r="V724" s="27" t="s">
        <v>440</v>
      </c>
    </row>
    <row r="725" ht="14.25" customHeight="1">
      <c r="A725" s="9" t="s">
        <v>1439</v>
      </c>
      <c r="B725" s="9" t="s">
        <v>1438</v>
      </c>
      <c r="C725" s="9" t="str">
        <f t="array" ref="C725">INDEX(Funciones!$G$2:$G$372,MATCH($A725,Funciones!$B$2:$B$372,0))</f>
        <v>Soportar la carga por eje hasta _____ t</v>
      </c>
      <c r="D725" s="9" t="s">
        <v>4087</v>
      </c>
      <c r="E725" s="9" t="s">
        <v>1609</v>
      </c>
      <c r="F725" s="9" t="s">
        <v>4088</v>
      </c>
      <c r="G725" s="9" t="s">
        <v>3498</v>
      </c>
      <c r="H725" s="18" t="str">
        <f t="array" ref="H725">_xlfn.XLOOKUP(E:E,'Calificación consecuencia'!B:B,'Calificación consecuencia'!K:K,"No encontrada",2)</f>
        <v>Baja</v>
      </c>
      <c r="I725" s="9" t="s">
        <v>425</v>
      </c>
      <c r="J725" s="22" t="s">
        <v>120</v>
      </c>
      <c r="K725" s="20" t="s">
        <v>116</v>
      </c>
      <c r="L725" s="21"/>
      <c r="M725" s="21"/>
      <c r="N725" s="21"/>
      <c r="O725" s="21"/>
      <c r="P725" s="21"/>
      <c r="Q725" s="21"/>
      <c r="R725" s="21"/>
      <c r="S725" s="21"/>
      <c r="T725" s="21"/>
      <c r="U725" s="9" t="s">
        <v>439</v>
      </c>
      <c r="V725" s="9" t="s">
        <v>440</v>
      </c>
    </row>
    <row r="726" ht="14.25" customHeight="1">
      <c r="A726" s="9" t="s">
        <v>1439</v>
      </c>
      <c r="B726" s="9" t="s">
        <v>1438</v>
      </c>
      <c r="C726" s="9" t="str">
        <f t="array" ref="C726">INDEX(Funciones!$G$2:$G$372,MATCH($A726,Funciones!$B$2:$B$372,0))</f>
        <v>Soportar la carga por eje hasta _____ t</v>
      </c>
      <c r="D726" s="9" t="s">
        <v>4087</v>
      </c>
      <c r="E726" s="9" t="s">
        <v>1615</v>
      </c>
      <c r="F726" s="9" t="s">
        <v>4089</v>
      </c>
      <c r="G726" s="9" t="s">
        <v>3501</v>
      </c>
      <c r="H726" s="18" t="str">
        <f t="array" ref="H726">_xlfn.XLOOKUP(E:E,'Calificación consecuencia'!B:B,'Calificación consecuencia'!K:K,"No encontrada",2)</f>
        <v>Baja</v>
      </c>
      <c r="I726" s="9" t="s">
        <v>425</v>
      </c>
      <c r="J726" s="22" t="s">
        <v>120</v>
      </c>
      <c r="K726" s="20" t="s">
        <v>116</v>
      </c>
      <c r="L726" s="21"/>
      <c r="M726" s="21"/>
      <c r="N726" s="21"/>
      <c r="O726" s="21"/>
      <c r="P726" s="21"/>
      <c r="Q726" s="21"/>
      <c r="R726" s="21"/>
      <c r="S726" s="21"/>
      <c r="T726" s="21"/>
      <c r="U726" s="9" t="s">
        <v>439</v>
      </c>
      <c r="V726" s="9" t="s">
        <v>440</v>
      </c>
    </row>
    <row r="727" ht="14.25" customHeight="1">
      <c r="A727" s="9" t="s">
        <v>1439</v>
      </c>
      <c r="B727" s="9" t="s">
        <v>1438</v>
      </c>
      <c r="C727" s="9" t="str">
        <f t="array" ref="C727">INDEX(Funciones!$G$2:$G$372,MATCH($A727,Funciones!$B$2:$B$372,0))</f>
        <v>Soportar la carga por eje hasta _____ t</v>
      </c>
      <c r="D727" s="9" t="s">
        <v>4090</v>
      </c>
      <c r="E727" s="9" t="s">
        <v>1622</v>
      </c>
      <c r="F727" s="9" t="s">
        <v>4091</v>
      </c>
      <c r="G727" s="9" t="s">
        <v>3498</v>
      </c>
      <c r="H727" s="18" t="str">
        <f t="array" ref="H727">_xlfn.XLOOKUP(E:E,'Calificación consecuencia'!B:B,'Calificación consecuencia'!K:K,"No encontrada",2)</f>
        <v>Baja</v>
      </c>
      <c r="I727" s="9" t="s">
        <v>1800</v>
      </c>
      <c r="J727" s="22" t="s">
        <v>120</v>
      </c>
      <c r="K727" s="20" t="s">
        <v>116</v>
      </c>
      <c r="L727" s="21"/>
      <c r="M727" s="21"/>
      <c r="N727" s="21"/>
      <c r="O727" s="21"/>
      <c r="P727" s="21"/>
      <c r="Q727" s="21"/>
      <c r="R727" s="21"/>
      <c r="S727" s="21"/>
      <c r="T727" s="21"/>
      <c r="U727" s="9" t="s">
        <v>439</v>
      </c>
      <c r="V727" s="9" t="s">
        <v>440</v>
      </c>
    </row>
    <row r="728" ht="14.25" customHeight="1">
      <c r="A728" s="9" t="s">
        <v>1439</v>
      </c>
      <c r="B728" s="9" t="s">
        <v>1438</v>
      </c>
      <c r="C728" s="9" t="str">
        <f t="array" ref="C728">INDEX(Funciones!$G$2:$G$372,MATCH($A728,Funciones!$B$2:$B$372,0))</f>
        <v>Soportar la carga por eje hasta _____ t</v>
      </c>
      <c r="D728" s="9" t="s">
        <v>4090</v>
      </c>
      <c r="E728" s="9" t="s">
        <v>1625</v>
      </c>
      <c r="F728" s="9" t="s">
        <v>4092</v>
      </c>
      <c r="G728" s="9" t="s">
        <v>3513</v>
      </c>
      <c r="H728" s="18" t="str">
        <f t="array" ref="H728">_xlfn.XLOOKUP(E:E,'Calificación consecuencia'!B:B,'Calificación consecuencia'!K:K,"No encontrada",2)</f>
        <v>Media</v>
      </c>
      <c r="I728" s="9" t="s">
        <v>1351</v>
      </c>
      <c r="J728" s="22" t="s">
        <v>120</v>
      </c>
      <c r="K728" s="20" t="s">
        <v>116</v>
      </c>
      <c r="L728" s="21"/>
      <c r="M728" s="21"/>
      <c r="N728" s="21"/>
      <c r="O728" s="21"/>
      <c r="P728" s="21"/>
      <c r="Q728" s="21"/>
      <c r="R728" s="21"/>
      <c r="S728" s="21"/>
      <c r="T728" s="21"/>
      <c r="U728" s="9" t="s">
        <v>439</v>
      </c>
      <c r="V728" s="9" t="s">
        <v>440</v>
      </c>
    </row>
    <row r="729" ht="14.25" customHeight="1">
      <c r="A729" s="27" t="s">
        <v>1448</v>
      </c>
      <c r="B729" s="27" t="s">
        <v>1438</v>
      </c>
      <c r="C729" s="27" t="str">
        <f t="array" ref="C729">INDEX(Funciones!$G$2:$G$372,MATCH($A729,Funciones!$B$2:$B$372,0))</f>
        <v>Impedir el remonte de pestaña con cota qR ≥ 6,5 mm</v>
      </c>
      <c r="D729" s="27" t="s">
        <v>3220</v>
      </c>
      <c r="E729" s="27" t="s">
        <v>1127</v>
      </c>
      <c r="F729" s="27" t="s">
        <v>3221</v>
      </c>
      <c r="G729" s="27" t="s">
        <v>3222</v>
      </c>
      <c r="H729" s="18" t="str">
        <f t="array" ref="H729">_xlfn.XLOOKUP(E:E,'Calificación consecuencia'!B:B,'Calificación consecuencia'!K:K,"No encontrada",2)</f>
        <v>Baja</v>
      </c>
      <c r="I729" s="27" t="s">
        <v>425</v>
      </c>
      <c r="J729" s="29" t="s">
        <v>120</v>
      </c>
      <c r="K729" s="30" t="s">
        <v>116</v>
      </c>
      <c r="L729" s="21"/>
      <c r="M729" s="21"/>
      <c r="N729" s="21"/>
      <c r="O729" s="21"/>
      <c r="P729" s="21"/>
      <c r="Q729" s="21"/>
      <c r="R729" s="21"/>
      <c r="S729" s="21"/>
      <c r="T729" s="21"/>
      <c r="U729" s="27" t="s">
        <v>439</v>
      </c>
      <c r="V729" s="27" t="s">
        <v>440</v>
      </c>
    </row>
    <row r="730" ht="14.25" customHeight="1">
      <c r="A730" s="27" t="s">
        <v>1448</v>
      </c>
      <c r="B730" s="27" t="s">
        <v>1438</v>
      </c>
      <c r="C730" s="27" t="str">
        <f t="array" ref="C730">INDEX(Funciones!$G$2:$G$372,MATCH($A730,Funciones!$B$2:$B$372,0))</f>
        <v>Impedir el remonte de pestaña con cota qR ≥ 6,5 mm</v>
      </c>
      <c r="D730" s="27" t="s">
        <v>3230</v>
      </c>
      <c r="E730" s="27" t="s">
        <v>1134</v>
      </c>
      <c r="F730" s="27" t="s">
        <v>3231</v>
      </c>
      <c r="G730" s="27" t="s">
        <v>3232</v>
      </c>
      <c r="H730" s="18" t="str">
        <f t="array" ref="H730">_xlfn.XLOOKUP(E:E,'Calificación consecuencia'!B:B,'Calificación consecuencia'!K:K,"No encontrada",2)</f>
        <v>Media</v>
      </c>
      <c r="I730" s="27" t="s">
        <v>1800</v>
      </c>
      <c r="J730" s="29" t="s">
        <v>120</v>
      </c>
      <c r="K730" s="30" t="s">
        <v>116</v>
      </c>
      <c r="L730" s="21"/>
      <c r="M730" s="21"/>
      <c r="N730" s="21"/>
      <c r="O730" s="21"/>
      <c r="P730" s="21"/>
      <c r="Q730" s="21"/>
      <c r="R730" s="21"/>
      <c r="S730" s="21"/>
      <c r="T730" s="21"/>
      <c r="U730" s="27" t="s">
        <v>439</v>
      </c>
      <c r="V730" s="27" t="s">
        <v>440</v>
      </c>
    </row>
    <row r="731" ht="14.25" customHeight="1">
      <c r="A731" s="27" t="s">
        <v>1448</v>
      </c>
      <c r="B731" s="27" t="s">
        <v>1438</v>
      </c>
      <c r="C731" s="27" t="str">
        <f t="array" ref="C731">INDEX(Funciones!$G$2:$G$372,MATCH($A731,Funciones!$B$2:$B$372,0))</f>
        <v>Impedir el remonte de pestaña con cota qR ≥ 6,5 mm</v>
      </c>
      <c r="D731" s="27" t="s">
        <v>3230</v>
      </c>
      <c r="E731" s="27" t="s">
        <v>1141</v>
      </c>
      <c r="F731" s="27" t="s">
        <v>3250</v>
      </c>
      <c r="G731" s="27" t="s">
        <v>3251</v>
      </c>
      <c r="H731" s="18" t="str">
        <f t="array" ref="H731">_xlfn.XLOOKUP(E:E,'Calificación consecuencia'!B:B,'Calificación consecuencia'!K:K,"No encontrada",2)</f>
        <v>Media</v>
      </c>
      <c r="I731" s="27" t="s">
        <v>425</v>
      </c>
      <c r="J731" s="29" t="s">
        <v>120</v>
      </c>
      <c r="K731" s="30" t="s">
        <v>116</v>
      </c>
      <c r="L731" s="21"/>
      <c r="M731" s="21"/>
      <c r="N731" s="21"/>
      <c r="O731" s="21"/>
      <c r="P731" s="21"/>
      <c r="Q731" s="21"/>
      <c r="R731" s="21"/>
      <c r="S731" s="21"/>
      <c r="T731" s="21"/>
      <c r="U731" s="27" t="s">
        <v>439</v>
      </c>
      <c r="V731" s="27" t="s">
        <v>440</v>
      </c>
    </row>
    <row r="732" ht="14.25" customHeight="1">
      <c r="A732" s="27" t="s">
        <v>1448</v>
      </c>
      <c r="B732" s="27" t="s">
        <v>1438</v>
      </c>
      <c r="C732" s="27" t="str">
        <f t="array" ref="C732">INDEX(Funciones!$G$2:$G$372,MATCH($A732,Funciones!$B$2:$B$372,0))</f>
        <v>Impedir el remonte de pestaña con cota qR ≥ 6,5 mm</v>
      </c>
      <c r="D732" s="27" t="s">
        <v>3230</v>
      </c>
      <c r="E732" s="27" t="s">
        <v>1147</v>
      </c>
      <c r="F732" s="27" t="s">
        <v>3271</v>
      </c>
      <c r="G732" s="27" t="s">
        <v>3272</v>
      </c>
      <c r="H732" s="18" t="str">
        <f t="array" ref="H732">_xlfn.XLOOKUP(E:E,'Calificación consecuencia'!B:B,'Calificación consecuencia'!K:K,"No encontrada",2)</f>
        <v>Media</v>
      </c>
      <c r="I732" s="27" t="s">
        <v>1800</v>
      </c>
      <c r="J732" s="29" t="s">
        <v>120</v>
      </c>
      <c r="K732" s="30" t="s">
        <v>116</v>
      </c>
      <c r="L732" s="21"/>
      <c r="M732" s="21"/>
      <c r="N732" s="21"/>
      <c r="O732" s="21"/>
      <c r="P732" s="21"/>
      <c r="Q732" s="21"/>
      <c r="R732" s="21"/>
      <c r="S732" s="21"/>
      <c r="T732" s="21"/>
      <c r="U732" s="27" t="s">
        <v>439</v>
      </c>
      <c r="V732" s="27" t="s">
        <v>440</v>
      </c>
    </row>
    <row r="733" ht="14.25" customHeight="1">
      <c r="A733" s="9" t="s">
        <v>1451</v>
      </c>
      <c r="B733" s="9" t="s">
        <v>1438</v>
      </c>
      <c r="C733" s="9" t="str">
        <f t="array" ref="C733">INDEX(Funciones!$G$2:$G$372,MATCH($A733,Funciones!$B$2:$B$372,0))</f>
        <v>Mantener la distancia entre ruedas de 1.357 a 1.363 mm</v>
      </c>
      <c r="D733" s="9" t="s">
        <v>3523</v>
      </c>
      <c r="E733" s="9" t="s">
        <v>1644</v>
      </c>
      <c r="F733" s="9" t="s">
        <v>3524</v>
      </c>
      <c r="G733" s="9" t="s">
        <v>3525</v>
      </c>
      <c r="H733" s="18" t="str">
        <f t="array" ref="H733">_xlfn.XLOOKUP(E:E,'Calificación consecuencia'!B:B,'Calificación consecuencia'!K:K,"No encontrada",2)</f>
        <v>Baja</v>
      </c>
      <c r="I733" s="9" t="s">
        <v>425</v>
      </c>
      <c r="J733" s="22" t="s">
        <v>120</v>
      </c>
      <c r="K733" s="20" t="s">
        <v>116</v>
      </c>
      <c r="L733" s="21"/>
      <c r="M733" s="21"/>
      <c r="N733" s="21"/>
      <c r="O733" s="21"/>
      <c r="P733" s="21"/>
      <c r="Q733" s="21"/>
      <c r="R733" s="21"/>
      <c r="S733" s="21"/>
      <c r="T733" s="21"/>
      <c r="U733" s="9" t="s">
        <v>439</v>
      </c>
      <c r="V733" s="9" t="s">
        <v>440</v>
      </c>
    </row>
    <row r="734" ht="14.25" customHeight="1">
      <c r="A734" s="9" t="s">
        <v>1451</v>
      </c>
      <c r="B734" s="9" t="s">
        <v>1438</v>
      </c>
      <c r="C734" s="9" t="str">
        <f t="array" ref="C734">INDEX(Funciones!$G$2:$G$372,MATCH($A734,Funciones!$B$2:$B$372,0))</f>
        <v>Mantener la distancia entre ruedas de 1.357 a 1.363 mm</v>
      </c>
      <c r="D734" s="9" t="s">
        <v>3526</v>
      </c>
      <c r="E734" s="9" t="s">
        <v>1650</v>
      </c>
      <c r="F734" s="9" t="s">
        <v>3527</v>
      </c>
      <c r="G734" s="9" t="s">
        <v>3528</v>
      </c>
      <c r="H734" s="18" t="str">
        <f t="array" ref="H734">_xlfn.XLOOKUP(E:E,'Calificación consecuencia'!B:B,'Calificación consecuencia'!K:K,"No encontrada",2)</f>
        <v>Baja</v>
      </c>
      <c r="I734" s="9" t="s">
        <v>1351</v>
      </c>
      <c r="J734" s="22" t="s">
        <v>120</v>
      </c>
      <c r="K734" s="20" t="s">
        <v>116</v>
      </c>
      <c r="L734" s="21"/>
      <c r="M734" s="21"/>
      <c r="N734" s="21"/>
      <c r="O734" s="21"/>
      <c r="P734" s="21"/>
      <c r="Q734" s="21"/>
      <c r="R734" s="21"/>
      <c r="S734" s="21"/>
      <c r="T734" s="21"/>
      <c r="U734" s="9" t="s">
        <v>439</v>
      </c>
      <c r="V734" s="9" t="s">
        <v>440</v>
      </c>
    </row>
    <row r="735" ht="14.25" customHeight="1">
      <c r="A735" s="9" t="s">
        <v>1451</v>
      </c>
      <c r="B735" s="9" t="s">
        <v>1438</v>
      </c>
      <c r="C735" s="9" t="str">
        <f t="array" ref="C735">INDEX(Funciones!$G$2:$G$372,MATCH($A735,Funciones!$B$2:$B$372,0))</f>
        <v>Mantener la distancia entre ruedas de 1.357 a 1.363 mm</v>
      </c>
      <c r="D735" s="9" t="s">
        <v>3529</v>
      </c>
      <c r="E735" s="9" t="s">
        <v>1655</v>
      </c>
      <c r="F735" s="9" t="s">
        <v>3530</v>
      </c>
      <c r="G735" s="9" t="s">
        <v>3531</v>
      </c>
      <c r="H735" s="18" t="str">
        <f t="array" ref="H735">_xlfn.XLOOKUP(E:E,'Calificación consecuencia'!B:B,'Calificación consecuencia'!K:K,"No encontrada",2)</f>
        <v>Baja</v>
      </c>
      <c r="I735" s="9" t="s">
        <v>1800</v>
      </c>
      <c r="J735" s="22" t="s">
        <v>120</v>
      </c>
      <c r="K735" s="20" t="s">
        <v>116</v>
      </c>
      <c r="L735" s="21"/>
      <c r="M735" s="21"/>
      <c r="N735" s="21"/>
      <c r="O735" s="21"/>
      <c r="P735" s="21"/>
      <c r="Q735" s="21"/>
      <c r="R735" s="21"/>
      <c r="S735" s="21"/>
      <c r="T735" s="21"/>
      <c r="U735" s="9" t="s">
        <v>439</v>
      </c>
      <c r="V735" s="9" t="s">
        <v>440</v>
      </c>
    </row>
    <row r="736" ht="14.25" customHeight="1">
      <c r="A736" s="27" t="s">
        <v>1452</v>
      </c>
      <c r="B736" s="27" t="s">
        <v>1438</v>
      </c>
      <c r="C736" s="27" t="str">
        <f t="array" ref="C736">INDEX(Funciones!$G$2:$G$372,MATCH($A736,Funciones!$B$2:$B$372,0))</f>
        <v>Guiar el eje con pestaña de _____ mm</v>
      </c>
      <c r="D736" s="27" t="s">
        <v>4093</v>
      </c>
      <c r="E736" s="27" t="s">
        <v>1127</v>
      </c>
      <c r="F736" s="27" t="s">
        <v>4094</v>
      </c>
      <c r="G736" s="27" t="s">
        <v>3222</v>
      </c>
      <c r="H736" s="18" t="str">
        <f t="array" ref="H736">_xlfn.XLOOKUP(E:E,'Calificación consecuencia'!B:B,'Calificación consecuencia'!K:K,"No encontrada",2)</f>
        <v>Baja</v>
      </c>
      <c r="I736" s="27" t="s">
        <v>425</v>
      </c>
      <c r="J736" s="29" t="s">
        <v>120</v>
      </c>
      <c r="K736" s="30" t="s">
        <v>116</v>
      </c>
      <c r="L736" s="21"/>
      <c r="M736" s="21"/>
      <c r="N736" s="21"/>
      <c r="O736" s="21"/>
      <c r="P736" s="21"/>
      <c r="Q736" s="21"/>
      <c r="R736" s="21"/>
      <c r="S736" s="21"/>
      <c r="T736" s="21"/>
      <c r="U736" s="27" t="s">
        <v>439</v>
      </c>
      <c r="V736" s="27" t="s">
        <v>440</v>
      </c>
    </row>
    <row r="737" ht="14.25" customHeight="1">
      <c r="A737" s="27" t="s">
        <v>1452</v>
      </c>
      <c r="B737" s="27" t="s">
        <v>1438</v>
      </c>
      <c r="C737" s="27" t="str">
        <f t="array" ref="C737">INDEX(Funciones!$G$2:$G$372,MATCH($A737,Funciones!$B$2:$B$372,0))</f>
        <v>Guiar el eje con pestaña de _____ mm</v>
      </c>
      <c r="D737" s="27" t="s">
        <v>4095</v>
      </c>
      <c r="E737" s="27" t="s">
        <v>3154</v>
      </c>
      <c r="F737" s="27" t="s">
        <v>4096</v>
      </c>
      <c r="G737" s="27" t="s">
        <v>3232</v>
      </c>
      <c r="H737" s="18" t="str">
        <f t="array" ref="H737">_xlfn.XLOOKUP(E:E,'Calificación consecuencia'!B:B,'Calificación consecuencia'!K:K,"No encontrada",2)</f>
        <v>Media</v>
      </c>
      <c r="I737" s="27" t="s">
        <v>1800</v>
      </c>
      <c r="J737" s="29" t="s">
        <v>120</v>
      </c>
      <c r="K737" s="30" t="s">
        <v>116</v>
      </c>
      <c r="L737" s="21"/>
      <c r="M737" s="21"/>
      <c r="N737" s="21"/>
      <c r="O737" s="21"/>
      <c r="P737" s="21"/>
      <c r="Q737" s="21"/>
      <c r="R737" s="21"/>
      <c r="S737" s="21"/>
      <c r="T737" s="21"/>
      <c r="U737" s="27" t="s">
        <v>439</v>
      </c>
      <c r="V737" s="27" t="s">
        <v>440</v>
      </c>
    </row>
    <row r="738" ht="14.25" customHeight="1">
      <c r="A738" s="27" t="s">
        <v>1452</v>
      </c>
      <c r="B738" s="27" t="s">
        <v>1438</v>
      </c>
      <c r="C738" s="27" t="str">
        <f t="array" ref="C738">INDEX(Funciones!$G$2:$G$372,MATCH($A738,Funciones!$B$2:$B$372,0))</f>
        <v>Guiar el eje con pestaña de _____ mm</v>
      </c>
      <c r="D738" s="27" t="s">
        <v>4095</v>
      </c>
      <c r="E738" s="27" t="s">
        <v>1141</v>
      </c>
      <c r="F738" s="27" t="s">
        <v>4097</v>
      </c>
      <c r="G738" s="27" t="s">
        <v>3251</v>
      </c>
      <c r="H738" s="18" t="str">
        <f t="array" ref="H738">_xlfn.XLOOKUP(E:E,'Calificación consecuencia'!B:B,'Calificación consecuencia'!K:K,"No encontrada",2)</f>
        <v>Media</v>
      </c>
      <c r="I738" s="27" t="s">
        <v>425</v>
      </c>
      <c r="J738" s="29" t="s">
        <v>120</v>
      </c>
      <c r="K738" s="30" t="s">
        <v>116</v>
      </c>
      <c r="L738" s="21"/>
      <c r="M738" s="21"/>
      <c r="N738" s="21"/>
      <c r="O738" s="21"/>
      <c r="P738" s="21"/>
      <c r="Q738" s="21"/>
      <c r="R738" s="21"/>
      <c r="S738" s="21"/>
      <c r="T738" s="21"/>
      <c r="U738" s="27" t="s">
        <v>439</v>
      </c>
      <c r="V738" s="27" t="s">
        <v>440</v>
      </c>
    </row>
    <row r="739" ht="14.25" customHeight="1">
      <c r="A739" s="9" t="s">
        <v>1456</v>
      </c>
      <c r="B739" s="9" t="s">
        <v>1455</v>
      </c>
      <c r="C739" s="9" t="str">
        <f t="array" ref="C739">INDEX(Funciones!$G$2:$G$372,MATCH($A739,Funciones!$B$2:$B$372,0))</f>
        <v>Acoplar vehículos con tracción de _____ kN</v>
      </c>
      <c r="D739" s="9" t="s">
        <v>4102</v>
      </c>
      <c r="E739" s="9" t="s">
        <v>3185</v>
      </c>
      <c r="F739" s="9" t="s">
        <v>4103</v>
      </c>
      <c r="G739" s="9" t="s">
        <v>4104</v>
      </c>
      <c r="H739" s="18" t="str">
        <f t="array" ref="H739">_xlfn.XLOOKUP(E:E,'Calificación consecuencia'!B:B,'Calificación consecuencia'!K:K,"No encontrada",2)</f>
        <v>Media</v>
      </c>
      <c r="I739" s="9" t="s">
        <v>425</v>
      </c>
      <c r="J739" s="20" t="s">
        <v>116</v>
      </c>
      <c r="K739" s="21"/>
      <c r="L739" s="21"/>
      <c r="M739" s="20" t="s">
        <v>116</v>
      </c>
      <c r="N739" s="22" t="s">
        <v>120</v>
      </c>
      <c r="O739" s="21"/>
      <c r="P739" s="21"/>
      <c r="Q739" s="21"/>
      <c r="R739" s="21"/>
      <c r="S739" s="21"/>
      <c r="T739" s="21"/>
      <c r="U739" s="9" t="s">
        <v>230</v>
      </c>
      <c r="V739" s="9" t="s">
        <v>230</v>
      </c>
    </row>
    <row r="740" ht="14.25" customHeight="1">
      <c r="A740" s="9" t="s">
        <v>1456</v>
      </c>
      <c r="B740" s="9" t="s">
        <v>1455</v>
      </c>
      <c r="C740" s="9" t="str">
        <f t="array" ref="C740">INDEX(Funciones!$G$2:$G$372,MATCH($A740,Funciones!$B$2:$B$372,0))</f>
        <v>Acoplar vehículos con tracción de _____ kN</v>
      </c>
      <c r="D740" s="9" t="s">
        <v>4102</v>
      </c>
      <c r="E740" s="9" t="s">
        <v>3190</v>
      </c>
      <c r="F740" s="9" t="s">
        <v>4105</v>
      </c>
      <c r="G740" s="9" t="s">
        <v>4106</v>
      </c>
      <c r="H740" s="18" t="str">
        <f t="array" ref="H740">_xlfn.XLOOKUP(E:E,'Calificación consecuencia'!B:B,'Calificación consecuencia'!K:K,"No encontrada",2)</f>
        <v>Media</v>
      </c>
      <c r="I740" s="9" t="s">
        <v>425</v>
      </c>
      <c r="J740" s="20" t="s">
        <v>116</v>
      </c>
      <c r="K740" s="21"/>
      <c r="L740" s="21"/>
      <c r="M740" s="20" t="s">
        <v>116</v>
      </c>
      <c r="N740" s="20" t="s">
        <v>116</v>
      </c>
      <c r="O740" s="21"/>
      <c r="P740" s="21"/>
      <c r="Q740" s="21"/>
      <c r="R740" s="21"/>
      <c r="S740" s="21"/>
      <c r="T740" s="21"/>
      <c r="U740" s="9" t="s">
        <v>195</v>
      </c>
      <c r="V740" s="9" t="s">
        <v>196</v>
      </c>
    </row>
    <row r="741" ht="14.25" customHeight="1">
      <c r="A741" s="9" t="s">
        <v>1456</v>
      </c>
      <c r="B741" s="9" t="s">
        <v>1455</v>
      </c>
      <c r="C741" s="9" t="str">
        <f t="array" ref="C741">INDEX(Funciones!$G$2:$G$372,MATCH($A741,Funciones!$B$2:$B$372,0))</f>
        <v>Acoplar vehículos con tracción de _____ kN</v>
      </c>
      <c r="D741" s="9" t="s">
        <v>4102</v>
      </c>
      <c r="E741" s="9" t="s">
        <v>3196</v>
      </c>
      <c r="F741" s="9" t="s">
        <v>4107</v>
      </c>
      <c r="G741" s="9" t="s">
        <v>4108</v>
      </c>
      <c r="H741" s="18" t="str">
        <f t="array" ref="H741">_xlfn.XLOOKUP(E:E,'Calificación consecuencia'!B:B,'Calificación consecuencia'!K:K,"No encontrada",2)</f>
        <v>Media</v>
      </c>
      <c r="I741" s="9" t="s">
        <v>425</v>
      </c>
      <c r="J741" s="20" t="s">
        <v>116</v>
      </c>
      <c r="K741" s="21"/>
      <c r="L741" s="21"/>
      <c r="M741" s="20" t="s">
        <v>116</v>
      </c>
      <c r="N741" s="20" t="s">
        <v>116</v>
      </c>
      <c r="O741" s="21"/>
      <c r="P741" s="21"/>
      <c r="Q741" s="21"/>
      <c r="R741" s="21"/>
      <c r="S741" s="21"/>
      <c r="T741" s="21"/>
      <c r="U741" s="9" t="s">
        <v>195</v>
      </c>
      <c r="V741" s="9" t="s">
        <v>196</v>
      </c>
    </row>
    <row r="742" ht="14.25" customHeight="1">
      <c r="A742" s="9" t="s">
        <v>1456</v>
      </c>
      <c r="B742" s="9" t="s">
        <v>1455</v>
      </c>
      <c r="C742" s="9" t="str">
        <f t="array" ref="C742">INDEX(Funciones!$G$2:$G$372,MATCH($A742,Funciones!$B$2:$B$372,0))</f>
        <v>Acoplar vehículos con tracción de _____ kN</v>
      </c>
      <c r="D742" s="9" t="s">
        <v>4109</v>
      </c>
      <c r="E742" s="9" t="s">
        <v>3201</v>
      </c>
      <c r="F742" s="9" t="s">
        <v>4110</v>
      </c>
      <c r="G742" s="9" t="s">
        <v>4111</v>
      </c>
      <c r="H742" s="18" t="str">
        <f t="array" ref="H742">_xlfn.XLOOKUP(E:E,'Calificación consecuencia'!B:B,'Calificación consecuencia'!K:K,"No encontrada",2)</f>
        <v>Baja</v>
      </c>
      <c r="I742" s="9" t="s">
        <v>425</v>
      </c>
      <c r="J742" s="20" t="s">
        <v>116</v>
      </c>
      <c r="K742" s="21"/>
      <c r="L742" s="21"/>
      <c r="M742" s="20" t="s">
        <v>116</v>
      </c>
      <c r="N742" s="20" t="s">
        <v>116</v>
      </c>
      <c r="O742" s="21"/>
      <c r="P742" s="21"/>
      <c r="Q742" s="21"/>
      <c r="R742" s="21"/>
      <c r="S742" s="21"/>
      <c r="T742" s="21"/>
      <c r="U742" s="9" t="s">
        <v>195</v>
      </c>
      <c r="V742" s="9" t="s">
        <v>196</v>
      </c>
    </row>
    <row r="743" ht="14.25" customHeight="1">
      <c r="A743" s="27" t="s">
        <v>1461</v>
      </c>
      <c r="B743" s="27" t="s">
        <v>1455</v>
      </c>
      <c r="C743" s="27" t="str">
        <f t="array" ref="C743">INDEX(Funciones!$G$2:$G$372,MATCH($A743,Funciones!$B$2:$B$372,0))</f>
        <v>Mantener la altura del enganche entre _____ y _____ mm</v>
      </c>
      <c r="D743" s="27" t="s">
        <v>4112</v>
      </c>
      <c r="E743" s="27" t="s">
        <v>3210</v>
      </c>
      <c r="F743" s="27" t="s">
        <v>4113</v>
      </c>
      <c r="G743" s="27" t="s">
        <v>4114</v>
      </c>
      <c r="H743" s="18" t="str">
        <f t="array" ref="H743">_xlfn.XLOOKUP(E:E,'Calificación consecuencia'!B:B,'Calificación consecuencia'!K:K,"No encontrada",2)</f>
        <v>Baja</v>
      </c>
      <c r="I743" s="27" t="s">
        <v>1351</v>
      </c>
      <c r="J743" s="30" t="s">
        <v>116</v>
      </c>
      <c r="K743" s="21"/>
      <c r="L743" s="21"/>
      <c r="M743" s="30" t="s">
        <v>116</v>
      </c>
      <c r="N743" s="30" t="s">
        <v>116</v>
      </c>
      <c r="O743" s="21"/>
      <c r="P743" s="21"/>
      <c r="Q743" s="21"/>
      <c r="R743" s="21"/>
      <c r="S743" s="21"/>
      <c r="T743" s="21"/>
      <c r="U743" s="27" t="s">
        <v>195</v>
      </c>
      <c r="V743" s="27" t="s">
        <v>196</v>
      </c>
    </row>
    <row r="744" ht="14.25" customHeight="1">
      <c r="A744" s="27" t="s">
        <v>1461</v>
      </c>
      <c r="B744" s="27" t="s">
        <v>1455</v>
      </c>
      <c r="C744" s="27" t="str">
        <f t="array" ref="C744">INDEX(Funciones!$G$2:$G$372,MATCH($A744,Funciones!$B$2:$B$372,0))</f>
        <v>Mantener la altura del enganche entre _____ y _____ mm</v>
      </c>
      <c r="D744" s="27" t="s">
        <v>4115</v>
      </c>
      <c r="E744" s="27" t="s">
        <v>3217</v>
      </c>
      <c r="F744" s="27" t="s">
        <v>4116</v>
      </c>
      <c r="G744" s="27" t="s">
        <v>4117</v>
      </c>
      <c r="H744" s="18" t="str">
        <f t="array" ref="H744">_xlfn.XLOOKUP(E:E,'Calificación consecuencia'!B:B,'Calificación consecuencia'!K:K,"No encontrada",2)</f>
        <v>Baja</v>
      </c>
      <c r="I744" s="27" t="s">
        <v>1800</v>
      </c>
      <c r="J744" s="30" t="s">
        <v>116</v>
      </c>
      <c r="K744" s="21"/>
      <c r="L744" s="21"/>
      <c r="M744" s="29" t="s">
        <v>120</v>
      </c>
      <c r="N744" s="21"/>
      <c r="O744" s="30" t="s">
        <v>116</v>
      </c>
      <c r="P744" s="30" t="s">
        <v>116</v>
      </c>
      <c r="Q744" s="21"/>
      <c r="R744" s="21"/>
      <c r="S744" s="21"/>
      <c r="T744" s="21"/>
      <c r="U744" s="27" t="s">
        <v>345</v>
      </c>
      <c r="V744" s="27" t="s">
        <v>196</v>
      </c>
    </row>
    <row r="745" ht="14.25" customHeight="1">
      <c r="A745" s="27" t="s">
        <v>1461</v>
      </c>
      <c r="B745" s="27" t="s">
        <v>1455</v>
      </c>
      <c r="C745" s="27" t="str">
        <f t="array" ref="C745">INDEX(Funciones!$G$2:$G$372,MATCH($A745,Funciones!$B$2:$B$372,0))</f>
        <v>Mantener la altura del enganche entre _____ y _____ mm</v>
      </c>
      <c r="D745" s="27" t="s">
        <v>4118</v>
      </c>
      <c r="E745" s="27" t="s">
        <v>3225</v>
      </c>
      <c r="F745" s="27" t="s">
        <v>4119</v>
      </c>
      <c r="G745" s="27" t="s">
        <v>4120</v>
      </c>
      <c r="H745" s="18" t="str">
        <f t="array" ref="H745">_xlfn.XLOOKUP(E:E,'Calificación consecuencia'!B:B,'Calificación consecuencia'!K:K,"No encontrada",2)</f>
        <v>Media</v>
      </c>
      <c r="I745" s="27" t="s">
        <v>1800</v>
      </c>
      <c r="J745" s="30" t="s">
        <v>116</v>
      </c>
      <c r="K745" s="21"/>
      <c r="L745" s="21"/>
      <c r="M745" s="29" t="s">
        <v>120</v>
      </c>
      <c r="N745" s="21"/>
      <c r="O745" s="30" t="s">
        <v>116</v>
      </c>
      <c r="P745" s="29" t="s">
        <v>120</v>
      </c>
      <c r="Q745" s="29" t="s">
        <v>120</v>
      </c>
      <c r="R745" s="29" t="s">
        <v>120</v>
      </c>
      <c r="S745" s="21"/>
      <c r="T745" s="21"/>
      <c r="U745" s="27" t="s">
        <v>230</v>
      </c>
      <c r="V745" s="27" t="s">
        <v>230</v>
      </c>
    </row>
    <row r="746" ht="14.25" customHeight="1">
      <c r="A746" s="9" t="s">
        <v>1464</v>
      </c>
      <c r="B746" s="9" t="s">
        <v>1462</v>
      </c>
      <c r="C746" s="9" t="str">
        <f t="array" ref="C746">INDEX(Funciones!$G$2:$G$372,MATCH($A746,Funciones!$B$2:$B$372,0))</f>
        <v>Suministrar agua a presión de _____ bar</v>
      </c>
      <c r="D746" s="9" t="s">
        <v>4249</v>
      </c>
      <c r="E746" s="9" t="s">
        <v>3443</v>
      </c>
      <c r="F746" s="9" t="s">
        <v>4250</v>
      </c>
      <c r="G746" s="9" t="s">
        <v>4251</v>
      </c>
      <c r="H746" s="18" t="str">
        <f t="array" ref="H746">_xlfn.XLOOKUP(E:E,'Calificación consecuencia'!B:B,'Calificación consecuencia'!K:K,"No encontrada",2)</f>
        <v>Media</v>
      </c>
      <c r="I746" s="9" t="s">
        <v>425</v>
      </c>
      <c r="J746" s="20" t="s">
        <v>116</v>
      </c>
      <c r="K746" s="21"/>
      <c r="L746" s="21"/>
      <c r="M746" s="20" t="s">
        <v>116</v>
      </c>
      <c r="N746" s="20" t="s">
        <v>116</v>
      </c>
      <c r="O746" s="21"/>
      <c r="P746" s="21"/>
      <c r="Q746" s="21"/>
      <c r="R746" s="21"/>
      <c r="S746" s="21"/>
      <c r="T746" s="21"/>
      <c r="U746" s="9" t="s">
        <v>195</v>
      </c>
      <c r="V746" s="9" t="s">
        <v>196</v>
      </c>
    </row>
    <row r="747" ht="14.25" customHeight="1">
      <c r="A747" s="9" t="s">
        <v>1464</v>
      </c>
      <c r="B747" s="9" t="s">
        <v>1462</v>
      </c>
      <c r="C747" s="9" t="str">
        <f t="array" ref="C747">INDEX(Funciones!$G$2:$G$372,MATCH($A747,Funciones!$B$2:$B$372,0))</f>
        <v>Suministrar agua a presión de _____ bar</v>
      </c>
      <c r="D747" s="9" t="s">
        <v>4249</v>
      </c>
      <c r="E747" s="9" t="s">
        <v>3444</v>
      </c>
      <c r="F747" s="9" t="s">
        <v>4252</v>
      </c>
      <c r="G747" s="9" t="s">
        <v>4253</v>
      </c>
      <c r="H747" s="18" t="str">
        <f t="array" ref="H747">_xlfn.XLOOKUP(E:E,'Calificación consecuencia'!B:B,'Calificación consecuencia'!K:K,"No encontrada",2)</f>
        <v>Media</v>
      </c>
      <c r="I747" s="9" t="s">
        <v>425</v>
      </c>
      <c r="J747" s="20" t="s">
        <v>116</v>
      </c>
      <c r="K747" s="21"/>
      <c r="L747" s="21"/>
      <c r="M747" s="20" t="s">
        <v>116</v>
      </c>
      <c r="N747" s="20" t="s">
        <v>116</v>
      </c>
      <c r="O747" s="21"/>
      <c r="P747" s="21"/>
      <c r="Q747" s="21"/>
      <c r="R747" s="21"/>
      <c r="S747" s="21"/>
      <c r="T747" s="21"/>
      <c r="U747" s="9" t="s">
        <v>195</v>
      </c>
      <c r="V747" s="9" t="s">
        <v>196</v>
      </c>
    </row>
    <row r="748" ht="14.25" customHeight="1">
      <c r="A748" s="9" t="s">
        <v>1464</v>
      </c>
      <c r="B748" s="9" t="s">
        <v>1462</v>
      </c>
      <c r="C748" s="9" t="str">
        <f t="array" ref="C748">INDEX(Funciones!$G$2:$G$372,MATCH($A748,Funciones!$B$2:$B$372,0))</f>
        <v>Suministrar agua a presión de _____ bar</v>
      </c>
      <c r="D748" s="9" t="s">
        <v>4254</v>
      </c>
      <c r="E748" s="9" t="s">
        <v>3445</v>
      </c>
      <c r="F748" s="9" t="s">
        <v>4255</v>
      </c>
      <c r="G748" s="9" t="s">
        <v>4256</v>
      </c>
      <c r="H748" s="18" t="str">
        <f t="array" ref="H748">_xlfn.XLOOKUP(E:E,'Calificación consecuencia'!B:B,'Calificación consecuencia'!K:K,"No encontrada",2)</f>
        <v>Baja</v>
      </c>
      <c r="I748" s="9" t="s">
        <v>425</v>
      </c>
      <c r="J748" s="20" t="s">
        <v>116</v>
      </c>
      <c r="K748" s="21"/>
      <c r="L748" s="21"/>
      <c r="M748" s="20" t="s">
        <v>116</v>
      </c>
      <c r="N748" s="20" t="s">
        <v>116</v>
      </c>
      <c r="O748" s="21"/>
      <c r="P748" s="21"/>
      <c r="Q748" s="21"/>
      <c r="R748" s="21"/>
      <c r="S748" s="21"/>
      <c r="T748" s="21"/>
      <c r="U748" s="9" t="s">
        <v>195</v>
      </c>
      <c r="V748" s="9" t="s">
        <v>196</v>
      </c>
    </row>
    <row r="749" ht="14.25" customHeight="1">
      <c r="A749" s="9" t="s">
        <v>1464</v>
      </c>
      <c r="B749" s="9" t="s">
        <v>1462</v>
      </c>
      <c r="C749" s="9" t="str">
        <f t="array" ref="C749">INDEX(Funciones!$G$2:$G$372,MATCH($A749,Funciones!$B$2:$B$372,0))</f>
        <v>Suministrar agua a presión de _____ bar</v>
      </c>
      <c r="D749" s="9" t="s">
        <v>4254</v>
      </c>
      <c r="E749" s="9" t="s">
        <v>3448</v>
      </c>
      <c r="F749" s="9" t="s">
        <v>4257</v>
      </c>
      <c r="G749" s="9" t="s">
        <v>4258</v>
      </c>
      <c r="H749" s="18" t="str">
        <f t="array" ref="H749">_xlfn.XLOOKUP(E:E,'Calificación consecuencia'!B:B,'Calificación consecuencia'!K:K,"No encontrada",2)</f>
        <v>Baja</v>
      </c>
      <c r="I749" s="9" t="s">
        <v>1351</v>
      </c>
      <c r="J749" s="20" t="s">
        <v>116</v>
      </c>
      <c r="K749" s="21"/>
      <c r="L749" s="21"/>
      <c r="M749" s="20" t="s">
        <v>116</v>
      </c>
      <c r="N749" s="20" t="s">
        <v>116</v>
      </c>
      <c r="O749" s="21"/>
      <c r="P749" s="21"/>
      <c r="Q749" s="21"/>
      <c r="R749" s="21"/>
      <c r="S749" s="21"/>
      <c r="T749" s="21"/>
      <c r="U749" s="9" t="s">
        <v>195</v>
      </c>
      <c r="V749" s="9" t="s">
        <v>196</v>
      </c>
    </row>
    <row r="750" ht="14.25" customHeight="1">
      <c r="A750" s="27" t="s">
        <v>1476</v>
      </c>
      <c r="B750" s="27" t="s">
        <v>1475</v>
      </c>
      <c r="C750" s="27" t="str">
        <f t="array" ref="C750">INDEX(Funciones!$G$2:$G$372,MATCH($A750,Funciones!$B$2:$B$372,0))</f>
        <v>Almacenar agua contra incendio de 3.000 L</v>
      </c>
      <c r="D750" s="27" t="s">
        <v>4259</v>
      </c>
      <c r="E750" s="27" t="s">
        <v>3449</v>
      </c>
      <c r="F750" s="27" t="s">
        <v>4260</v>
      </c>
      <c r="G750" s="27" t="s">
        <v>4261</v>
      </c>
      <c r="H750" s="18" t="str">
        <f t="array" ref="H750">_xlfn.XLOOKUP(E:E,'Calificación consecuencia'!B:B,'Calificación consecuencia'!K:K,"No encontrada",2)</f>
        <v>Media</v>
      </c>
      <c r="I750" s="27" t="s">
        <v>425</v>
      </c>
      <c r="J750" s="30" t="s">
        <v>116</v>
      </c>
      <c r="K750" s="21"/>
      <c r="L750" s="21"/>
      <c r="M750" s="30" t="s">
        <v>116</v>
      </c>
      <c r="N750" s="30" t="s">
        <v>116</v>
      </c>
      <c r="O750" s="21"/>
      <c r="P750" s="21"/>
      <c r="Q750" s="21"/>
      <c r="R750" s="21"/>
      <c r="S750" s="21"/>
      <c r="T750" s="21"/>
      <c r="U750" s="27" t="s">
        <v>195</v>
      </c>
      <c r="V750" s="27" t="s">
        <v>196</v>
      </c>
    </row>
    <row r="751" ht="14.25" customHeight="1">
      <c r="A751" s="27" t="s">
        <v>1476</v>
      </c>
      <c r="B751" s="27" t="s">
        <v>1475</v>
      </c>
      <c r="C751" s="27" t="str">
        <f t="array" ref="C751">INDEX(Funciones!$G$2:$G$372,MATCH($A751,Funciones!$B$2:$B$372,0))</f>
        <v>Almacenar agua contra incendio de 3.000 L</v>
      </c>
      <c r="D751" s="27" t="s">
        <v>4262</v>
      </c>
      <c r="E751" s="27" t="s">
        <v>3450</v>
      </c>
      <c r="F751" s="27" t="s">
        <v>4263</v>
      </c>
      <c r="G751" s="27" t="s">
        <v>4264</v>
      </c>
      <c r="H751" s="18" t="str">
        <f t="array" ref="H751">_xlfn.XLOOKUP(E:E,'Calificación consecuencia'!B:B,'Calificación consecuencia'!K:K,"No encontrada",2)</f>
        <v>Baja</v>
      </c>
      <c r="I751" s="27" t="s">
        <v>1351</v>
      </c>
      <c r="J751" s="30" t="s">
        <v>116</v>
      </c>
      <c r="K751" s="21"/>
      <c r="L751" s="21"/>
      <c r="M751" s="30" t="s">
        <v>116</v>
      </c>
      <c r="N751" s="30" t="s">
        <v>116</v>
      </c>
      <c r="O751" s="21"/>
      <c r="P751" s="21"/>
      <c r="Q751" s="21"/>
      <c r="R751" s="21"/>
      <c r="S751" s="21"/>
      <c r="T751" s="21"/>
      <c r="U751" s="27" t="s">
        <v>195</v>
      </c>
      <c r="V751" s="27" t="s">
        <v>196</v>
      </c>
    </row>
    <row r="752" ht="14.25" customHeight="1">
      <c r="A752" s="27" t="s">
        <v>1476</v>
      </c>
      <c r="B752" s="27" t="s">
        <v>1475</v>
      </c>
      <c r="C752" s="27" t="str">
        <f t="array" ref="C752">INDEX(Funciones!$G$2:$G$372,MATCH($A752,Funciones!$B$2:$B$372,0))</f>
        <v>Almacenar agua contra incendio de 3.000 L</v>
      </c>
      <c r="D752" s="27" t="s">
        <v>4262</v>
      </c>
      <c r="E752" s="27" t="s">
        <v>3451</v>
      </c>
      <c r="F752" s="27" t="s">
        <v>4265</v>
      </c>
      <c r="G752" s="27" t="s">
        <v>4266</v>
      </c>
      <c r="H752" s="18" t="str">
        <f t="array" ref="H752">_xlfn.XLOOKUP(E:E,'Calificación consecuencia'!B:B,'Calificación consecuencia'!K:K,"No encontrada",2)</f>
        <v>Media</v>
      </c>
      <c r="I752" s="27" t="s">
        <v>425</v>
      </c>
      <c r="J752" s="30" t="s">
        <v>116</v>
      </c>
      <c r="K752" s="21"/>
      <c r="L752" s="21"/>
      <c r="M752" s="30" t="s">
        <v>116</v>
      </c>
      <c r="N752" s="30" t="s">
        <v>116</v>
      </c>
      <c r="O752" s="21"/>
      <c r="P752" s="21"/>
      <c r="Q752" s="21"/>
      <c r="R752" s="21"/>
      <c r="S752" s="21"/>
      <c r="T752" s="21"/>
      <c r="U752" s="27" t="s">
        <v>195</v>
      </c>
      <c r="V752" s="27" t="s">
        <v>196</v>
      </c>
    </row>
    <row r="753" ht="14.25" customHeight="1">
      <c r="A753" s="9" t="s">
        <v>1487</v>
      </c>
      <c r="B753" s="9" t="s">
        <v>1486</v>
      </c>
      <c r="C753" s="9" t="str">
        <f t="array" ref="C753">INDEX(Funciones!$G$2:$G$372,MATCH($A753,Funciones!$B$2:$B$372,0))</f>
        <v>Comprimir el aire a una presión de _____ bar</v>
      </c>
      <c r="D753" s="9" t="s">
        <v>3403</v>
      </c>
      <c r="E753" s="9" t="s">
        <v>999</v>
      </c>
      <c r="F753" s="9" t="s">
        <v>2657</v>
      </c>
      <c r="G753" s="9" t="s">
        <v>2658</v>
      </c>
      <c r="H753" s="18" t="str">
        <f t="array" ref="H753">_xlfn.XLOOKUP(E:E,'Calificación consecuencia'!B:B,'Calificación consecuencia'!K:K,"No encontrada",2)</f>
        <v>Media</v>
      </c>
      <c r="I753" s="9" t="s">
        <v>1800</v>
      </c>
      <c r="J753" s="20" t="s">
        <v>116</v>
      </c>
      <c r="K753" s="21"/>
      <c r="L753" s="21"/>
      <c r="M753" s="20" t="s">
        <v>116</v>
      </c>
      <c r="N753" s="20" t="s">
        <v>116</v>
      </c>
      <c r="O753" s="21"/>
      <c r="P753" s="21"/>
      <c r="Q753" s="21"/>
      <c r="R753" s="21"/>
      <c r="S753" s="21"/>
      <c r="T753" s="21"/>
      <c r="U753" s="9" t="s">
        <v>195</v>
      </c>
      <c r="V753" s="9" t="s">
        <v>196</v>
      </c>
    </row>
    <row r="754" ht="14.25" customHeight="1">
      <c r="A754" s="9" t="s">
        <v>1487</v>
      </c>
      <c r="B754" s="9" t="s">
        <v>1486</v>
      </c>
      <c r="C754" s="9" t="str">
        <f t="array" ref="C754">INDEX(Funciones!$G$2:$G$372,MATCH($A754,Funciones!$B$2:$B$372,0))</f>
        <v>Comprimir el aire a una presión de _____ bar</v>
      </c>
      <c r="D754" s="9" t="s">
        <v>3403</v>
      </c>
      <c r="E754" s="9" t="s">
        <v>1005</v>
      </c>
      <c r="F754" s="9" t="s">
        <v>2677</v>
      </c>
      <c r="G754" s="9" t="s">
        <v>2679</v>
      </c>
      <c r="H754" s="18" t="str">
        <f t="array" ref="H754">_xlfn.XLOOKUP(E:E,'Calificación consecuencia'!B:B,'Calificación consecuencia'!K:K,"No encontrada",2)</f>
        <v>Baja</v>
      </c>
      <c r="I754" s="9" t="s">
        <v>2694</v>
      </c>
      <c r="J754" s="20" t="s">
        <v>116</v>
      </c>
      <c r="K754" s="21"/>
      <c r="L754" s="21"/>
      <c r="M754" s="20" t="s">
        <v>116</v>
      </c>
      <c r="N754" s="20" t="s">
        <v>116</v>
      </c>
      <c r="O754" s="21"/>
      <c r="P754" s="21"/>
      <c r="Q754" s="21"/>
      <c r="R754" s="21"/>
      <c r="S754" s="21"/>
      <c r="T754" s="21"/>
      <c r="U754" s="9" t="s">
        <v>195</v>
      </c>
      <c r="V754" s="9" t="s">
        <v>196</v>
      </c>
    </row>
    <row r="755" ht="14.25" customHeight="1">
      <c r="A755" s="9" t="s">
        <v>1487</v>
      </c>
      <c r="B755" s="9" t="s">
        <v>1486</v>
      </c>
      <c r="C755" s="9" t="str">
        <f t="array" ref="C755">INDEX(Funciones!$G$2:$G$372,MATCH($A755,Funciones!$B$2:$B$372,0))</f>
        <v>Comprimir el aire a una presión de _____ bar</v>
      </c>
      <c r="D755" s="9" t="s">
        <v>3403</v>
      </c>
      <c r="E755" s="9" t="s">
        <v>1017</v>
      </c>
      <c r="F755" s="9" t="s">
        <v>2709</v>
      </c>
      <c r="G755" s="9" t="s">
        <v>2710</v>
      </c>
      <c r="H755" s="18" t="str">
        <f t="array" ref="H755">_xlfn.XLOOKUP(E:E,'Calificación consecuencia'!B:B,'Calificación consecuencia'!K:K,"No encontrada",2)</f>
        <v>Media</v>
      </c>
      <c r="I755" s="9" t="s">
        <v>1800</v>
      </c>
      <c r="J755" s="20" t="s">
        <v>116</v>
      </c>
      <c r="K755" s="21"/>
      <c r="L755" s="21"/>
      <c r="M755" s="20" t="s">
        <v>116</v>
      </c>
      <c r="N755" s="20" t="s">
        <v>116</v>
      </c>
      <c r="O755" s="21"/>
      <c r="P755" s="21"/>
      <c r="Q755" s="21"/>
      <c r="R755" s="21"/>
      <c r="S755" s="21"/>
      <c r="T755" s="21"/>
      <c r="U755" s="9" t="s">
        <v>195</v>
      </c>
      <c r="V755" s="9" t="s">
        <v>196</v>
      </c>
    </row>
    <row r="756" ht="14.25" customHeight="1">
      <c r="A756" s="9" t="s">
        <v>1487</v>
      </c>
      <c r="B756" s="9" t="s">
        <v>1486</v>
      </c>
      <c r="C756" s="9" t="str">
        <f t="array" ref="C756">INDEX(Funciones!$G$2:$G$372,MATCH($A756,Funciones!$B$2:$B$372,0))</f>
        <v>Comprimir el aire a una presión de _____ bar</v>
      </c>
      <c r="D756" s="9" t="s">
        <v>3404</v>
      </c>
      <c r="E756" s="9" t="s">
        <v>727</v>
      </c>
      <c r="F756" s="9" t="s">
        <v>3405</v>
      </c>
      <c r="G756" s="9" t="s">
        <v>1792</v>
      </c>
      <c r="H756" s="18" t="str">
        <f t="array" ref="H756">_xlfn.XLOOKUP(E:E,'Calificación consecuencia'!B:B,'Calificación consecuencia'!K:K,"No encontrada",2)</f>
        <v>Baja</v>
      </c>
      <c r="I756" s="9" t="s">
        <v>1800</v>
      </c>
      <c r="J756" s="20" t="s">
        <v>116</v>
      </c>
      <c r="K756" s="21"/>
      <c r="L756" s="21"/>
      <c r="M756" s="22" t="s">
        <v>120</v>
      </c>
      <c r="N756" s="21"/>
      <c r="O756" s="20" t="s">
        <v>116</v>
      </c>
      <c r="P756" s="20" t="s">
        <v>116</v>
      </c>
      <c r="Q756" s="21"/>
      <c r="R756" s="21"/>
      <c r="S756" s="21"/>
      <c r="T756" s="21"/>
      <c r="U756" s="9" t="s">
        <v>345</v>
      </c>
      <c r="V756" s="9" t="s">
        <v>196</v>
      </c>
    </row>
    <row r="757" ht="14.25" customHeight="1">
      <c r="A757" s="9" t="s">
        <v>1487</v>
      </c>
      <c r="B757" s="9" t="s">
        <v>1486</v>
      </c>
      <c r="C757" s="9" t="str">
        <f t="array" ref="C757">INDEX(Funciones!$G$2:$G$372,MATCH($A757,Funciones!$B$2:$B$372,0))</f>
        <v>Comprimir el aire a una presión de _____ bar</v>
      </c>
      <c r="D757" s="9" t="s">
        <v>3404</v>
      </c>
      <c r="E757" s="9" t="s">
        <v>1036</v>
      </c>
      <c r="F757" s="9" t="s">
        <v>3406</v>
      </c>
      <c r="G757" s="9" t="s">
        <v>2810</v>
      </c>
      <c r="H757" s="18" t="str">
        <f t="array" ref="H757">_xlfn.XLOOKUP(E:E,'Calificación consecuencia'!B:B,'Calificación consecuencia'!K:K,"No encontrada",2)</f>
        <v>Baja</v>
      </c>
      <c r="I757" s="9" t="s">
        <v>2106</v>
      </c>
      <c r="J757" s="20" t="s">
        <v>116</v>
      </c>
      <c r="K757" s="21"/>
      <c r="L757" s="21"/>
      <c r="M757" s="22" t="s">
        <v>120</v>
      </c>
      <c r="N757" s="21"/>
      <c r="O757" s="20" t="s">
        <v>116</v>
      </c>
      <c r="P757" s="20" t="s">
        <v>116</v>
      </c>
      <c r="Q757" s="21"/>
      <c r="R757" s="21"/>
      <c r="S757" s="21"/>
      <c r="T757" s="21"/>
      <c r="U757" s="9" t="s">
        <v>345</v>
      </c>
      <c r="V757" s="9" t="s">
        <v>196</v>
      </c>
    </row>
    <row r="758" ht="14.25" customHeight="1">
      <c r="A758" s="9" t="s">
        <v>1487</v>
      </c>
      <c r="B758" s="9" t="s">
        <v>1486</v>
      </c>
      <c r="C758" s="9" t="str">
        <f t="array" ref="C758">INDEX(Funciones!$G$2:$G$372,MATCH($A758,Funciones!$B$2:$B$372,0))</f>
        <v>Comprimir el aire a una presión de _____ bar</v>
      </c>
      <c r="D758" s="9" t="s">
        <v>3409</v>
      </c>
      <c r="E758" s="9" t="s">
        <v>1421</v>
      </c>
      <c r="F758" s="9" t="s">
        <v>3410</v>
      </c>
      <c r="G758" s="9" t="s">
        <v>2841</v>
      </c>
      <c r="H758" s="18" t="str">
        <f t="array" ref="H758">_xlfn.XLOOKUP(E:E,'Calificación consecuencia'!B:B,'Calificación consecuencia'!K:K,"No encontrada",2)</f>
        <v>Baja</v>
      </c>
      <c r="I758" s="9" t="s">
        <v>2106</v>
      </c>
      <c r="J758" s="20" t="s">
        <v>116</v>
      </c>
      <c r="K758" s="21"/>
      <c r="L758" s="21"/>
      <c r="M758" s="22" t="s">
        <v>120</v>
      </c>
      <c r="N758" s="21"/>
      <c r="O758" s="22" t="s">
        <v>120</v>
      </c>
      <c r="P758" s="21"/>
      <c r="Q758" s="21"/>
      <c r="R758" s="21"/>
      <c r="S758" s="22" t="s">
        <v>120</v>
      </c>
      <c r="T758" s="21"/>
      <c r="U758" s="9" t="s">
        <v>1680</v>
      </c>
      <c r="V758" s="9" t="s">
        <v>1408</v>
      </c>
    </row>
    <row r="759" ht="14.25" customHeight="1">
      <c r="A759" s="9" t="s">
        <v>1487</v>
      </c>
      <c r="B759" s="9" t="s">
        <v>1486</v>
      </c>
      <c r="C759" s="9" t="str">
        <f t="array" ref="C759">INDEX(Funciones!$G$2:$G$372,MATCH($A759,Funciones!$B$2:$B$372,0))</f>
        <v>Comprimir el aire a una presión de _____ bar</v>
      </c>
      <c r="D759" s="9" t="s">
        <v>3409</v>
      </c>
      <c r="E759" s="9" t="s">
        <v>1426</v>
      </c>
      <c r="F759" s="9" t="s">
        <v>3411</v>
      </c>
      <c r="G759" s="9" t="s">
        <v>1888</v>
      </c>
      <c r="H759" s="18" t="str">
        <f t="array" ref="H759">_xlfn.XLOOKUP(E:E,'Calificación consecuencia'!B:B,'Calificación consecuencia'!K:K,"No encontrada",2)</f>
        <v>Baja</v>
      </c>
      <c r="I759" s="9" t="s">
        <v>2106</v>
      </c>
      <c r="J759" s="20" t="s">
        <v>116</v>
      </c>
      <c r="K759" s="21"/>
      <c r="L759" s="21"/>
      <c r="M759" s="22" t="s">
        <v>120</v>
      </c>
      <c r="N759" s="21"/>
      <c r="O759" s="22" t="s">
        <v>120</v>
      </c>
      <c r="P759" s="21"/>
      <c r="Q759" s="21"/>
      <c r="R759" s="21"/>
      <c r="S759" s="22" t="s">
        <v>120</v>
      </c>
      <c r="T759" s="21"/>
      <c r="U759" s="9" t="s">
        <v>1680</v>
      </c>
      <c r="V759" s="9" t="s">
        <v>1408</v>
      </c>
    </row>
    <row r="760" ht="14.25" customHeight="1">
      <c r="A760" s="27" t="s">
        <v>1492</v>
      </c>
      <c r="B760" s="27" t="s">
        <v>1486</v>
      </c>
      <c r="C760" s="27" t="str">
        <f t="array" ref="C760">INDEX(Funciones!$G$2:$G$372,MATCH($A760,Funciones!$B$2:$B$372,0))</f>
        <v>Suministrar caudal de aire de _____ L/min</v>
      </c>
      <c r="D760" s="27" t="s">
        <v>4123</v>
      </c>
      <c r="E760" s="27" t="s">
        <v>999</v>
      </c>
      <c r="F760" s="27" t="s">
        <v>2657</v>
      </c>
      <c r="G760" s="27" t="s">
        <v>2658</v>
      </c>
      <c r="H760" s="18" t="str">
        <f t="array" ref="H760">_xlfn.XLOOKUP(E:E,'Calificación consecuencia'!B:B,'Calificación consecuencia'!K:K,"No encontrada",2)</f>
        <v>Media</v>
      </c>
      <c r="I760" s="27" t="s">
        <v>1800</v>
      </c>
      <c r="J760" s="30" t="s">
        <v>116</v>
      </c>
      <c r="K760" s="21"/>
      <c r="L760" s="21"/>
      <c r="M760" s="30" t="s">
        <v>116</v>
      </c>
      <c r="N760" s="30" t="s">
        <v>116</v>
      </c>
      <c r="O760" s="21"/>
      <c r="P760" s="21"/>
      <c r="Q760" s="21"/>
      <c r="R760" s="21"/>
      <c r="S760" s="21"/>
      <c r="T760" s="21"/>
      <c r="U760" s="27" t="s">
        <v>195</v>
      </c>
      <c r="V760" s="27" t="s">
        <v>196</v>
      </c>
    </row>
    <row r="761" ht="14.25" customHeight="1">
      <c r="A761" s="27" t="s">
        <v>1492</v>
      </c>
      <c r="B761" s="27" t="s">
        <v>1486</v>
      </c>
      <c r="C761" s="27" t="str">
        <f t="array" ref="C761">INDEX(Funciones!$G$2:$G$372,MATCH($A761,Funciones!$B$2:$B$372,0))</f>
        <v>Suministrar caudal de aire de _____ L/min</v>
      </c>
      <c r="D761" s="27" t="s">
        <v>4123</v>
      </c>
      <c r="E761" s="27" t="s">
        <v>1005</v>
      </c>
      <c r="F761" s="27" t="s">
        <v>2677</v>
      </c>
      <c r="G761" s="27" t="s">
        <v>2679</v>
      </c>
      <c r="H761" s="18" t="str">
        <f t="array" ref="H761">_xlfn.XLOOKUP(E:E,'Calificación consecuencia'!B:B,'Calificación consecuencia'!K:K,"No encontrada",2)</f>
        <v>Baja</v>
      </c>
      <c r="I761" s="27" t="s">
        <v>2694</v>
      </c>
      <c r="J761" s="30" t="s">
        <v>116</v>
      </c>
      <c r="K761" s="21"/>
      <c r="L761" s="21"/>
      <c r="M761" s="30" t="s">
        <v>116</v>
      </c>
      <c r="N761" s="30" t="s">
        <v>116</v>
      </c>
      <c r="O761" s="21"/>
      <c r="P761" s="21"/>
      <c r="Q761" s="21"/>
      <c r="R761" s="21"/>
      <c r="S761" s="21"/>
      <c r="T761" s="21"/>
      <c r="U761" s="27" t="s">
        <v>195</v>
      </c>
      <c r="V761" s="27" t="s">
        <v>196</v>
      </c>
    </row>
    <row r="762" ht="14.25" customHeight="1">
      <c r="A762" s="27" t="s">
        <v>1492</v>
      </c>
      <c r="B762" s="27" t="s">
        <v>1486</v>
      </c>
      <c r="C762" s="27" t="str">
        <f t="array" ref="C762">INDEX(Funciones!$G$2:$G$372,MATCH($A762,Funciones!$B$2:$B$372,0))</f>
        <v>Suministrar caudal de aire de _____ L/min</v>
      </c>
      <c r="D762" s="27" t="s">
        <v>4123</v>
      </c>
      <c r="E762" s="27" t="s">
        <v>1017</v>
      </c>
      <c r="F762" s="27" t="s">
        <v>2709</v>
      </c>
      <c r="G762" s="27" t="s">
        <v>2710</v>
      </c>
      <c r="H762" s="18" t="str">
        <f t="array" ref="H762">_xlfn.XLOOKUP(E:E,'Calificación consecuencia'!B:B,'Calificación consecuencia'!K:K,"No encontrada",2)</f>
        <v>Media</v>
      </c>
      <c r="I762" s="27" t="s">
        <v>1800</v>
      </c>
      <c r="J762" s="30" t="s">
        <v>116</v>
      </c>
      <c r="K762" s="21"/>
      <c r="L762" s="21"/>
      <c r="M762" s="30" t="s">
        <v>116</v>
      </c>
      <c r="N762" s="30" t="s">
        <v>116</v>
      </c>
      <c r="O762" s="21"/>
      <c r="P762" s="21"/>
      <c r="Q762" s="21"/>
      <c r="R762" s="21"/>
      <c r="S762" s="21"/>
      <c r="T762" s="21"/>
      <c r="U762" s="27" t="s">
        <v>195</v>
      </c>
      <c r="V762" s="27" t="s">
        <v>196</v>
      </c>
    </row>
    <row r="763" ht="14.25" customHeight="1">
      <c r="A763" s="27" t="s">
        <v>1492</v>
      </c>
      <c r="B763" s="27" t="s">
        <v>1486</v>
      </c>
      <c r="C763" s="27" t="str">
        <f t="array" ref="C763">INDEX(Funciones!$G$2:$G$372,MATCH($A763,Funciones!$B$2:$B$372,0))</f>
        <v>Suministrar caudal de aire de _____ L/min</v>
      </c>
      <c r="D763" s="27" t="s">
        <v>4124</v>
      </c>
      <c r="E763" s="27" t="s">
        <v>727</v>
      </c>
      <c r="F763" s="27" t="s">
        <v>2744</v>
      </c>
      <c r="G763" s="27" t="s">
        <v>1792</v>
      </c>
      <c r="H763" s="18" t="str">
        <f t="array" ref="H763">_xlfn.XLOOKUP(E:E,'Calificación consecuencia'!B:B,'Calificación consecuencia'!K:K,"No encontrada",2)</f>
        <v>Baja</v>
      </c>
      <c r="I763" s="27" t="s">
        <v>1800</v>
      </c>
      <c r="J763" s="30" t="s">
        <v>116</v>
      </c>
      <c r="K763" s="21"/>
      <c r="L763" s="21"/>
      <c r="M763" s="29" t="s">
        <v>120</v>
      </c>
      <c r="N763" s="21"/>
      <c r="O763" s="30" t="s">
        <v>116</v>
      </c>
      <c r="P763" s="30" t="s">
        <v>116</v>
      </c>
      <c r="Q763" s="21"/>
      <c r="R763" s="21"/>
      <c r="S763" s="21"/>
      <c r="T763" s="21"/>
      <c r="U763" s="27" t="s">
        <v>345</v>
      </c>
      <c r="V763" s="27" t="s">
        <v>196</v>
      </c>
    </row>
    <row r="764" ht="14.25" customHeight="1">
      <c r="A764" s="27" t="s">
        <v>1492</v>
      </c>
      <c r="B764" s="27" t="s">
        <v>1486</v>
      </c>
      <c r="C764" s="27" t="str">
        <f t="array" ref="C764">INDEX(Funciones!$G$2:$G$372,MATCH($A764,Funciones!$B$2:$B$372,0))</f>
        <v>Suministrar caudal de aire de _____ L/min</v>
      </c>
      <c r="D764" s="27" t="s">
        <v>4124</v>
      </c>
      <c r="E764" s="27" t="s">
        <v>1031</v>
      </c>
      <c r="F764" s="27" t="s">
        <v>2776</v>
      </c>
      <c r="G764" s="27" t="s">
        <v>2777</v>
      </c>
      <c r="H764" s="18" t="str">
        <f t="array" ref="H764">_xlfn.XLOOKUP(E:E,'Calificación consecuencia'!B:B,'Calificación consecuencia'!K:K,"No encontrada",2)</f>
        <v>Baja</v>
      </c>
      <c r="I764" s="27" t="s">
        <v>2106</v>
      </c>
      <c r="J764" s="30" t="s">
        <v>116</v>
      </c>
      <c r="K764" s="21"/>
      <c r="L764" s="21"/>
      <c r="M764" s="29" t="s">
        <v>120</v>
      </c>
      <c r="N764" s="21"/>
      <c r="O764" s="29" t="s">
        <v>120</v>
      </c>
      <c r="P764" s="21"/>
      <c r="Q764" s="21"/>
      <c r="R764" s="21"/>
      <c r="S764" s="29" t="s">
        <v>120</v>
      </c>
      <c r="T764" s="21"/>
      <c r="U764" s="27" t="s">
        <v>1680</v>
      </c>
      <c r="V764" s="27" t="s">
        <v>1408</v>
      </c>
    </row>
    <row r="765" ht="14.25" customHeight="1">
      <c r="A765" s="27" t="s">
        <v>1492</v>
      </c>
      <c r="B765" s="27" t="s">
        <v>1486</v>
      </c>
      <c r="C765" s="27" t="str">
        <f t="array" ref="C765">INDEX(Funciones!$G$2:$G$372,MATCH($A765,Funciones!$B$2:$B$372,0))</f>
        <v>Suministrar caudal de aire de _____ L/min</v>
      </c>
      <c r="D765" s="27" t="s">
        <v>4124</v>
      </c>
      <c r="E765" s="27" t="s">
        <v>1036</v>
      </c>
      <c r="F765" s="27" t="s">
        <v>2808</v>
      </c>
      <c r="G765" s="27" t="s">
        <v>2810</v>
      </c>
      <c r="H765" s="18" t="str">
        <f t="array" ref="H765">_xlfn.XLOOKUP(E:E,'Calificación consecuencia'!B:B,'Calificación consecuencia'!K:K,"No encontrada",2)</f>
        <v>Baja</v>
      </c>
      <c r="I765" s="27" t="s">
        <v>2106</v>
      </c>
      <c r="J765" s="30" t="s">
        <v>116</v>
      </c>
      <c r="K765" s="21"/>
      <c r="L765" s="21"/>
      <c r="M765" s="29" t="s">
        <v>120</v>
      </c>
      <c r="N765" s="21"/>
      <c r="O765" s="30" t="s">
        <v>116</v>
      </c>
      <c r="P765" s="30" t="s">
        <v>116</v>
      </c>
      <c r="Q765" s="21"/>
      <c r="R765" s="21"/>
      <c r="S765" s="21"/>
      <c r="T765" s="21"/>
      <c r="U765" s="27" t="s">
        <v>345</v>
      </c>
      <c r="V765" s="27" t="s">
        <v>196</v>
      </c>
    </row>
    <row r="766" ht="14.25" customHeight="1">
      <c r="A766" s="27" t="s">
        <v>1492</v>
      </c>
      <c r="B766" s="27" t="s">
        <v>1486</v>
      </c>
      <c r="C766" s="27" t="str">
        <f t="array" ref="C766">INDEX(Funciones!$G$2:$G$372,MATCH($A766,Funciones!$B$2:$B$372,0))</f>
        <v>Suministrar caudal de aire de _____ L/min</v>
      </c>
      <c r="D766" s="27" t="s">
        <v>4124</v>
      </c>
      <c r="E766" s="27" t="s">
        <v>1041</v>
      </c>
      <c r="F766" s="27" t="s">
        <v>2838</v>
      </c>
      <c r="G766" s="27" t="s">
        <v>2841</v>
      </c>
      <c r="H766" s="18" t="str">
        <f t="array" ref="H766">_xlfn.XLOOKUP(E:E,'Calificación consecuencia'!B:B,'Calificación consecuencia'!K:K,"No encontrada",2)</f>
        <v>Baja</v>
      </c>
      <c r="I766" s="27" t="s">
        <v>2106</v>
      </c>
      <c r="J766" s="30" t="s">
        <v>116</v>
      </c>
      <c r="K766" s="21"/>
      <c r="L766" s="21"/>
      <c r="M766" s="29" t="s">
        <v>120</v>
      </c>
      <c r="N766" s="21"/>
      <c r="O766" s="29" t="s">
        <v>120</v>
      </c>
      <c r="P766" s="21"/>
      <c r="Q766" s="21"/>
      <c r="R766" s="21"/>
      <c r="S766" s="29" t="s">
        <v>120</v>
      </c>
      <c r="T766" s="21"/>
      <c r="U766" s="27" t="s">
        <v>1680</v>
      </c>
      <c r="V766" s="27" t="s">
        <v>1408</v>
      </c>
    </row>
    <row r="767" ht="14.25" customHeight="1">
      <c r="A767" s="27" t="s">
        <v>1492</v>
      </c>
      <c r="B767" s="27" t="s">
        <v>1486</v>
      </c>
      <c r="C767" s="27" t="str">
        <f t="array" ref="C767">INDEX(Funciones!$G$2:$G$372,MATCH($A767,Funciones!$B$2:$B$372,0))</f>
        <v>Suministrar caudal de aire de _____ L/min</v>
      </c>
      <c r="D767" s="27" t="s">
        <v>4124</v>
      </c>
      <c r="E767" s="27" t="s">
        <v>1047</v>
      </c>
      <c r="F767" s="27" t="s">
        <v>2875</v>
      </c>
      <c r="G767" s="27" t="s">
        <v>1888</v>
      </c>
      <c r="H767" s="18" t="str">
        <f t="array" ref="H767">_xlfn.XLOOKUP(E:E,'Calificación consecuencia'!B:B,'Calificación consecuencia'!K:K,"No encontrada",2)</f>
        <v>Baja</v>
      </c>
      <c r="I767" s="27" t="s">
        <v>2106</v>
      </c>
      <c r="J767" s="30" t="s">
        <v>116</v>
      </c>
      <c r="K767" s="21"/>
      <c r="L767" s="21"/>
      <c r="M767" s="29" t="s">
        <v>120</v>
      </c>
      <c r="N767" s="21"/>
      <c r="O767" s="29" t="s">
        <v>120</v>
      </c>
      <c r="P767" s="21"/>
      <c r="Q767" s="21"/>
      <c r="R767" s="21"/>
      <c r="S767" s="29" t="s">
        <v>120</v>
      </c>
      <c r="T767" s="21"/>
      <c r="U767" s="27" t="s">
        <v>1680</v>
      </c>
      <c r="V767" s="27" t="s">
        <v>1408</v>
      </c>
    </row>
    <row r="768" ht="14.25" customHeight="1">
      <c r="A768" s="9" t="s">
        <v>1496</v>
      </c>
      <c r="B768" s="9" t="s">
        <v>1495</v>
      </c>
      <c r="C768" s="9" t="str">
        <f t="array" ref="C768">INDEX(Funciones!$G$2:$G$372,MATCH($A768,Funciones!$B$2:$B$372,0))</f>
        <v>Secar el aire comprimido con punto de rocío máximo de +3 °C</v>
      </c>
      <c r="D768" s="9" t="s">
        <v>2016</v>
      </c>
      <c r="E768" s="9" t="s">
        <v>820</v>
      </c>
      <c r="F768" s="9" t="s">
        <v>2017</v>
      </c>
      <c r="G768" s="9" t="s">
        <v>2019</v>
      </c>
      <c r="H768" s="18" t="str">
        <f t="array" ref="H768">_xlfn.XLOOKUP(E:E,'Calificación consecuencia'!B:B,'Calificación consecuencia'!K:K,"No encontrada",2)</f>
        <v>Media</v>
      </c>
      <c r="I768" s="9" t="s">
        <v>425</v>
      </c>
      <c r="J768" s="22" t="s">
        <v>120</v>
      </c>
      <c r="K768" s="20" t="s">
        <v>116</v>
      </c>
      <c r="L768" s="21"/>
      <c r="M768" s="21"/>
      <c r="N768" s="21"/>
      <c r="O768" s="21"/>
      <c r="P768" s="21"/>
      <c r="Q768" s="21"/>
      <c r="R768" s="21"/>
      <c r="S768" s="21"/>
      <c r="T768" s="21"/>
      <c r="U768" s="9" t="s">
        <v>439</v>
      </c>
      <c r="V768" s="9" t="s">
        <v>440</v>
      </c>
    </row>
    <row r="769" ht="14.25" customHeight="1">
      <c r="A769" s="9" t="s">
        <v>1496</v>
      </c>
      <c r="B769" s="9" t="s">
        <v>1495</v>
      </c>
      <c r="C769" s="9" t="str">
        <f t="array" ref="C769">INDEX(Funciones!$G$2:$G$372,MATCH($A769,Funciones!$B$2:$B$372,0))</f>
        <v>Secar el aire comprimido con punto de rocío máximo de +3 °C</v>
      </c>
      <c r="D769" s="9" t="s">
        <v>2016</v>
      </c>
      <c r="E769" s="9" t="s">
        <v>825</v>
      </c>
      <c r="F769" s="9" t="s">
        <v>2044</v>
      </c>
      <c r="G769" s="9" t="s">
        <v>2045</v>
      </c>
      <c r="H769" s="18" t="str">
        <f t="array" ref="H769">_xlfn.XLOOKUP(E:E,'Calificación consecuencia'!B:B,'Calificación consecuencia'!K:K,"No encontrada",2)</f>
        <v>Media</v>
      </c>
      <c r="I769" s="9" t="s">
        <v>425</v>
      </c>
      <c r="J769" s="22" t="s">
        <v>120</v>
      </c>
      <c r="K769" s="20" t="s">
        <v>116</v>
      </c>
      <c r="L769" s="21"/>
      <c r="M769" s="21"/>
      <c r="N769" s="21"/>
      <c r="O769" s="21"/>
      <c r="P769" s="21"/>
      <c r="Q769" s="21"/>
      <c r="R769" s="21"/>
      <c r="S769" s="21"/>
      <c r="T769" s="21"/>
      <c r="U769" s="9" t="s">
        <v>439</v>
      </c>
      <c r="V769" s="9" t="s">
        <v>440</v>
      </c>
    </row>
    <row r="770" ht="14.25" customHeight="1">
      <c r="A770" s="9" t="s">
        <v>1496</v>
      </c>
      <c r="B770" s="9" t="s">
        <v>1495</v>
      </c>
      <c r="C770" s="9" t="str">
        <f t="array" ref="C770">INDEX(Funciones!$G$2:$G$372,MATCH($A770,Funciones!$B$2:$B$372,0))</f>
        <v>Secar el aire comprimido con punto de rocío máximo de +3 °C</v>
      </c>
      <c r="D770" s="9" t="s">
        <v>2016</v>
      </c>
      <c r="E770" s="9" t="s">
        <v>827</v>
      </c>
      <c r="F770" s="9" t="s">
        <v>2056</v>
      </c>
      <c r="G770" s="9" t="s">
        <v>2057</v>
      </c>
      <c r="H770" s="18" t="str">
        <f t="array" ref="H770">_xlfn.XLOOKUP(E:E,'Calificación consecuencia'!B:B,'Calificación consecuencia'!K:K,"No encontrada",2)</f>
        <v>Media</v>
      </c>
      <c r="I770" s="9" t="s">
        <v>425</v>
      </c>
      <c r="J770" s="22" t="s">
        <v>120</v>
      </c>
      <c r="K770" s="20" t="s">
        <v>116</v>
      </c>
      <c r="L770" s="21"/>
      <c r="M770" s="21"/>
      <c r="N770" s="21"/>
      <c r="O770" s="21"/>
      <c r="P770" s="21"/>
      <c r="Q770" s="21"/>
      <c r="R770" s="21"/>
      <c r="S770" s="21"/>
      <c r="T770" s="21"/>
      <c r="U770" s="9" t="s">
        <v>439</v>
      </c>
      <c r="V770" s="9" t="s">
        <v>440</v>
      </c>
    </row>
    <row r="771" ht="14.25" customHeight="1">
      <c r="A771" s="9" t="s">
        <v>1496</v>
      </c>
      <c r="B771" s="9" t="s">
        <v>1495</v>
      </c>
      <c r="C771" s="9" t="str">
        <f t="array" ref="C771">INDEX(Funciones!$G$2:$G$372,MATCH($A771,Funciones!$B$2:$B$372,0))</f>
        <v>Secar el aire comprimido con punto de rocío máximo de +3 °C</v>
      </c>
      <c r="D771" s="9" t="s">
        <v>2090</v>
      </c>
      <c r="E771" s="9" t="s">
        <v>836</v>
      </c>
      <c r="F771" s="9" t="s">
        <v>2091</v>
      </c>
      <c r="G771" s="9" t="s">
        <v>2093</v>
      </c>
      <c r="H771" s="18" t="str">
        <f t="array" ref="H771">_xlfn.XLOOKUP(E:E,'Calificación consecuencia'!B:B,'Calificación consecuencia'!K:K,"No encontrada",2)</f>
        <v>Baja</v>
      </c>
      <c r="I771" s="9" t="s">
        <v>2106</v>
      </c>
      <c r="J771" s="22" t="s">
        <v>120</v>
      </c>
      <c r="K771" s="20" t="s">
        <v>116</v>
      </c>
      <c r="L771" s="21"/>
      <c r="M771" s="21"/>
      <c r="N771" s="21"/>
      <c r="O771" s="21"/>
      <c r="P771" s="21"/>
      <c r="Q771" s="21"/>
      <c r="R771" s="21"/>
      <c r="S771" s="21"/>
      <c r="T771" s="21"/>
      <c r="U771" s="9" t="s">
        <v>439</v>
      </c>
      <c r="V771" s="9" t="s">
        <v>440</v>
      </c>
    </row>
    <row r="772" ht="14.25" customHeight="1">
      <c r="A772" s="9" t="s">
        <v>1496</v>
      </c>
      <c r="B772" s="9" t="s">
        <v>1495</v>
      </c>
      <c r="C772" s="9" t="str">
        <f t="array" ref="C772">INDEX(Funciones!$G$2:$G$372,MATCH($A772,Funciones!$B$2:$B$372,0))</f>
        <v>Secar el aire comprimido con punto de rocío máximo de +3 °C</v>
      </c>
      <c r="D772" s="9" t="s">
        <v>2090</v>
      </c>
      <c r="E772" s="9" t="s">
        <v>842</v>
      </c>
      <c r="F772" s="9" t="s">
        <v>2126</v>
      </c>
      <c r="G772" s="9" t="s">
        <v>2127</v>
      </c>
      <c r="H772" s="18" t="str">
        <f t="array" ref="H772">_xlfn.XLOOKUP(E:E,'Calificación consecuencia'!B:B,'Calificación consecuencia'!K:K,"No encontrada",2)</f>
        <v>Baja</v>
      </c>
      <c r="I772" s="9" t="s">
        <v>2106</v>
      </c>
      <c r="J772" s="22" t="s">
        <v>120</v>
      </c>
      <c r="K772" s="20" t="s">
        <v>116</v>
      </c>
      <c r="L772" s="21"/>
      <c r="M772" s="21"/>
      <c r="N772" s="21"/>
      <c r="O772" s="21"/>
      <c r="P772" s="21"/>
      <c r="Q772" s="21"/>
      <c r="R772" s="21"/>
      <c r="S772" s="21"/>
      <c r="T772" s="21"/>
      <c r="U772" s="9" t="s">
        <v>439</v>
      </c>
      <c r="V772" s="9" t="s">
        <v>440</v>
      </c>
    </row>
    <row r="773" ht="14.25" customHeight="1">
      <c r="A773" s="9" t="s">
        <v>1496</v>
      </c>
      <c r="B773" s="9" t="s">
        <v>1495</v>
      </c>
      <c r="C773" s="9" t="str">
        <f t="array" ref="C773">INDEX(Funciones!$G$2:$G$372,MATCH($A773,Funciones!$B$2:$B$372,0))</f>
        <v>Secar el aire comprimido con punto de rocío máximo de +3 °C</v>
      </c>
      <c r="D773" s="9" t="s">
        <v>2090</v>
      </c>
      <c r="E773" s="9" t="s">
        <v>848</v>
      </c>
      <c r="F773" s="9" t="s">
        <v>2145</v>
      </c>
      <c r="G773" s="9" t="s">
        <v>2146</v>
      </c>
      <c r="H773" s="18" t="str">
        <f t="array" ref="H773">_xlfn.XLOOKUP(E:E,'Calificación consecuencia'!B:B,'Calificación consecuencia'!K:K,"No encontrada",2)</f>
        <v>Baja</v>
      </c>
      <c r="I773" s="9" t="s">
        <v>2106</v>
      </c>
      <c r="J773" s="22" t="s">
        <v>120</v>
      </c>
      <c r="K773" s="20" t="s">
        <v>116</v>
      </c>
      <c r="L773" s="21"/>
      <c r="M773" s="21"/>
      <c r="N773" s="21"/>
      <c r="O773" s="21"/>
      <c r="P773" s="21"/>
      <c r="Q773" s="21"/>
      <c r="R773" s="21"/>
      <c r="S773" s="21"/>
      <c r="T773" s="21"/>
      <c r="U773" s="9" t="s">
        <v>439</v>
      </c>
      <c r="V773" s="9" t="s">
        <v>440</v>
      </c>
    </row>
    <row r="774" ht="14.25" customHeight="1">
      <c r="A774" s="27" t="s">
        <v>1502</v>
      </c>
      <c r="B774" s="27" t="s">
        <v>1501</v>
      </c>
      <c r="C774" s="27" t="str">
        <f t="array" ref="C774">INDEX(Funciones!$G$2:$G$372,MATCH($A774,Funciones!$B$2:$B$372,0))</f>
        <v>Almacenar el aceite hidráulico hasta _____ L</v>
      </c>
      <c r="D774" s="27" t="s">
        <v>4267</v>
      </c>
      <c r="E774" s="27" t="s">
        <v>1661</v>
      </c>
      <c r="F774" s="27" t="s">
        <v>3535</v>
      </c>
      <c r="G774" s="27" t="s">
        <v>3536</v>
      </c>
      <c r="H774" s="18" t="str">
        <f t="array" ref="H774">_xlfn.XLOOKUP(E:E,'Calificación consecuencia'!B:B,'Calificación consecuencia'!K:K,"No encontrada",2)</f>
        <v>Media</v>
      </c>
      <c r="I774" s="27" t="s">
        <v>1351</v>
      </c>
      <c r="J774" s="30" t="s">
        <v>116</v>
      </c>
      <c r="K774" s="21"/>
      <c r="L774" s="21"/>
      <c r="M774" s="30" t="s">
        <v>116</v>
      </c>
      <c r="N774" s="29" t="s">
        <v>120</v>
      </c>
      <c r="O774" s="21"/>
      <c r="P774" s="21"/>
      <c r="Q774" s="21"/>
      <c r="R774" s="21"/>
      <c r="S774" s="21"/>
      <c r="T774" s="21"/>
      <c r="U774" s="27" t="s">
        <v>230</v>
      </c>
      <c r="V774" s="27" t="s">
        <v>230</v>
      </c>
    </row>
    <row r="775" ht="14.25" customHeight="1">
      <c r="A775" s="27" t="s">
        <v>1502</v>
      </c>
      <c r="B775" s="27" t="s">
        <v>1501</v>
      </c>
      <c r="C775" s="27" t="str">
        <f t="array" ref="C775">INDEX(Funciones!$G$2:$G$372,MATCH($A775,Funciones!$B$2:$B$372,0))</f>
        <v>Almacenar el aceite hidráulico hasta _____ L</v>
      </c>
      <c r="D775" s="27" t="s">
        <v>4268</v>
      </c>
      <c r="E775" s="27" t="s">
        <v>1668</v>
      </c>
      <c r="F775" s="27" t="s">
        <v>3539</v>
      </c>
      <c r="G775" s="27" t="s">
        <v>3540</v>
      </c>
      <c r="H775" s="18" t="str">
        <f t="array" ref="H775">_xlfn.XLOOKUP(E:E,'Calificación consecuencia'!B:B,'Calificación consecuencia'!K:K,"No encontrada",2)</f>
        <v>Baja</v>
      </c>
      <c r="I775" s="27" t="s">
        <v>2106</v>
      </c>
      <c r="J775" s="30" t="s">
        <v>116</v>
      </c>
      <c r="K775" s="21"/>
      <c r="L775" s="21"/>
      <c r="M775" s="29" t="s">
        <v>120</v>
      </c>
      <c r="N775" s="21"/>
      <c r="O775" s="29" t="s">
        <v>120</v>
      </c>
      <c r="P775" s="21"/>
      <c r="Q775" s="21"/>
      <c r="R775" s="21"/>
      <c r="S775" s="29" t="s">
        <v>120</v>
      </c>
      <c r="T775" s="21"/>
      <c r="U775" s="27" t="s">
        <v>1680</v>
      </c>
      <c r="V775" s="27" t="s">
        <v>1408</v>
      </c>
    </row>
    <row r="776" ht="14.25" customHeight="1">
      <c r="A776" s="27" t="s">
        <v>1502</v>
      </c>
      <c r="B776" s="27" t="s">
        <v>1501</v>
      </c>
      <c r="C776" s="27" t="str">
        <f t="array" ref="C776">INDEX(Funciones!$G$2:$G$372,MATCH($A776,Funciones!$B$2:$B$372,0))</f>
        <v>Almacenar el aceite hidráulico hasta _____ L</v>
      </c>
      <c r="D776" s="27" t="s">
        <v>4268</v>
      </c>
      <c r="E776" s="27" t="s">
        <v>1672</v>
      </c>
      <c r="F776" s="27" t="s">
        <v>3541</v>
      </c>
      <c r="G776" s="27" t="s">
        <v>3542</v>
      </c>
      <c r="H776" s="18" t="str">
        <f t="array" ref="H776">_xlfn.XLOOKUP(E:E,'Calificación consecuencia'!B:B,'Calificación consecuencia'!K:K,"No encontrada",2)</f>
        <v>Baja</v>
      </c>
      <c r="I776" s="27" t="s">
        <v>2106</v>
      </c>
      <c r="J776" s="30" t="s">
        <v>116</v>
      </c>
      <c r="K776" s="21"/>
      <c r="L776" s="21"/>
      <c r="M776" s="29" t="s">
        <v>120</v>
      </c>
      <c r="N776" s="21"/>
      <c r="O776" s="29" t="s">
        <v>120</v>
      </c>
      <c r="P776" s="21"/>
      <c r="Q776" s="21"/>
      <c r="R776" s="21"/>
      <c r="S776" s="29" t="s">
        <v>120</v>
      </c>
      <c r="T776" s="21"/>
      <c r="U776" s="27" t="s">
        <v>1680</v>
      </c>
      <c r="V776" s="27" t="s">
        <v>1408</v>
      </c>
    </row>
    <row r="777" ht="14.25" customHeight="1">
      <c r="A777" s="27" t="s">
        <v>1502</v>
      </c>
      <c r="B777" s="27" t="s">
        <v>1501</v>
      </c>
      <c r="C777" s="27" t="str">
        <f t="array" ref="C777">INDEX(Funciones!$G$2:$G$372,MATCH($A777,Funciones!$B$2:$B$372,0))</f>
        <v>Almacenar el aceite hidráulico hasta _____ L</v>
      </c>
      <c r="D777" s="27" t="s">
        <v>4268</v>
      </c>
      <c r="E777" s="27" t="s">
        <v>1676</v>
      </c>
      <c r="F777" s="27" t="s">
        <v>3546</v>
      </c>
      <c r="G777" s="27" t="s">
        <v>3547</v>
      </c>
      <c r="H777" s="18" t="str">
        <f t="array" ref="H777">_xlfn.XLOOKUP(E:E,'Calificación consecuencia'!B:B,'Calificación consecuencia'!K:K,"No encontrada",2)</f>
        <v>Baja</v>
      </c>
      <c r="I777" s="27" t="s">
        <v>2106</v>
      </c>
      <c r="J777" s="30" t="s">
        <v>116</v>
      </c>
      <c r="K777" s="21"/>
      <c r="L777" s="21"/>
      <c r="M777" s="29" t="s">
        <v>120</v>
      </c>
      <c r="N777" s="21"/>
      <c r="O777" s="29" t="s">
        <v>120</v>
      </c>
      <c r="P777" s="21"/>
      <c r="Q777" s="21"/>
      <c r="R777" s="21"/>
      <c r="S777" s="29" t="s">
        <v>120</v>
      </c>
      <c r="T777" s="21"/>
      <c r="U777" s="27" t="s">
        <v>1680</v>
      </c>
      <c r="V777" s="27" t="s">
        <v>1408</v>
      </c>
    </row>
    <row r="778" ht="14.25" customHeight="1">
      <c r="A778" s="9" t="s">
        <v>1512</v>
      </c>
      <c r="B778" s="9" t="s">
        <v>1510</v>
      </c>
      <c r="C778" s="9" t="str">
        <f t="array" ref="C778">INDEX(Funciones!$G$2:$G$372,MATCH($A778,Funciones!$B$2:$B$372,0))</f>
        <v>Suministrar caudal de emergencia de _____ L/min</v>
      </c>
      <c r="D778" s="9" t="s">
        <v>4269</v>
      </c>
      <c r="E778" s="9" t="s">
        <v>971</v>
      </c>
      <c r="F778" s="9" t="s">
        <v>2520</v>
      </c>
      <c r="G778" s="9" t="s">
        <v>2521</v>
      </c>
      <c r="H778" s="18" t="str">
        <f t="array" ref="H778">_xlfn.XLOOKUP(E:E,'Calificación consecuencia'!B:B,'Calificación consecuencia'!K:K,"No encontrada",2)</f>
        <v>Baja</v>
      </c>
      <c r="I778" s="9" t="s">
        <v>1351</v>
      </c>
      <c r="J778" s="22" t="s">
        <v>120</v>
      </c>
      <c r="K778" s="20" t="s">
        <v>116</v>
      </c>
      <c r="L778" s="21"/>
      <c r="M778" s="21"/>
      <c r="N778" s="21"/>
      <c r="O778" s="21"/>
      <c r="P778" s="21"/>
      <c r="Q778" s="21"/>
      <c r="R778" s="21"/>
      <c r="S778" s="21"/>
      <c r="T778" s="21"/>
      <c r="U778" s="9" t="s">
        <v>439</v>
      </c>
      <c r="V778" s="9" t="s">
        <v>440</v>
      </c>
    </row>
    <row r="779" ht="14.25" customHeight="1">
      <c r="A779" s="9" t="s">
        <v>1512</v>
      </c>
      <c r="B779" s="9" t="s">
        <v>1510</v>
      </c>
      <c r="C779" s="9" t="str">
        <f t="array" ref="C779">INDEX(Funciones!$G$2:$G$372,MATCH($A779,Funciones!$B$2:$B$372,0))</f>
        <v>Suministrar caudal de emergencia de _____ L/min</v>
      </c>
      <c r="D779" s="9" t="s">
        <v>4269</v>
      </c>
      <c r="E779" s="9" t="s">
        <v>974</v>
      </c>
      <c r="F779" s="9" t="s">
        <v>2543</v>
      </c>
      <c r="G779" s="9" t="s">
        <v>2544</v>
      </c>
      <c r="H779" s="18" t="str">
        <f t="array" ref="H779">_xlfn.XLOOKUP(E:E,'Calificación consecuencia'!B:B,'Calificación consecuencia'!K:K,"No encontrada",2)</f>
        <v>Baja</v>
      </c>
      <c r="I779" s="9" t="s">
        <v>1351</v>
      </c>
      <c r="J779" s="22" t="s">
        <v>120</v>
      </c>
      <c r="K779" s="20" t="s">
        <v>116</v>
      </c>
      <c r="L779" s="21"/>
      <c r="M779" s="21"/>
      <c r="N779" s="21"/>
      <c r="O779" s="21"/>
      <c r="P779" s="21"/>
      <c r="Q779" s="21"/>
      <c r="R779" s="21"/>
      <c r="S779" s="21"/>
      <c r="T779" s="21"/>
      <c r="U779" s="9" t="s">
        <v>439</v>
      </c>
      <c r="V779" s="9" t="s">
        <v>440</v>
      </c>
    </row>
    <row r="780" ht="14.25" customHeight="1">
      <c r="A780" s="9" t="s">
        <v>1512</v>
      </c>
      <c r="B780" s="9" t="s">
        <v>1510</v>
      </c>
      <c r="C780" s="9" t="str">
        <f t="array" ref="C780">INDEX(Funciones!$G$2:$G$372,MATCH($A780,Funciones!$B$2:$B$372,0))</f>
        <v>Suministrar caudal de emergencia de _____ L/min</v>
      </c>
      <c r="D780" s="9" t="s">
        <v>4269</v>
      </c>
      <c r="E780" s="9" t="s">
        <v>976</v>
      </c>
      <c r="F780" s="9" t="s">
        <v>2576</v>
      </c>
      <c r="G780" s="9" t="s">
        <v>2579</v>
      </c>
      <c r="H780" s="18" t="str">
        <f t="array" ref="H780">_xlfn.XLOOKUP(E:E,'Calificación consecuencia'!B:B,'Calificación consecuencia'!K:K,"No encontrada",2)</f>
        <v>Baja</v>
      </c>
      <c r="I780" s="9" t="s">
        <v>425</v>
      </c>
      <c r="J780" s="22" t="s">
        <v>120</v>
      </c>
      <c r="K780" s="20" t="s">
        <v>116</v>
      </c>
      <c r="L780" s="21"/>
      <c r="M780" s="21"/>
      <c r="N780" s="21"/>
      <c r="O780" s="21"/>
      <c r="P780" s="21"/>
      <c r="Q780" s="21"/>
      <c r="R780" s="21"/>
      <c r="S780" s="21"/>
      <c r="T780" s="21"/>
      <c r="U780" s="9" t="s">
        <v>439</v>
      </c>
      <c r="V780" s="9" t="s">
        <v>440</v>
      </c>
    </row>
    <row r="781" ht="14.25" customHeight="1">
      <c r="A781" s="9" t="s">
        <v>1512</v>
      </c>
      <c r="B781" s="9" t="s">
        <v>1510</v>
      </c>
      <c r="C781" s="9" t="str">
        <f t="array" ref="C781">INDEX(Funciones!$G$2:$G$372,MATCH($A781,Funciones!$B$2:$B$372,0))</f>
        <v>Suministrar caudal de emergencia de _____ L/min</v>
      </c>
      <c r="D781" s="9" t="s">
        <v>4270</v>
      </c>
      <c r="E781" s="9" t="s">
        <v>982</v>
      </c>
      <c r="F781" s="9" t="s">
        <v>2608</v>
      </c>
      <c r="G781" s="9" t="s">
        <v>2609</v>
      </c>
      <c r="H781" s="18" t="str">
        <f t="array" ref="H781">_xlfn.XLOOKUP(E:E,'Calificación consecuencia'!B:B,'Calificación consecuencia'!K:K,"No encontrada",2)</f>
        <v>Baja</v>
      </c>
      <c r="I781" s="9" t="s">
        <v>1800</v>
      </c>
      <c r="J781" s="22" t="s">
        <v>120</v>
      </c>
      <c r="K781" s="20" t="s">
        <v>116</v>
      </c>
      <c r="L781" s="21"/>
      <c r="M781" s="21"/>
      <c r="N781" s="21"/>
      <c r="O781" s="21"/>
      <c r="P781" s="21"/>
      <c r="Q781" s="21"/>
      <c r="R781" s="21"/>
      <c r="S781" s="21"/>
      <c r="T781" s="21"/>
      <c r="U781" s="9" t="s">
        <v>439</v>
      </c>
      <c r="V781" s="9" t="s">
        <v>440</v>
      </c>
    </row>
    <row r="782" ht="14.25" customHeight="1">
      <c r="A782" s="9" t="s">
        <v>1512</v>
      </c>
      <c r="B782" s="9" t="s">
        <v>1510</v>
      </c>
      <c r="C782" s="9" t="str">
        <f t="array" ref="C782">INDEX(Funciones!$G$2:$G$372,MATCH($A782,Funciones!$B$2:$B$372,0))</f>
        <v>Suministrar caudal de emergencia de _____ L/min</v>
      </c>
      <c r="D782" s="9" t="s">
        <v>4270</v>
      </c>
      <c r="E782" s="9" t="s">
        <v>990</v>
      </c>
      <c r="F782" s="9" t="s">
        <v>2642</v>
      </c>
      <c r="G782" s="9" t="s">
        <v>2643</v>
      </c>
      <c r="H782" s="18" t="str">
        <f t="array" ref="H782">_xlfn.XLOOKUP(E:E,'Calificación consecuencia'!B:B,'Calificación consecuencia'!K:K,"No encontrada",2)</f>
        <v>Media</v>
      </c>
      <c r="I782" s="9" t="s">
        <v>1800</v>
      </c>
      <c r="J782" s="22" t="s">
        <v>120</v>
      </c>
      <c r="K782" s="20" t="s">
        <v>116</v>
      </c>
      <c r="L782" s="21"/>
      <c r="M782" s="21"/>
      <c r="N782" s="21"/>
      <c r="O782" s="21"/>
      <c r="P782" s="21"/>
      <c r="Q782" s="21"/>
      <c r="R782" s="21"/>
      <c r="S782" s="21"/>
      <c r="T782" s="21"/>
      <c r="U782" s="9" t="s">
        <v>439</v>
      </c>
      <c r="V782" s="9" t="s">
        <v>440</v>
      </c>
    </row>
    <row r="783" ht="14.25" customHeight="1">
      <c r="A783" s="27" t="s">
        <v>1521</v>
      </c>
      <c r="B783" s="27" t="s">
        <v>1520</v>
      </c>
      <c r="C783" s="27" t="str">
        <f t="array" ref="C783">INDEX(Funciones!$G$2:$G$372,MATCH($A783,Funciones!$B$2:$B$372,0))</f>
        <v>Conducir el aceite hidráulico a presión máxima de _____ bar</v>
      </c>
      <c r="D783" s="27" t="s">
        <v>4125</v>
      </c>
      <c r="E783" s="27" t="s">
        <v>930</v>
      </c>
      <c r="F783" s="27" t="s">
        <v>4126</v>
      </c>
      <c r="G783" s="27" t="s">
        <v>2419</v>
      </c>
      <c r="H783" s="18" t="str">
        <f t="array" ref="H783">_xlfn.XLOOKUP(E:E,'Calificación consecuencia'!B:B,'Calificación consecuencia'!K:K,"No encontrada",2)</f>
        <v>Baja</v>
      </c>
      <c r="I783" s="27" t="s">
        <v>425</v>
      </c>
      <c r="J783" s="30" t="s">
        <v>116</v>
      </c>
      <c r="K783" s="21"/>
      <c r="L783" s="21"/>
      <c r="M783" s="30" t="s">
        <v>116</v>
      </c>
      <c r="N783" s="30" t="s">
        <v>116</v>
      </c>
      <c r="O783" s="21"/>
      <c r="P783" s="21"/>
      <c r="Q783" s="21"/>
      <c r="R783" s="21"/>
      <c r="S783" s="21"/>
      <c r="T783" s="21"/>
      <c r="U783" s="27" t="s">
        <v>195</v>
      </c>
      <c r="V783" s="27" t="s">
        <v>196</v>
      </c>
    </row>
    <row r="784" ht="14.25" customHeight="1">
      <c r="A784" s="27" t="s">
        <v>1521</v>
      </c>
      <c r="B784" s="27" t="s">
        <v>1520</v>
      </c>
      <c r="C784" s="27" t="str">
        <f t="array" ref="C784">INDEX(Funciones!$G$2:$G$372,MATCH($A784,Funciones!$B$2:$B$372,0))</f>
        <v>Conducir el aceite hidráulico a presión máxima de _____ bar</v>
      </c>
      <c r="D784" s="27" t="s">
        <v>4125</v>
      </c>
      <c r="E784" s="27" t="s">
        <v>3294</v>
      </c>
      <c r="F784" s="27" t="s">
        <v>4127</v>
      </c>
      <c r="G784" s="27" t="s">
        <v>4128</v>
      </c>
      <c r="H784" s="18" t="str">
        <f t="array" ref="H784">_xlfn.XLOOKUP(E:E,'Calificación consecuencia'!B:B,'Calificación consecuencia'!K:K,"No encontrada",2)</f>
        <v>Media</v>
      </c>
      <c r="I784" s="27" t="s">
        <v>1351</v>
      </c>
      <c r="J784" s="30" t="s">
        <v>116</v>
      </c>
      <c r="K784" s="21"/>
      <c r="L784" s="21"/>
      <c r="M784" s="30" t="s">
        <v>116</v>
      </c>
      <c r="N784" s="30" t="s">
        <v>116</v>
      </c>
      <c r="O784" s="21"/>
      <c r="P784" s="21"/>
      <c r="Q784" s="21"/>
      <c r="R784" s="21"/>
      <c r="S784" s="21"/>
      <c r="T784" s="21"/>
      <c r="U784" s="27" t="s">
        <v>195</v>
      </c>
      <c r="V784" s="27" t="s">
        <v>196</v>
      </c>
    </row>
    <row r="785" ht="14.25" customHeight="1">
      <c r="A785" s="27" t="s">
        <v>1521</v>
      </c>
      <c r="B785" s="27" t="s">
        <v>1520</v>
      </c>
      <c r="C785" s="27" t="str">
        <f t="array" ref="C785">INDEX(Funciones!$G$2:$G$372,MATCH($A785,Funciones!$B$2:$B$372,0))</f>
        <v>Conducir el aceite hidráulico a presión máxima de _____ bar</v>
      </c>
      <c r="D785" s="27" t="s">
        <v>4129</v>
      </c>
      <c r="E785" s="27" t="s">
        <v>3295</v>
      </c>
      <c r="F785" s="27" t="s">
        <v>4130</v>
      </c>
      <c r="G785" s="27" t="s">
        <v>4131</v>
      </c>
      <c r="H785" s="18" t="str">
        <f t="array" ref="H785">_xlfn.XLOOKUP(E:E,'Calificación consecuencia'!B:B,'Calificación consecuencia'!K:K,"No encontrada",2)</f>
        <v>Baja</v>
      </c>
      <c r="I785" s="27" t="s">
        <v>2106</v>
      </c>
      <c r="J785" s="30" t="s">
        <v>116</v>
      </c>
      <c r="K785" s="21"/>
      <c r="L785" s="21"/>
      <c r="M785" s="29" t="s">
        <v>120</v>
      </c>
      <c r="N785" s="21"/>
      <c r="O785" s="29" t="s">
        <v>120</v>
      </c>
      <c r="P785" s="21"/>
      <c r="Q785" s="21"/>
      <c r="R785" s="21"/>
      <c r="S785" s="29" t="s">
        <v>120</v>
      </c>
      <c r="T785" s="21"/>
      <c r="U785" s="27" t="s">
        <v>1680</v>
      </c>
      <c r="V785" s="27" t="s">
        <v>1408</v>
      </c>
    </row>
    <row r="786" ht="14.25" customHeight="1">
      <c r="A786" s="27" t="s">
        <v>1521</v>
      </c>
      <c r="B786" s="27" t="s">
        <v>1520</v>
      </c>
      <c r="C786" s="27" t="str">
        <f t="array" ref="C786">INDEX(Funciones!$G$2:$G$372,MATCH($A786,Funciones!$B$2:$B$372,0))</f>
        <v>Conducir el aceite hidráulico a presión máxima de _____ bar</v>
      </c>
      <c r="D786" s="27" t="s">
        <v>4129</v>
      </c>
      <c r="E786" s="27" t="s">
        <v>3296</v>
      </c>
      <c r="F786" s="27" t="s">
        <v>4132</v>
      </c>
      <c r="G786" s="27" t="s">
        <v>4133</v>
      </c>
      <c r="H786" s="18" t="str">
        <f t="array" ref="H786">_xlfn.XLOOKUP(E:E,'Calificación consecuencia'!B:B,'Calificación consecuencia'!K:K,"No encontrada",2)</f>
        <v>Baja</v>
      </c>
      <c r="I786" s="27" t="s">
        <v>2106</v>
      </c>
      <c r="J786" s="30" t="s">
        <v>116</v>
      </c>
      <c r="K786" s="21"/>
      <c r="L786" s="21"/>
      <c r="M786" s="29" t="s">
        <v>120</v>
      </c>
      <c r="N786" s="21"/>
      <c r="O786" s="29" t="s">
        <v>120</v>
      </c>
      <c r="P786" s="21"/>
      <c r="Q786" s="21"/>
      <c r="R786" s="21"/>
      <c r="S786" s="29" t="s">
        <v>120</v>
      </c>
      <c r="T786" s="21"/>
      <c r="U786" s="27" t="s">
        <v>1680</v>
      </c>
      <c r="V786" s="27" t="s">
        <v>1408</v>
      </c>
    </row>
    <row r="787" ht="14.25" customHeight="1">
      <c r="A787" s="27" t="s">
        <v>1521</v>
      </c>
      <c r="B787" s="27" t="s">
        <v>1520</v>
      </c>
      <c r="C787" s="27" t="str">
        <f t="array" ref="C787">INDEX(Funciones!$G$2:$G$372,MATCH($A787,Funciones!$B$2:$B$372,0))</f>
        <v>Conducir el aceite hidráulico a presión máxima de _____ bar</v>
      </c>
      <c r="D787" s="27" t="s">
        <v>4134</v>
      </c>
      <c r="E787" s="27" t="s">
        <v>3299</v>
      </c>
      <c r="F787" s="27" t="s">
        <v>4135</v>
      </c>
      <c r="G787" s="27" t="s">
        <v>4136</v>
      </c>
      <c r="H787" s="18" t="str">
        <f t="array" ref="H787">_xlfn.XLOOKUP(E:E,'Calificación consecuencia'!B:B,'Calificación consecuencia'!K:K,"No encontrada",2)</f>
        <v>Baja</v>
      </c>
      <c r="I787" s="27" t="s">
        <v>2106</v>
      </c>
      <c r="J787" s="30" t="s">
        <v>116</v>
      </c>
      <c r="K787" s="21"/>
      <c r="L787" s="21"/>
      <c r="M787" s="29" t="s">
        <v>120</v>
      </c>
      <c r="N787" s="21"/>
      <c r="O787" s="29" t="s">
        <v>120</v>
      </c>
      <c r="P787" s="21"/>
      <c r="Q787" s="21"/>
      <c r="R787" s="21"/>
      <c r="S787" s="29" t="s">
        <v>120</v>
      </c>
      <c r="T787" s="21"/>
      <c r="U787" s="27" t="s">
        <v>1680</v>
      </c>
      <c r="V787" s="27" t="s">
        <v>1408</v>
      </c>
    </row>
    <row r="788" ht="14.25" customHeight="1">
      <c r="A788" s="27" t="s">
        <v>1521</v>
      </c>
      <c r="B788" s="27" t="s">
        <v>1520</v>
      </c>
      <c r="C788" s="27" t="str">
        <f t="array" ref="C788">INDEX(Funciones!$G$2:$G$372,MATCH($A788,Funciones!$B$2:$B$372,0))</f>
        <v>Conducir el aceite hidráulico a presión máxima de _____ bar</v>
      </c>
      <c r="D788" s="27" t="s">
        <v>4134</v>
      </c>
      <c r="E788" s="27" t="s">
        <v>3300</v>
      </c>
      <c r="F788" s="27" t="s">
        <v>4137</v>
      </c>
      <c r="G788" s="27" t="s">
        <v>4138</v>
      </c>
      <c r="H788" s="18" t="str">
        <f t="array" ref="H788">_xlfn.XLOOKUP(E:E,'Calificación consecuencia'!B:B,'Calificación consecuencia'!K:K,"No encontrada",2)</f>
        <v>Baja</v>
      </c>
      <c r="I788" s="27" t="s">
        <v>2106</v>
      </c>
      <c r="J788" s="30" t="s">
        <v>116</v>
      </c>
      <c r="K788" s="21"/>
      <c r="L788" s="21"/>
      <c r="M788" s="29" t="s">
        <v>120</v>
      </c>
      <c r="N788" s="21"/>
      <c r="O788" s="29" t="s">
        <v>120</v>
      </c>
      <c r="P788" s="21"/>
      <c r="Q788" s="21"/>
      <c r="R788" s="21"/>
      <c r="S788" s="29" t="s">
        <v>120</v>
      </c>
      <c r="T788" s="21"/>
      <c r="U788" s="27" t="s">
        <v>1680</v>
      </c>
      <c r="V788" s="27" t="s">
        <v>1408</v>
      </c>
    </row>
    <row r="789" ht="14.25" customHeight="1">
      <c r="A789" s="9" t="s">
        <v>1528</v>
      </c>
      <c r="B789" s="9" t="s">
        <v>1527</v>
      </c>
      <c r="C789" s="9" t="str">
        <f t="array" ref="C789">INDEX(Funciones!$G$2:$G$372,MATCH($A789,Funciones!$B$2:$B$372,0))</f>
        <v>Soportar la carga por eje hasta _____ t</v>
      </c>
      <c r="D789" s="9" t="s">
        <v>4087</v>
      </c>
      <c r="E789" s="9" t="s">
        <v>1609</v>
      </c>
      <c r="F789" s="9" t="s">
        <v>4088</v>
      </c>
      <c r="G789" s="9" t="s">
        <v>3498</v>
      </c>
      <c r="H789" s="18" t="str">
        <f t="array" ref="H789">_xlfn.XLOOKUP(E:E,'Calificación consecuencia'!B:B,'Calificación consecuencia'!K:K,"No encontrada",2)</f>
        <v>Baja</v>
      </c>
      <c r="I789" s="9" t="s">
        <v>425</v>
      </c>
      <c r="J789" s="22" t="s">
        <v>120</v>
      </c>
      <c r="K789" s="20" t="s">
        <v>116</v>
      </c>
      <c r="L789" s="21"/>
      <c r="M789" s="21"/>
      <c r="N789" s="21"/>
      <c r="O789" s="21"/>
      <c r="P789" s="21"/>
      <c r="Q789" s="21"/>
      <c r="R789" s="21"/>
      <c r="S789" s="21"/>
      <c r="T789" s="21"/>
      <c r="U789" s="9" t="s">
        <v>439</v>
      </c>
      <c r="V789" s="9" t="s">
        <v>440</v>
      </c>
    </row>
    <row r="790" ht="14.25" customHeight="1">
      <c r="A790" s="9" t="s">
        <v>1528</v>
      </c>
      <c r="B790" s="9" t="s">
        <v>1527</v>
      </c>
      <c r="C790" s="9" t="str">
        <f t="array" ref="C790">INDEX(Funciones!$G$2:$G$372,MATCH($A790,Funciones!$B$2:$B$372,0))</f>
        <v>Soportar la carga por eje hasta _____ t</v>
      </c>
      <c r="D790" s="9" t="s">
        <v>4087</v>
      </c>
      <c r="E790" s="9" t="s">
        <v>1615</v>
      </c>
      <c r="F790" s="9" t="s">
        <v>4089</v>
      </c>
      <c r="G790" s="9" t="s">
        <v>3501</v>
      </c>
      <c r="H790" s="18" t="str">
        <f t="array" ref="H790">_xlfn.XLOOKUP(E:E,'Calificación consecuencia'!B:B,'Calificación consecuencia'!K:K,"No encontrada",2)</f>
        <v>Baja</v>
      </c>
      <c r="I790" s="9" t="s">
        <v>425</v>
      </c>
      <c r="J790" s="22" t="s">
        <v>120</v>
      </c>
      <c r="K790" s="20" t="s">
        <v>116</v>
      </c>
      <c r="L790" s="21"/>
      <c r="M790" s="21"/>
      <c r="N790" s="21"/>
      <c r="O790" s="21"/>
      <c r="P790" s="21"/>
      <c r="Q790" s="21"/>
      <c r="R790" s="21"/>
      <c r="S790" s="21"/>
      <c r="T790" s="21"/>
      <c r="U790" s="9" t="s">
        <v>439</v>
      </c>
      <c r="V790" s="9" t="s">
        <v>440</v>
      </c>
    </row>
    <row r="791" ht="14.25" customHeight="1">
      <c r="A791" s="9" t="s">
        <v>1528</v>
      </c>
      <c r="B791" s="9" t="s">
        <v>1527</v>
      </c>
      <c r="C791" s="9" t="str">
        <f t="array" ref="C791">INDEX(Funciones!$G$2:$G$372,MATCH($A791,Funciones!$B$2:$B$372,0))</f>
        <v>Soportar la carga por eje hasta _____ t</v>
      </c>
      <c r="D791" s="9" t="s">
        <v>4090</v>
      </c>
      <c r="E791" s="9" t="s">
        <v>1622</v>
      </c>
      <c r="F791" s="9" t="s">
        <v>4091</v>
      </c>
      <c r="G791" s="9" t="s">
        <v>3498</v>
      </c>
      <c r="H791" s="18" t="str">
        <f t="array" ref="H791">_xlfn.XLOOKUP(E:E,'Calificación consecuencia'!B:B,'Calificación consecuencia'!K:K,"No encontrada",2)</f>
        <v>Baja</v>
      </c>
      <c r="I791" s="9" t="s">
        <v>1800</v>
      </c>
      <c r="J791" s="22" t="s">
        <v>120</v>
      </c>
      <c r="K791" s="20" t="s">
        <v>116</v>
      </c>
      <c r="L791" s="21"/>
      <c r="M791" s="21"/>
      <c r="N791" s="21"/>
      <c r="O791" s="21"/>
      <c r="P791" s="21"/>
      <c r="Q791" s="21"/>
      <c r="R791" s="21"/>
      <c r="S791" s="21"/>
      <c r="T791" s="21"/>
      <c r="U791" s="9" t="s">
        <v>439</v>
      </c>
      <c r="V791" s="9" t="s">
        <v>440</v>
      </c>
    </row>
    <row r="792" ht="14.25" customHeight="1">
      <c r="A792" s="9" t="s">
        <v>1528</v>
      </c>
      <c r="B792" s="9" t="s">
        <v>1527</v>
      </c>
      <c r="C792" s="9" t="str">
        <f t="array" ref="C792">INDEX(Funciones!$G$2:$G$372,MATCH($A792,Funciones!$B$2:$B$372,0))</f>
        <v>Soportar la carga por eje hasta _____ t</v>
      </c>
      <c r="D792" s="9" t="s">
        <v>4090</v>
      </c>
      <c r="E792" s="9" t="s">
        <v>1625</v>
      </c>
      <c r="F792" s="9" t="s">
        <v>4092</v>
      </c>
      <c r="G792" s="9" t="s">
        <v>3513</v>
      </c>
      <c r="H792" s="18" t="str">
        <f t="array" ref="H792">_xlfn.XLOOKUP(E:E,'Calificación consecuencia'!B:B,'Calificación consecuencia'!K:K,"No encontrada",2)</f>
        <v>Media</v>
      </c>
      <c r="I792" s="9" t="s">
        <v>1351</v>
      </c>
      <c r="J792" s="22" t="s">
        <v>120</v>
      </c>
      <c r="K792" s="20" t="s">
        <v>116</v>
      </c>
      <c r="L792" s="21"/>
      <c r="M792" s="21"/>
      <c r="N792" s="21"/>
      <c r="O792" s="21"/>
      <c r="P792" s="21"/>
      <c r="Q792" s="21"/>
      <c r="R792" s="21"/>
      <c r="S792" s="21"/>
      <c r="T792" s="21"/>
      <c r="U792" s="9" t="s">
        <v>439</v>
      </c>
      <c r="V792" s="9" t="s">
        <v>440</v>
      </c>
    </row>
    <row r="793" ht="14.25" customHeight="1">
      <c r="A793" s="27" t="s">
        <v>1535</v>
      </c>
      <c r="B793" s="27" t="s">
        <v>1527</v>
      </c>
      <c r="C793" s="27" t="str">
        <f t="array" ref="C793">INDEX(Funciones!$G$2:$G$372,MATCH($A793,Funciones!$B$2:$B$372,0))</f>
        <v>Impedir el remonte de pestaña con cota qR ≥ 6,5 mm</v>
      </c>
      <c r="D793" s="27" t="s">
        <v>3220</v>
      </c>
      <c r="E793" s="27" t="s">
        <v>1127</v>
      </c>
      <c r="F793" s="27" t="s">
        <v>3221</v>
      </c>
      <c r="G793" s="27" t="s">
        <v>3222</v>
      </c>
      <c r="H793" s="18" t="str">
        <f t="array" ref="H793">_xlfn.XLOOKUP(E:E,'Calificación consecuencia'!B:B,'Calificación consecuencia'!K:K,"No encontrada",2)</f>
        <v>Baja</v>
      </c>
      <c r="I793" s="27" t="s">
        <v>425</v>
      </c>
      <c r="J793" s="29" t="s">
        <v>120</v>
      </c>
      <c r="K793" s="30" t="s">
        <v>116</v>
      </c>
      <c r="L793" s="21"/>
      <c r="M793" s="21"/>
      <c r="N793" s="21"/>
      <c r="O793" s="21"/>
      <c r="P793" s="21"/>
      <c r="Q793" s="21"/>
      <c r="R793" s="21"/>
      <c r="S793" s="21"/>
      <c r="T793" s="21"/>
      <c r="U793" s="27" t="s">
        <v>439</v>
      </c>
      <c r="V793" s="27" t="s">
        <v>440</v>
      </c>
    </row>
    <row r="794" ht="14.25" customHeight="1">
      <c r="A794" s="27" t="s">
        <v>1535</v>
      </c>
      <c r="B794" s="27" t="s">
        <v>1527</v>
      </c>
      <c r="C794" s="27" t="str">
        <f t="array" ref="C794">INDEX(Funciones!$G$2:$G$372,MATCH($A794,Funciones!$B$2:$B$372,0))</f>
        <v>Impedir el remonte de pestaña con cota qR ≥ 6,5 mm</v>
      </c>
      <c r="D794" s="27" t="s">
        <v>3230</v>
      </c>
      <c r="E794" s="27" t="s">
        <v>1134</v>
      </c>
      <c r="F794" s="27" t="s">
        <v>3231</v>
      </c>
      <c r="G794" s="27" t="s">
        <v>3232</v>
      </c>
      <c r="H794" s="18" t="str">
        <f t="array" ref="H794">_xlfn.XLOOKUP(E:E,'Calificación consecuencia'!B:B,'Calificación consecuencia'!K:K,"No encontrada",2)</f>
        <v>Media</v>
      </c>
      <c r="I794" s="27" t="s">
        <v>1800</v>
      </c>
      <c r="J794" s="29" t="s">
        <v>120</v>
      </c>
      <c r="K794" s="30" t="s">
        <v>116</v>
      </c>
      <c r="L794" s="21"/>
      <c r="M794" s="21"/>
      <c r="N794" s="21"/>
      <c r="O794" s="21"/>
      <c r="P794" s="21"/>
      <c r="Q794" s="21"/>
      <c r="R794" s="21"/>
      <c r="S794" s="21"/>
      <c r="T794" s="21"/>
      <c r="U794" s="27" t="s">
        <v>439</v>
      </c>
      <c r="V794" s="27" t="s">
        <v>440</v>
      </c>
    </row>
    <row r="795" ht="14.25" customHeight="1">
      <c r="A795" s="27" t="s">
        <v>1535</v>
      </c>
      <c r="B795" s="27" t="s">
        <v>1527</v>
      </c>
      <c r="C795" s="27" t="str">
        <f t="array" ref="C795">INDEX(Funciones!$G$2:$G$372,MATCH($A795,Funciones!$B$2:$B$372,0))</f>
        <v>Impedir el remonte de pestaña con cota qR ≥ 6,5 mm</v>
      </c>
      <c r="D795" s="27" t="s">
        <v>3230</v>
      </c>
      <c r="E795" s="27" t="s">
        <v>1141</v>
      </c>
      <c r="F795" s="27" t="s">
        <v>3250</v>
      </c>
      <c r="G795" s="27" t="s">
        <v>3251</v>
      </c>
      <c r="H795" s="18" t="str">
        <f t="array" ref="H795">_xlfn.XLOOKUP(E:E,'Calificación consecuencia'!B:B,'Calificación consecuencia'!K:K,"No encontrada",2)</f>
        <v>Media</v>
      </c>
      <c r="I795" s="27" t="s">
        <v>425</v>
      </c>
      <c r="J795" s="29" t="s">
        <v>120</v>
      </c>
      <c r="K795" s="30" t="s">
        <v>116</v>
      </c>
      <c r="L795" s="21"/>
      <c r="M795" s="21"/>
      <c r="N795" s="21"/>
      <c r="O795" s="21"/>
      <c r="P795" s="21"/>
      <c r="Q795" s="21"/>
      <c r="R795" s="21"/>
      <c r="S795" s="21"/>
      <c r="T795" s="21"/>
      <c r="U795" s="27" t="s">
        <v>439</v>
      </c>
      <c r="V795" s="27" t="s">
        <v>440</v>
      </c>
    </row>
    <row r="796" ht="14.25" customHeight="1">
      <c r="A796" s="27" t="s">
        <v>1535</v>
      </c>
      <c r="B796" s="27" t="s">
        <v>1527</v>
      </c>
      <c r="C796" s="27" t="str">
        <f t="array" ref="C796">INDEX(Funciones!$G$2:$G$372,MATCH($A796,Funciones!$B$2:$B$372,0))</f>
        <v>Impedir el remonte de pestaña con cota qR ≥ 6,5 mm</v>
      </c>
      <c r="D796" s="27" t="s">
        <v>3230</v>
      </c>
      <c r="E796" s="27" t="s">
        <v>1147</v>
      </c>
      <c r="F796" s="27" t="s">
        <v>3271</v>
      </c>
      <c r="G796" s="27" t="s">
        <v>3272</v>
      </c>
      <c r="H796" s="18" t="str">
        <f t="array" ref="H796">_xlfn.XLOOKUP(E:E,'Calificación consecuencia'!B:B,'Calificación consecuencia'!K:K,"No encontrada",2)</f>
        <v>Media</v>
      </c>
      <c r="I796" s="27" t="s">
        <v>1800</v>
      </c>
      <c r="J796" s="29" t="s">
        <v>120</v>
      </c>
      <c r="K796" s="30" t="s">
        <v>116</v>
      </c>
      <c r="L796" s="21"/>
      <c r="M796" s="21"/>
      <c r="N796" s="21"/>
      <c r="O796" s="21"/>
      <c r="P796" s="21"/>
      <c r="Q796" s="21"/>
      <c r="R796" s="21"/>
      <c r="S796" s="21"/>
      <c r="T796" s="21"/>
      <c r="U796" s="27" t="s">
        <v>439</v>
      </c>
      <c r="V796" s="27" t="s">
        <v>440</v>
      </c>
    </row>
    <row r="797" ht="14.25" customHeight="1">
      <c r="A797" s="9" t="s">
        <v>1539</v>
      </c>
      <c r="B797" s="9" t="s">
        <v>1527</v>
      </c>
      <c r="C797" s="9" t="str">
        <f t="array" ref="C797">INDEX(Funciones!$G$2:$G$372,MATCH($A797,Funciones!$B$2:$B$372,0))</f>
        <v>Mantener la distancia entre ruedas de 1.357 a 1.363 mm</v>
      </c>
      <c r="D797" s="9" t="s">
        <v>3523</v>
      </c>
      <c r="E797" s="9" t="s">
        <v>1644</v>
      </c>
      <c r="F797" s="9" t="s">
        <v>3524</v>
      </c>
      <c r="G797" s="9" t="s">
        <v>3525</v>
      </c>
      <c r="H797" s="18" t="str">
        <f t="array" ref="H797">_xlfn.XLOOKUP(E:E,'Calificación consecuencia'!B:B,'Calificación consecuencia'!K:K,"No encontrada",2)</f>
        <v>Baja</v>
      </c>
      <c r="I797" s="9" t="s">
        <v>425</v>
      </c>
      <c r="J797" s="22" t="s">
        <v>120</v>
      </c>
      <c r="K797" s="20" t="s">
        <v>116</v>
      </c>
      <c r="L797" s="21"/>
      <c r="M797" s="21"/>
      <c r="N797" s="21"/>
      <c r="O797" s="21"/>
      <c r="P797" s="21"/>
      <c r="Q797" s="21"/>
      <c r="R797" s="21"/>
      <c r="S797" s="21"/>
      <c r="T797" s="21"/>
      <c r="U797" s="9" t="s">
        <v>439</v>
      </c>
      <c r="V797" s="9" t="s">
        <v>440</v>
      </c>
    </row>
    <row r="798" ht="14.25" customHeight="1">
      <c r="A798" s="9" t="s">
        <v>1539</v>
      </c>
      <c r="B798" s="9" t="s">
        <v>1527</v>
      </c>
      <c r="C798" s="9" t="str">
        <f t="array" ref="C798">INDEX(Funciones!$G$2:$G$372,MATCH($A798,Funciones!$B$2:$B$372,0))</f>
        <v>Mantener la distancia entre ruedas de 1.357 a 1.363 mm</v>
      </c>
      <c r="D798" s="9" t="s">
        <v>3526</v>
      </c>
      <c r="E798" s="9" t="s">
        <v>1650</v>
      </c>
      <c r="F798" s="9" t="s">
        <v>3527</v>
      </c>
      <c r="G798" s="9" t="s">
        <v>3528</v>
      </c>
      <c r="H798" s="18" t="str">
        <f t="array" ref="H798">_xlfn.XLOOKUP(E:E,'Calificación consecuencia'!B:B,'Calificación consecuencia'!K:K,"No encontrada",2)</f>
        <v>Baja</v>
      </c>
      <c r="I798" s="9" t="s">
        <v>1351</v>
      </c>
      <c r="J798" s="22" t="s">
        <v>120</v>
      </c>
      <c r="K798" s="20" t="s">
        <v>116</v>
      </c>
      <c r="L798" s="21"/>
      <c r="M798" s="21"/>
      <c r="N798" s="21"/>
      <c r="O798" s="21"/>
      <c r="P798" s="21"/>
      <c r="Q798" s="21"/>
      <c r="R798" s="21"/>
      <c r="S798" s="21"/>
      <c r="T798" s="21"/>
      <c r="U798" s="9" t="s">
        <v>439</v>
      </c>
      <c r="V798" s="9" t="s">
        <v>440</v>
      </c>
    </row>
    <row r="799" ht="14.25" customHeight="1">
      <c r="A799" s="9" t="s">
        <v>1539</v>
      </c>
      <c r="B799" s="9" t="s">
        <v>1527</v>
      </c>
      <c r="C799" s="9" t="str">
        <f t="array" ref="C799">INDEX(Funciones!$G$2:$G$372,MATCH($A799,Funciones!$B$2:$B$372,0))</f>
        <v>Mantener la distancia entre ruedas de 1.357 a 1.363 mm</v>
      </c>
      <c r="D799" s="9" t="s">
        <v>3529</v>
      </c>
      <c r="E799" s="9" t="s">
        <v>1655</v>
      </c>
      <c r="F799" s="9" t="s">
        <v>3530</v>
      </c>
      <c r="G799" s="9" t="s">
        <v>3531</v>
      </c>
      <c r="H799" s="18" t="str">
        <f t="array" ref="H799">_xlfn.XLOOKUP(E:E,'Calificación consecuencia'!B:B,'Calificación consecuencia'!K:K,"No encontrada",2)</f>
        <v>Baja</v>
      </c>
      <c r="I799" s="9" t="s">
        <v>1800</v>
      </c>
      <c r="J799" s="22" t="s">
        <v>120</v>
      </c>
      <c r="K799" s="20" t="s">
        <v>116</v>
      </c>
      <c r="L799" s="21"/>
      <c r="M799" s="21"/>
      <c r="N799" s="21"/>
      <c r="O799" s="21"/>
      <c r="P799" s="21"/>
      <c r="Q799" s="21"/>
      <c r="R799" s="21"/>
      <c r="S799" s="21"/>
      <c r="T799" s="21"/>
      <c r="U799" s="9" t="s">
        <v>439</v>
      </c>
      <c r="V799" s="9" t="s">
        <v>440</v>
      </c>
    </row>
    <row r="800" ht="14.25" customHeight="1">
      <c r="A800" s="27" t="s">
        <v>1543</v>
      </c>
      <c r="B800" s="27" t="s">
        <v>1527</v>
      </c>
      <c r="C800" s="27" t="str">
        <f t="array" ref="C800">INDEX(Funciones!$G$2:$G$372,MATCH($A800,Funciones!$B$2:$B$372,0))</f>
        <v>Guiar el eje con pestaña de _____ mm</v>
      </c>
      <c r="D800" s="27" t="s">
        <v>4093</v>
      </c>
      <c r="E800" s="27" t="s">
        <v>1127</v>
      </c>
      <c r="F800" s="27" t="s">
        <v>4094</v>
      </c>
      <c r="G800" s="27" t="s">
        <v>3222</v>
      </c>
      <c r="H800" s="18" t="str">
        <f t="array" ref="H800">_xlfn.XLOOKUP(E:E,'Calificación consecuencia'!B:B,'Calificación consecuencia'!K:K,"No encontrada",2)</f>
        <v>Baja</v>
      </c>
      <c r="I800" s="27" t="s">
        <v>425</v>
      </c>
      <c r="J800" s="29" t="s">
        <v>120</v>
      </c>
      <c r="K800" s="30" t="s">
        <v>116</v>
      </c>
      <c r="L800" s="21"/>
      <c r="M800" s="21"/>
      <c r="N800" s="21"/>
      <c r="O800" s="21"/>
      <c r="P800" s="21"/>
      <c r="Q800" s="21"/>
      <c r="R800" s="21"/>
      <c r="S800" s="21"/>
      <c r="T800" s="21"/>
      <c r="U800" s="27" t="s">
        <v>439</v>
      </c>
      <c r="V800" s="27" t="s">
        <v>440</v>
      </c>
    </row>
    <row r="801" ht="14.25" customHeight="1">
      <c r="A801" s="27" t="s">
        <v>1543</v>
      </c>
      <c r="B801" s="27" t="s">
        <v>1527</v>
      </c>
      <c r="C801" s="27" t="str">
        <f t="array" ref="C801">INDEX(Funciones!$G$2:$G$372,MATCH($A801,Funciones!$B$2:$B$372,0))</f>
        <v>Guiar el eje con pestaña de _____ mm</v>
      </c>
      <c r="D801" s="27" t="s">
        <v>4095</v>
      </c>
      <c r="E801" s="27" t="s">
        <v>3154</v>
      </c>
      <c r="F801" s="27" t="s">
        <v>4096</v>
      </c>
      <c r="G801" s="27" t="s">
        <v>3232</v>
      </c>
      <c r="H801" s="18" t="str">
        <f t="array" ref="H801">_xlfn.XLOOKUP(E:E,'Calificación consecuencia'!B:B,'Calificación consecuencia'!K:K,"No encontrada",2)</f>
        <v>Media</v>
      </c>
      <c r="I801" s="27" t="s">
        <v>1800</v>
      </c>
      <c r="J801" s="29" t="s">
        <v>120</v>
      </c>
      <c r="K801" s="30" t="s">
        <v>116</v>
      </c>
      <c r="L801" s="21"/>
      <c r="M801" s="21"/>
      <c r="N801" s="21"/>
      <c r="O801" s="21"/>
      <c r="P801" s="21"/>
      <c r="Q801" s="21"/>
      <c r="R801" s="21"/>
      <c r="S801" s="21"/>
      <c r="T801" s="21"/>
      <c r="U801" s="27" t="s">
        <v>439</v>
      </c>
      <c r="V801" s="27" t="s">
        <v>440</v>
      </c>
    </row>
    <row r="802" ht="14.25" customHeight="1">
      <c r="A802" s="27" t="s">
        <v>1543</v>
      </c>
      <c r="B802" s="27" t="s">
        <v>1527</v>
      </c>
      <c r="C802" s="27" t="str">
        <f t="array" ref="C802">INDEX(Funciones!$G$2:$G$372,MATCH($A802,Funciones!$B$2:$B$372,0))</f>
        <v>Guiar el eje con pestaña de _____ mm</v>
      </c>
      <c r="D802" s="27" t="s">
        <v>4095</v>
      </c>
      <c r="E802" s="27" t="s">
        <v>1141</v>
      </c>
      <c r="F802" s="27" t="s">
        <v>4097</v>
      </c>
      <c r="G802" s="27" t="s">
        <v>3251</v>
      </c>
      <c r="H802" s="18" t="str">
        <f t="array" ref="H802">_xlfn.XLOOKUP(E:E,'Calificación consecuencia'!B:B,'Calificación consecuencia'!K:K,"No encontrada",2)</f>
        <v>Media</v>
      </c>
      <c r="I802" s="27" t="s">
        <v>425</v>
      </c>
      <c r="J802" s="29" t="s">
        <v>120</v>
      </c>
      <c r="K802" s="30" t="s">
        <v>116</v>
      </c>
      <c r="L802" s="21"/>
      <c r="M802" s="21"/>
      <c r="N802" s="21"/>
      <c r="O802" s="21"/>
      <c r="P802" s="21"/>
      <c r="Q802" s="21"/>
      <c r="R802" s="21"/>
      <c r="S802" s="21"/>
      <c r="T802" s="21"/>
      <c r="U802" s="27" t="s">
        <v>439</v>
      </c>
      <c r="V802" s="27" t="s">
        <v>440</v>
      </c>
    </row>
    <row r="803" ht="14.25" customHeight="1">
      <c r="A803" s="9" t="s">
        <v>1546</v>
      </c>
      <c r="B803" s="9" t="s">
        <v>1545</v>
      </c>
      <c r="C803" s="9" t="str">
        <f t="array" ref="C803">INDEX(Funciones!$G$2:$G$372,MATCH($A803,Funciones!$B$2:$B$372,0))</f>
        <v>Enfriar el aire de cabina a temperatura de consigna de _____ °C</v>
      </c>
      <c r="D803" s="9" t="s">
        <v>4271</v>
      </c>
      <c r="E803" s="9" t="s">
        <v>3475</v>
      </c>
      <c r="F803" s="9" t="s">
        <v>4272</v>
      </c>
      <c r="G803" s="9" t="s">
        <v>2906</v>
      </c>
      <c r="H803" s="18" t="str">
        <f t="array" ref="H803">_xlfn.XLOOKUP(E:E,'Calificación consecuencia'!B:B,'Calificación consecuencia'!K:K,"No encontrada",2)</f>
        <v>Baja</v>
      </c>
      <c r="I803" s="9" t="s">
        <v>1800</v>
      </c>
      <c r="J803" s="20" t="s">
        <v>116</v>
      </c>
      <c r="K803" s="21"/>
      <c r="L803" s="21"/>
      <c r="M803" s="22" t="s">
        <v>120</v>
      </c>
      <c r="N803" s="21"/>
      <c r="O803" s="20" t="s">
        <v>116</v>
      </c>
      <c r="P803" s="20" t="s">
        <v>116</v>
      </c>
      <c r="Q803" s="21"/>
      <c r="R803" s="21"/>
      <c r="S803" s="21"/>
      <c r="T803" s="21"/>
      <c r="U803" s="9" t="s">
        <v>345</v>
      </c>
      <c r="V803" s="9" t="s">
        <v>196</v>
      </c>
    </row>
    <row r="804" ht="14.25" customHeight="1">
      <c r="A804" s="9" t="s">
        <v>1546</v>
      </c>
      <c r="B804" s="9" t="s">
        <v>1545</v>
      </c>
      <c r="C804" s="9" t="str">
        <f t="array" ref="C804">INDEX(Funciones!$G$2:$G$372,MATCH($A804,Funciones!$B$2:$B$372,0))</f>
        <v>Enfriar el aire de cabina a temperatura de consigna de _____ °C</v>
      </c>
      <c r="D804" s="9" t="s">
        <v>4271</v>
      </c>
      <c r="E804" s="9" t="s">
        <v>3476</v>
      </c>
      <c r="F804" s="9" t="s">
        <v>4273</v>
      </c>
      <c r="G804" s="9" t="s">
        <v>4274</v>
      </c>
      <c r="H804" s="18" t="str">
        <f t="array" ref="H804">_xlfn.XLOOKUP(E:E,'Calificación consecuencia'!B:B,'Calificación consecuencia'!K:K,"No encontrada",2)</f>
        <v>Baja</v>
      </c>
      <c r="I804" s="9" t="s">
        <v>2106</v>
      </c>
      <c r="J804" s="20" t="s">
        <v>116</v>
      </c>
      <c r="K804" s="21"/>
      <c r="L804" s="21"/>
      <c r="M804" s="22" t="s">
        <v>120</v>
      </c>
      <c r="N804" s="21"/>
      <c r="O804" s="22" t="s">
        <v>120</v>
      </c>
      <c r="P804" s="21"/>
      <c r="Q804" s="21"/>
      <c r="R804" s="21"/>
      <c r="S804" s="22" t="s">
        <v>120</v>
      </c>
      <c r="T804" s="21"/>
      <c r="U804" s="9" t="s">
        <v>1680</v>
      </c>
      <c r="V804" s="9" t="s">
        <v>1408</v>
      </c>
    </row>
    <row r="805" ht="14.25" customHeight="1">
      <c r="A805" s="9" t="s">
        <v>1546</v>
      </c>
      <c r="B805" s="9" t="s">
        <v>1545</v>
      </c>
      <c r="C805" s="9" t="str">
        <f t="array" ref="C805">INDEX(Funciones!$G$2:$G$372,MATCH($A805,Funciones!$B$2:$B$372,0))</f>
        <v>Enfriar el aire de cabina a temperatura de consigna de _____ °C</v>
      </c>
      <c r="D805" s="9" t="s">
        <v>4275</v>
      </c>
      <c r="E805" s="9" t="s">
        <v>3478</v>
      </c>
      <c r="F805" s="9" t="s">
        <v>4276</v>
      </c>
      <c r="G805" s="9" t="s">
        <v>4277</v>
      </c>
      <c r="H805" s="18" t="str">
        <f t="array" ref="H805">_xlfn.XLOOKUP(E:E,'Calificación consecuencia'!B:B,'Calificación consecuencia'!K:K,"No encontrada",2)</f>
        <v>Baja</v>
      </c>
      <c r="I805" s="9" t="s">
        <v>2106</v>
      </c>
      <c r="J805" s="20" t="s">
        <v>116</v>
      </c>
      <c r="K805" s="21"/>
      <c r="L805" s="21"/>
      <c r="M805" s="22" t="s">
        <v>120</v>
      </c>
      <c r="N805" s="21"/>
      <c r="O805" s="22" t="s">
        <v>120</v>
      </c>
      <c r="P805" s="21"/>
      <c r="Q805" s="21"/>
      <c r="R805" s="21"/>
      <c r="S805" s="22" t="s">
        <v>120</v>
      </c>
      <c r="T805" s="21"/>
      <c r="U805" s="9" t="s">
        <v>1680</v>
      </c>
      <c r="V805" s="9" t="s">
        <v>1408</v>
      </c>
    </row>
    <row r="806" ht="14.25" customHeight="1">
      <c r="A806" s="9" t="s">
        <v>1546</v>
      </c>
      <c r="B806" s="9" t="s">
        <v>1545</v>
      </c>
      <c r="C806" s="9" t="str">
        <f t="array" ref="C806">INDEX(Funciones!$G$2:$G$372,MATCH($A806,Funciones!$B$2:$B$372,0))</f>
        <v>Enfriar el aire de cabina a temperatura de consigna de _____ °C</v>
      </c>
      <c r="D806" s="9" t="s">
        <v>4275</v>
      </c>
      <c r="E806" s="9" t="s">
        <v>3480</v>
      </c>
      <c r="F806" s="9" t="s">
        <v>4278</v>
      </c>
      <c r="G806" s="9" t="s">
        <v>3382</v>
      </c>
      <c r="H806" s="18" t="str">
        <f t="array" ref="H806">_xlfn.XLOOKUP(E:E,'Calificación consecuencia'!B:B,'Calificación consecuencia'!K:K,"No encontrada",2)</f>
        <v>Baja</v>
      </c>
      <c r="I806" s="9" t="s">
        <v>2106</v>
      </c>
      <c r="J806" s="20" t="s">
        <v>116</v>
      </c>
      <c r="K806" s="21"/>
      <c r="L806" s="21"/>
      <c r="M806" s="22" t="s">
        <v>120</v>
      </c>
      <c r="N806" s="21"/>
      <c r="O806" s="22" t="s">
        <v>120</v>
      </c>
      <c r="P806" s="21"/>
      <c r="Q806" s="21"/>
      <c r="R806" s="21"/>
      <c r="S806" s="22" t="s">
        <v>120</v>
      </c>
      <c r="T806" s="21"/>
      <c r="U806" s="9" t="s">
        <v>1680</v>
      </c>
      <c r="V806" s="9" t="s">
        <v>1408</v>
      </c>
    </row>
    <row r="807" ht="14.25" customHeight="1">
      <c r="A807" s="9" t="s">
        <v>1546</v>
      </c>
      <c r="B807" s="9" t="s">
        <v>1545</v>
      </c>
      <c r="C807" s="9" t="str">
        <f t="array" ref="C807">INDEX(Funciones!$G$2:$G$372,MATCH($A807,Funciones!$B$2:$B$372,0))</f>
        <v>Enfriar el aire de cabina a temperatura de consigna de _____ °C</v>
      </c>
      <c r="D807" s="9" t="s">
        <v>4275</v>
      </c>
      <c r="E807" s="9" t="s">
        <v>3481</v>
      </c>
      <c r="F807" s="9" t="s">
        <v>4279</v>
      </c>
      <c r="G807" s="9" t="s">
        <v>4280</v>
      </c>
      <c r="H807" s="18" t="str">
        <f t="array" ref="H807">_xlfn.XLOOKUP(E:E,'Calificación consecuencia'!B:B,'Calificación consecuencia'!K:K,"No encontrada",2)</f>
        <v>Media</v>
      </c>
      <c r="I807" s="9" t="s">
        <v>2106</v>
      </c>
      <c r="J807" s="20" t="s">
        <v>116</v>
      </c>
      <c r="K807" s="21"/>
      <c r="L807" s="21"/>
      <c r="M807" s="22" t="s">
        <v>120</v>
      </c>
      <c r="N807" s="21"/>
      <c r="O807" s="20" t="s">
        <v>116</v>
      </c>
      <c r="P807" s="20" t="s">
        <v>116</v>
      </c>
      <c r="Q807" s="21"/>
      <c r="R807" s="21"/>
      <c r="S807" s="21"/>
      <c r="T807" s="21"/>
      <c r="U807" s="9" t="s">
        <v>345</v>
      </c>
      <c r="V807" s="9" t="s">
        <v>196</v>
      </c>
    </row>
    <row r="808" ht="14.25" customHeight="1">
      <c r="A808" s="9" t="s">
        <v>1546</v>
      </c>
      <c r="B808" s="9" t="s">
        <v>1545</v>
      </c>
      <c r="C808" s="9" t="str">
        <f t="array" ref="C808">INDEX(Funciones!$G$2:$G$372,MATCH($A808,Funciones!$B$2:$B$372,0))</f>
        <v>Enfriar el aire de cabina a temperatura de consigna de _____ °C</v>
      </c>
      <c r="D808" s="9" t="s">
        <v>4275</v>
      </c>
      <c r="E808" s="9" t="s">
        <v>3482</v>
      </c>
      <c r="F808" s="9" t="s">
        <v>4281</v>
      </c>
      <c r="G808" s="9" t="s">
        <v>4282</v>
      </c>
      <c r="H808" s="18" t="str">
        <f t="array" ref="H808">_xlfn.XLOOKUP(E:E,'Calificación consecuencia'!B:B,'Calificación consecuencia'!K:K,"No encontrada",2)</f>
        <v>Baja</v>
      </c>
      <c r="I808" s="9" t="s">
        <v>2106</v>
      </c>
      <c r="J808" s="20" t="s">
        <v>116</v>
      </c>
      <c r="K808" s="21"/>
      <c r="L808" s="21"/>
      <c r="M808" s="22" t="s">
        <v>120</v>
      </c>
      <c r="N808" s="21"/>
      <c r="O808" s="22" t="s">
        <v>120</v>
      </c>
      <c r="P808" s="21"/>
      <c r="Q808" s="21"/>
      <c r="R808" s="21"/>
      <c r="S808" s="22" t="s">
        <v>120</v>
      </c>
      <c r="T808" s="21"/>
      <c r="U808" s="9" t="s">
        <v>1680</v>
      </c>
      <c r="V808" s="9" t="s">
        <v>1408</v>
      </c>
    </row>
    <row r="809" ht="14.25" customHeight="1">
      <c r="A809" s="27" t="s">
        <v>1559</v>
      </c>
      <c r="B809" s="27" t="s">
        <v>1558</v>
      </c>
      <c r="C809" s="27" t="str">
        <f t="array" ref="C809">INDEX(Funciones!$G$2:$G$372,MATCH($A809,Funciones!$B$2:$B$372,0))</f>
        <v>Sellar la cabina con 0 filtraciones en prueba de agua</v>
      </c>
      <c r="D809" s="27" t="s">
        <v>3649</v>
      </c>
      <c r="E809" s="27" t="s">
        <v>1157</v>
      </c>
      <c r="F809" s="27" t="s">
        <v>3650</v>
      </c>
      <c r="G809" s="27" t="s">
        <v>3279</v>
      </c>
      <c r="H809" s="18" t="str">
        <f t="array" ref="H809">_xlfn.XLOOKUP(E:E,'Calificación consecuencia'!B:B,'Calificación consecuencia'!K:K,"No encontrada",2)</f>
        <v>Baja</v>
      </c>
      <c r="I809" s="27" t="s">
        <v>2106</v>
      </c>
      <c r="J809" s="30" t="s">
        <v>116</v>
      </c>
      <c r="K809" s="21"/>
      <c r="L809" s="21"/>
      <c r="M809" s="29" t="s">
        <v>120</v>
      </c>
      <c r="N809" s="21"/>
      <c r="O809" s="30" t="s">
        <v>116</v>
      </c>
      <c r="P809" s="30" t="s">
        <v>116</v>
      </c>
      <c r="Q809" s="21"/>
      <c r="R809" s="21"/>
      <c r="S809" s="21"/>
      <c r="T809" s="21"/>
      <c r="U809" s="27" t="s">
        <v>345</v>
      </c>
      <c r="V809" s="27" t="s">
        <v>196</v>
      </c>
    </row>
    <row r="810" ht="14.25" customHeight="1">
      <c r="A810" s="27" t="s">
        <v>1559</v>
      </c>
      <c r="B810" s="27" t="s">
        <v>1558</v>
      </c>
      <c r="C810" s="27" t="str">
        <f t="array" ref="C810">INDEX(Funciones!$G$2:$G$372,MATCH($A810,Funciones!$B$2:$B$372,0))</f>
        <v>Sellar la cabina con 0 filtraciones en prueba de agua</v>
      </c>
      <c r="D810" s="27" t="s">
        <v>3651</v>
      </c>
      <c r="E810" s="27" t="s">
        <v>1167</v>
      </c>
      <c r="F810" s="27" t="s">
        <v>3652</v>
      </c>
      <c r="G810" s="27" t="s">
        <v>3282</v>
      </c>
      <c r="H810" s="18" t="str">
        <f t="array" ref="H810">_xlfn.XLOOKUP(E:E,'Calificación consecuencia'!B:B,'Calificación consecuencia'!K:K,"No encontrada",2)</f>
        <v>Baja</v>
      </c>
      <c r="I810" s="27" t="s">
        <v>2106</v>
      </c>
      <c r="J810" s="30" t="s">
        <v>116</v>
      </c>
      <c r="K810" s="21"/>
      <c r="L810" s="21"/>
      <c r="M810" s="29" t="s">
        <v>120</v>
      </c>
      <c r="N810" s="21"/>
      <c r="O810" s="29" t="s">
        <v>120</v>
      </c>
      <c r="P810" s="21"/>
      <c r="Q810" s="21"/>
      <c r="R810" s="21"/>
      <c r="S810" s="29" t="s">
        <v>120</v>
      </c>
      <c r="T810" s="21"/>
      <c r="U810" s="27" t="s">
        <v>1680</v>
      </c>
      <c r="V810" s="27" t="s">
        <v>1408</v>
      </c>
    </row>
    <row r="811" ht="14.25" customHeight="1">
      <c r="A811" s="27" t="s">
        <v>1559</v>
      </c>
      <c r="B811" s="27" t="s">
        <v>1558</v>
      </c>
      <c r="C811" s="27" t="str">
        <f t="array" ref="C811">INDEX(Funciones!$G$2:$G$372,MATCH($A811,Funciones!$B$2:$B$372,0))</f>
        <v>Sellar la cabina con 0 filtraciones en prueba de agua</v>
      </c>
      <c r="D811" s="27" t="s">
        <v>3651</v>
      </c>
      <c r="E811" s="27" t="s">
        <v>1176</v>
      </c>
      <c r="F811" s="27" t="s">
        <v>3653</v>
      </c>
      <c r="G811" s="27" t="s">
        <v>3284</v>
      </c>
      <c r="H811" s="18" t="str">
        <f t="array" ref="H811">_xlfn.XLOOKUP(E:E,'Calificación consecuencia'!B:B,'Calificación consecuencia'!K:K,"No encontrada",2)</f>
        <v>Baja</v>
      </c>
      <c r="I811" s="27" t="s">
        <v>2106</v>
      </c>
      <c r="J811" s="30" t="s">
        <v>116</v>
      </c>
      <c r="K811" s="21"/>
      <c r="L811" s="21"/>
      <c r="M811" s="29" t="s">
        <v>120</v>
      </c>
      <c r="N811" s="21"/>
      <c r="O811" s="29" t="s">
        <v>120</v>
      </c>
      <c r="P811" s="21"/>
      <c r="Q811" s="21"/>
      <c r="R811" s="21"/>
      <c r="S811" s="29" t="s">
        <v>120</v>
      </c>
      <c r="T811" s="21"/>
      <c r="U811" s="27" t="s">
        <v>1680</v>
      </c>
      <c r="V811" s="27" t="s">
        <v>1408</v>
      </c>
    </row>
    <row r="812" ht="14.25" customHeight="1">
      <c r="A812" s="27" t="s">
        <v>1559</v>
      </c>
      <c r="B812" s="27" t="s">
        <v>1558</v>
      </c>
      <c r="C812" s="27" t="str">
        <f t="array" ref="C812">INDEX(Funciones!$G$2:$G$372,MATCH($A812,Funciones!$B$2:$B$372,0))</f>
        <v>Sellar la cabina con 0 filtraciones en prueba de agua</v>
      </c>
      <c r="D812" s="27" t="s">
        <v>3651</v>
      </c>
      <c r="E812" s="27" t="s">
        <v>1184</v>
      </c>
      <c r="F812" s="27" t="s">
        <v>3654</v>
      </c>
      <c r="G812" s="27" t="s">
        <v>3286</v>
      </c>
      <c r="H812" s="18" t="str">
        <f t="array" ref="H812">_xlfn.XLOOKUP(E:E,'Calificación consecuencia'!B:B,'Calificación consecuencia'!K:K,"No encontrada",2)</f>
        <v>Baja</v>
      </c>
      <c r="I812" s="27" t="s">
        <v>2106</v>
      </c>
      <c r="J812" s="30" t="s">
        <v>116</v>
      </c>
      <c r="K812" s="21"/>
      <c r="L812" s="21"/>
      <c r="M812" s="29" t="s">
        <v>120</v>
      </c>
      <c r="N812" s="21"/>
      <c r="O812" s="29" t="s">
        <v>120</v>
      </c>
      <c r="P812" s="21"/>
      <c r="Q812" s="21"/>
      <c r="R812" s="21"/>
      <c r="S812" s="29" t="s">
        <v>120</v>
      </c>
      <c r="T812" s="21"/>
      <c r="U812" s="27" t="s">
        <v>1680</v>
      </c>
      <c r="V812" s="27" t="s">
        <v>1408</v>
      </c>
    </row>
    <row r="813" ht="14.25" customHeight="1">
      <c r="A813" s="9" t="s">
        <v>1566</v>
      </c>
      <c r="B813" s="9" t="s">
        <v>1565</v>
      </c>
      <c r="C813" s="9" t="str">
        <f t="array" ref="C813">INDEX(Funciones!$G$2:$G$372,MATCH($A813,Funciones!$B$2:$B$372,0))</f>
        <v>Extinguir los conatos de incendio con capacidad de _____ L</v>
      </c>
      <c r="D813" s="9" t="s">
        <v>4283</v>
      </c>
      <c r="E813" s="9" t="s">
        <v>3486</v>
      </c>
      <c r="F813" s="9" t="s">
        <v>4284</v>
      </c>
      <c r="G813" s="9" t="s">
        <v>4285</v>
      </c>
      <c r="H813" s="18" t="str">
        <f t="array" ref="H813">_xlfn.XLOOKUP(E:E,'Calificación consecuencia'!B:B,'Calificación consecuencia'!K:K,"No encontrada",2)</f>
        <v>Media</v>
      </c>
      <c r="I813" s="9" t="s">
        <v>425</v>
      </c>
      <c r="J813" s="22" t="s">
        <v>120</v>
      </c>
      <c r="K813" s="20" t="s">
        <v>116</v>
      </c>
      <c r="L813" s="21"/>
      <c r="M813" s="21"/>
      <c r="N813" s="21"/>
      <c r="O813" s="21"/>
      <c r="P813" s="21"/>
      <c r="Q813" s="21"/>
      <c r="R813" s="21"/>
      <c r="S813" s="21"/>
      <c r="T813" s="21"/>
      <c r="U813" s="9" t="s">
        <v>439</v>
      </c>
      <c r="V813" s="9" t="s">
        <v>440</v>
      </c>
    </row>
    <row r="814" ht="14.25" customHeight="1">
      <c r="A814" s="9" t="s">
        <v>1566</v>
      </c>
      <c r="B814" s="9" t="s">
        <v>1565</v>
      </c>
      <c r="C814" s="9" t="str">
        <f t="array" ref="C814">INDEX(Funciones!$G$2:$G$372,MATCH($A814,Funciones!$B$2:$B$372,0))</f>
        <v>Extinguir los conatos de incendio con capacidad de _____ L</v>
      </c>
      <c r="D814" s="9" t="s">
        <v>4283</v>
      </c>
      <c r="E814" s="9" t="s">
        <v>3487</v>
      </c>
      <c r="F814" s="9" t="s">
        <v>4286</v>
      </c>
      <c r="G814" s="9" t="s">
        <v>4287</v>
      </c>
      <c r="H814" s="18" t="str">
        <f t="array" ref="H814">_xlfn.XLOOKUP(E:E,'Calificación consecuencia'!B:B,'Calificación consecuencia'!K:K,"No encontrada",2)</f>
        <v>Media</v>
      </c>
      <c r="I814" s="9" t="s">
        <v>425</v>
      </c>
      <c r="J814" s="22" t="s">
        <v>120</v>
      </c>
      <c r="K814" s="20" t="s">
        <v>116</v>
      </c>
      <c r="L814" s="21"/>
      <c r="M814" s="21"/>
      <c r="N814" s="21"/>
      <c r="O814" s="21"/>
      <c r="P814" s="21"/>
      <c r="Q814" s="21"/>
      <c r="R814" s="21"/>
      <c r="S814" s="21"/>
      <c r="T814" s="21"/>
      <c r="U814" s="9" t="s">
        <v>439</v>
      </c>
      <c r="V814" s="9" t="s">
        <v>440</v>
      </c>
    </row>
    <row r="815" ht="14.25" customHeight="1">
      <c r="A815" s="9" t="s">
        <v>1566</v>
      </c>
      <c r="B815" s="9" t="s">
        <v>1565</v>
      </c>
      <c r="C815" s="9" t="str">
        <f t="array" ref="C815">INDEX(Funciones!$G$2:$G$372,MATCH($A815,Funciones!$B$2:$B$372,0))</f>
        <v>Extinguir los conatos de incendio con capacidad de _____ L</v>
      </c>
      <c r="D815" s="9" t="s">
        <v>4283</v>
      </c>
      <c r="E815" s="9" t="s">
        <v>3488</v>
      </c>
      <c r="F815" s="9" t="s">
        <v>4288</v>
      </c>
      <c r="G815" s="9" t="s">
        <v>4289</v>
      </c>
      <c r="H815" s="18" t="str">
        <f t="array" ref="H815">_xlfn.XLOOKUP(E:E,'Calificación consecuencia'!B:B,'Calificación consecuencia'!K:K,"No encontrada",2)</f>
        <v>Baja</v>
      </c>
      <c r="I815" s="9" t="s">
        <v>425</v>
      </c>
      <c r="J815" s="22" t="s">
        <v>120</v>
      </c>
      <c r="K815" s="20" t="s">
        <v>116</v>
      </c>
      <c r="L815" s="21"/>
      <c r="M815" s="21"/>
      <c r="N815" s="21"/>
      <c r="O815" s="21"/>
      <c r="P815" s="21"/>
      <c r="Q815" s="21"/>
      <c r="R815" s="21"/>
      <c r="S815" s="21"/>
      <c r="T815" s="21"/>
      <c r="U815" s="9" t="s">
        <v>439</v>
      </c>
      <c r="V815" s="9" t="s">
        <v>440</v>
      </c>
    </row>
    <row r="816" ht="14.25" customHeight="1">
      <c r="A816" s="9" t="s">
        <v>1566</v>
      </c>
      <c r="B816" s="9" t="s">
        <v>1565</v>
      </c>
      <c r="C816" s="9" t="str">
        <f t="array" ref="C816">INDEX(Funciones!$G$2:$G$372,MATCH($A816,Funciones!$B$2:$B$372,0))</f>
        <v>Extinguir los conatos de incendio con capacidad de _____ L</v>
      </c>
      <c r="D816" s="9" t="s">
        <v>4290</v>
      </c>
      <c r="E816" s="9" t="s">
        <v>3489</v>
      </c>
      <c r="F816" s="9" t="s">
        <v>4291</v>
      </c>
      <c r="G816" s="9" t="s">
        <v>4292</v>
      </c>
      <c r="H816" s="18" t="str">
        <f t="array" ref="H816">_xlfn.XLOOKUP(E:E,'Calificación consecuencia'!B:B,'Calificación consecuencia'!K:K,"No encontrada",2)</f>
        <v>Media</v>
      </c>
      <c r="I816" s="9" t="s">
        <v>425</v>
      </c>
      <c r="J816" s="22" t="s">
        <v>120</v>
      </c>
      <c r="K816" s="20" t="s">
        <v>116</v>
      </c>
      <c r="L816" s="21"/>
      <c r="M816" s="21"/>
      <c r="N816" s="21"/>
      <c r="O816" s="21"/>
      <c r="P816" s="21"/>
      <c r="Q816" s="21"/>
      <c r="R816" s="21"/>
      <c r="S816" s="21"/>
      <c r="T816" s="21"/>
      <c r="U816" s="9" t="s">
        <v>439</v>
      </c>
      <c r="V816" s="9" t="s">
        <v>440</v>
      </c>
    </row>
    <row r="817" ht="14.25" customHeight="1">
      <c r="A817" s="9" t="s">
        <v>1566</v>
      </c>
      <c r="B817" s="9" t="s">
        <v>1565</v>
      </c>
      <c r="C817" s="9" t="str">
        <f t="array" ref="C817">INDEX(Funciones!$G$2:$G$372,MATCH($A817,Funciones!$B$2:$B$372,0))</f>
        <v>Extinguir los conatos de incendio con capacidad de _____ L</v>
      </c>
      <c r="D817" s="9" t="s">
        <v>4290</v>
      </c>
      <c r="E817" s="9" t="s">
        <v>3490</v>
      </c>
      <c r="F817" s="9" t="s">
        <v>4293</v>
      </c>
      <c r="G817" s="9" t="s">
        <v>4294</v>
      </c>
      <c r="H817" s="18" t="str">
        <f t="array" ref="H817">_xlfn.XLOOKUP(E:E,'Calificación consecuencia'!B:B,'Calificación consecuencia'!K:K,"No encontrada",2)</f>
        <v>Baja</v>
      </c>
      <c r="I817" s="9" t="s">
        <v>425</v>
      </c>
      <c r="J817" s="22" t="s">
        <v>120</v>
      </c>
      <c r="K817" s="20" t="s">
        <v>116</v>
      </c>
      <c r="L817" s="21"/>
      <c r="M817" s="21"/>
      <c r="N817" s="21"/>
      <c r="O817" s="21"/>
      <c r="P817" s="21"/>
      <c r="Q817" s="21"/>
      <c r="R817" s="21"/>
      <c r="S817" s="21"/>
      <c r="T817" s="21"/>
      <c r="U817" s="9" t="s">
        <v>439</v>
      </c>
      <c r="V817" s="9" t="s">
        <v>440</v>
      </c>
    </row>
    <row r="818" ht="14.25" customHeight="1">
      <c r="A818" s="27" t="s">
        <v>1581</v>
      </c>
      <c r="B818" s="27" t="s">
        <v>1580</v>
      </c>
      <c r="C818" s="27" t="str">
        <f t="array" ref="C818">INDEX(Funciones!$G$2:$G$372,MATCH($A818,Funciones!$B$2:$B$372,0))</f>
        <v>Retener el polvo de esmerilado hasta presión diferencial de _____ Pa</v>
      </c>
      <c r="D818" s="27" t="s">
        <v>4295</v>
      </c>
      <c r="E818" s="27" t="s">
        <v>3491</v>
      </c>
      <c r="F818" s="27" t="s">
        <v>4296</v>
      </c>
      <c r="G818" s="27" t="s">
        <v>1764</v>
      </c>
      <c r="H818" s="18" t="str">
        <f t="array" ref="H818">_xlfn.XLOOKUP(E:E,'Calificación consecuencia'!B:B,'Calificación consecuencia'!K:K,"No encontrada",2)</f>
        <v>Baja</v>
      </c>
      <c r="I818" s="27" t="s">
        <v>1351</v>
      </c>
      <c r="J818" s="30" t="s">
        <v>116</v>
      </c>
      <c r="K818" s="21"/>
      <c r="L818" s="21"/>
      <c r="M818" s="30" t="s">
        <v>116</v>
      </c>
      <c r="N818" s="30" t="s">
        <v>116</v>
      </c>
      <c r="O818" s="21"/>
      <c r="P818" s="21"/>
      <c r="Q818" s="21"/>
      <c r="R818" s="21"/>
      <c r="S818" s="21"/>
      <c r="T818" s="21"/>
      <c r="U818" s="27" t="s">
        <v>195</v>
      </c>
      <c r="V818" s="27" t="s">
        <v>196</v>
      </c>
    </row>
    <row r="819" ht="14.25" customHeight="1">
      <c r="A819" s="27" t="s">
        <v>1581</v>
      </c>
      <c r="B819" s="27" t="s">
        <v>1580</v>
      </c>
      <c r="C819" s="27" t="str">
        <f t="array" ref="C819">INDEX(Funciones!$G$2:$G$372,MATCH($A819,Funciones!$B$2:$B$372,0))</f>
        <v>Retener el polvo de esmerilado hasta presión diferencial de _____ Pa</v>
      </c>
      <c r="D819" s="27" t="s">
        <v>4295</v>
      </c>
      <c r="E819" s="27" t="s">
        <v>3492</v>
      </c>
      <c r="F819" s="27" t="s">
        <v>4297</v>
      </c>
      <c r="G819" s="27" t="s">
        <v>4298</v>
      </c>
      <c r="H819" s="18" t="str">
        <f t="array" ref="H819">_xlfn.XLOOKUP(E:E,'Calificación consecuencia'!B:B,'Calificación consecuencia'!K:K,"No encontrada",2)</f>
        <v>Media</v>
      </c>
      <c r="I819" s="27" t="s">
        <v>425</v>
      </c>
      <c r="J819" s="30" t="s">
        <v>116</v>
      </c>
      <c r="K819" s="21"/>
      <c r="L819" s="21"/>
      <c r="M819" s="30" t="s">
        <v>116</v>
      </c>
      <c r="N819" s="30" t="s">
        <v>116</v>
      </c>
      <c r="O819" s="21"/>
      <c r="P819" s="21"/>
      <c r="Q819" s="21"/>
      <c r="R819" s="21"/>
      <c r="S819" s="21"/>
      <c r="T819" s="21"/>
      <c r="U819" s="27" t="s">
        <v>195</v>
      </c>
      <c r="V819" s="27" t="s">
        <v>196</v>
      </c>
    </row>
    <row r="820" ht="14.25" customHeight="1">
      <c r="A820" s="27" t="s">
        <v>1581</v>
      </c>
      <c r="B820" s="27" t="s">
        <v>1580</v>
      </c>
      <c r="C820" s="27" t="str">
        <f t="array" ref="C820">INDEX(Funciones!$G$2:$G$372,MATCH($A820,Funciones!$B$2:$B$372,0))</f>
        <v>Retener el polvo de esmerilado hasta presión diferencial de _____ Pa</v>
      </c>
      <c r="D820" s="27" t="s">
        <v>4299</v>
      </c>
      <c r="E820" s="27" t="s">
        <v>3493</v>
      </c>
      <c r="F820" s="27" t="s">
        <v>4300</v>
      </c>
      <c r="G820" s="27" t="s">
        <v>4301</v>
      </c>
      <c r="H820" s="18" t="str">
        <f t="array" ref="H820">_xlfn.XLOOKUP(E:E,'Calificación consecuencia'!B:B,'Calificación consecuencia'!K:K,"No encontrada",2)</f>
        <v>Baja</v>
      </c>
      <c r="I820" s="27" t="s">
        <v>2106</v>
      </c>
      <c r="J820" s="30" t="s">
        <v>116</v>
      </c>
      <c r="K820" s="21"/>
      <c r="L820" s="21"/>
      <c r="M820" s="29" t="s">
        <v>120</v>
      </c>
      <c r="N820" s="21"/>
      <c r="O820" s="29" t="s">
        <v>120</v>
      </c>
      <c r="P820" s="21"/>
      <c r="Q820" s="21"/>
      <c r="R820" s="21"/>
      <c r="S820" s="29" t="s">
        <v>120</v>
      </c>
      <c r="T820" s="21"/>
      <c r="U820" s="27" t="s">
        <v>1680</v>
      </c>
      <c r="V820" s="27" t="s">
        <v>1408</v>
      </c>
    </row>
    <row r="821" ht="14.25" customHeight="1">
      <c r="A821" s="27" t="s">
        <v>1581</v>
      </c>
      <c r="B821" s="27" t="s">
        <v>1580</v>
      </c>
      <c r="C821" s="27" t="str">
        <f t="array" ref="C821">INDEX(Funciones!$G$2:$G$372,MATCH($A821,Funciones!$B$2:$B$372,0))</f>
        <v>Retener el polvo de esmerilado hasta presión diferencial de _____ Pa</v>
      </c>
      <c r="D821" s="27" t="s">
        <v>4299</v>
      </c>
      <c r="E821" s="27" t="s">
        <v>3495</v>
      </c>
      <c r="F821" s="27" t="s">
        <v>4302</v>
      </c>
      <c r="G821" s="27" t="s">
        <v>4298</v>
      </c>
      <c r="H821" s="18" t="str">
        <f t="array" ref="H821">_xlfn.XLOOKUP(E:E,'Calificación consecuencia'!B:B,'Calificación consecuencia'!K:K,"No encontrada",2)</f>
        <v>Baja</v>
      </c>
      <c r="I821" s="27" t="s">
        <v>2106</v>
      </c>
      <c r="J821" s="30" t="s">
        <v>116</v>
      </c>
      <c r="K821" s="21"/>
      <c r="L821" s="21"/>
      <c r="M821" s="29" t="s">
        <v>120</v>
      </c>
      <c r="N821" s="21"/>
      <c r="O821" s="29" t="s">
        <v>120</v>
      </c>
      <c r="P821" s="21"/>
      <c r="Q821" s="21"/>
      <c r="R821" s="21"/>
      <c r="S821" s="29" t="s">
        <v>120</v>
      </c>
      <c r="T821" s="21"/>
      <c r="U821" s="27" t="s">
        <v>1680</v>
      </c>
      <c r="V821" s="27" t="s">
        <v>1408</v>
      </c>
    </row>
    <row r="822" ht="14.25" customHeight="1">
      <c r="A822" s="9" t="s">
        <v>1595</v>
      </c>
      <c r="B822" s="9" t="s">
        <v>1594</v>
      </c>
      <c r="C822" s="9" t="str">
        <f t="array" ref="C822">INDEX(Funciones!$G$2:$G$372,MATCH($A822,Funciones!$B$2:$B$372,0))</f>
        <v>Suministrar la corriente de arranque con tensión mínima de 19,2 V</v>
      </c>
      <c r="D822" s="9" t="s">
        <v>3287</v>
      </c>
      <c r="E822" s="9" t="s">
        <v>1191</v>
      </c>
      <c r="F822" s="9" t="s">
        <v>3288</v>
      </c>
      <c r="G822" s="9" t="s">
        <v>3289</v>
      </c>
      <c r="H822" s="18" t="str">
        <f t="array" ref="H822">_xlfn.XLOOKUP(E:E,'Calificación consecuencia'!B:B,'Calificación consecuencia'!K:K,"No encontrada",2)</f>
        <v>Media</v>
      </c>
      <c r="I822" s="9" t="s">
        <v>339</v>
      </c>
      <c r="J822" s="20" t="s">
        <v>116</v>
      </c>
      <c r="K822" s="21"/>
      <c r="L822" s="21"/>
      <c r="M822" s="22" t="s">
        <v>120</v>
      </c>
      <c r="N822" s="21"/>
      <c r="O822" s="20" t="s">
        <v>116</v>
      </c>
      <c r="P822" s="22" t="s">
        <v>120</v>
      </c>
      <c r="Q822" s="20" t="s">
        <v>116</v>
      </c>
      <c r="R822" s="21"/>
      <c r="S822" s="21"/>
      <c r="T822" s="21"/>
      <c r="U822" s="9" t="s">
        <v>785</v>
      </c>
      <c r="V822" s="9" t="s">
        <v>786</v>
      </c>
    </row>
    <row r="823" ht="14.25" customHeight="1">
      <c r="A823" s="9" t="s">
        <v>1595</v>
      </c>
      <c r="B823" s="9" t="s">
        <v>1594</v>
      </c>
      <c r="C823" s="9" t="str">
        <f t="array" ref="C823">INDEX(Funciones!$G$2:$G$372,MATCH($A823,Funciones!$B$2:$B$372,0))</f>
        <v>Suministrar la corriente de arranque con tensión mínima de 19,2 V</v>
      </c>
      <c r="D823" s="9" t="s">
        <v>3287</v>
      </c>
      <c r="E823" s="9" t="s">
        <v>1195</v>
      </c>
      <c r="F823" s="9" t="s">
        <v>3290</v>
      </c>
      <c r="G823" s="9" t="s">
        <v>3291</v>
      </c>
      <c r="H823" s="18" t="str">
        <f t="array" ref="H823">_xlfn.XLOOKUP(E:E,'Calificación consecuencia'!B:B,'Calificación consecuencia'!K:K,"No encontrada",2)</f>
        <v>Baja</v>
      </c>
      <c r="I823" s="9" t="s">
        <v>339</v>
      </c>
      <c r="J823" s="20" t="s">
        <v>116</v>
      </c>
      <c r="K823" s="21"/>
      <c r="L823" s="21"/>
      <c r="M823" s="22" t="s">
        <v>120</v>
      </c>
      <c r="N823" s="21"/>
      <c r="O823" s="20" t="s">
        <v>116</v>
      </c>
      <c r="P823" s="22" t="s">
        <v>120</v>
      </c>
      <c r="Q823" s="20" t="s">
        <v>116</v>
      </c>
      <c r="R823" s="21"/>
      <c r="S823" s="21"/>
      <c r="T823" s="21"/>
      <c r="U823" s="9" t="s">
        <v>785</v>
      </c>
      <c r="V823" s="9" t="s">
        <v>786</v>
      </c>
    </row>
    <row r="824" ht="14.25" customHeight="1">
      <c r="A824" s="9" t="s">
        <v>1595</v>
      </c>
      <c r="B824" s="9" t="s">
        <v>1594</v>
      </c>
      <c r="C824" s="9" t="str">
        <f t="array" ref="C824">INDEX(Funciones!$G$2:$G$372,MATCH($A824,Funciones!$B$2:$B$372,0))</f>
        <v>Suministrar la corriente de arranque con tensión mínima de 19,2 V</v>
      </c>
      <c r="D824" s="9" t="s">
        <v>3287</v>
      </c>
      <c r="E824" s="9" t="s">
        <v>1204</v>
      </c>
      <c r="F824" s="9" t="s">
        <v>3292</v>
      </c>
      <c r="G824" s="9" t="s">
        <v>3293</v>
      </c>
      <c r="H824" s="18" t="str">
        <f t="array" ref="H824">_xlfn.XLOOKUP(E:E,'Calificación consecuencia'!B:B,'Calificación consecuencia'!K:K,"No encontrada",2)</f>
        <v>Baja</v>
      </c>
      <c r="I824" s="9" t="s">
        <v>339</v>
      </c>
      <c r="J824" s="20" t="s">
        <v>116</v>
      </c>
      <c r="K824" s="21"/>
      <c r="L824" s="21"/>
      <c r="M824" s="22" t="s">
        <v>120</v>
      </c>
      <c r="N824" s="21"/>
      <c r="O824" s="20" t="s">
        <v>116</v>
      </c>
      <c r="P824" s="22" t="s">
        <v>120</v>
      </c>
      <c r="Q824" s="22" t="s">
        <v>120</v>
      </c>
      <c r="R824" s="20" t="s">
        <v>116</v>
      </c>
      <c r="S824" s="21"/>
      <c r="T824" s="21"/>
      <c r="U824" s="9" t="s">
        <v>1680</v>
      </c>
      <c r="V824" s="9" t="s">
        <v>1408</v>
      </c>
    </row>
    <row r="825" ht="14.25" customHeight="1">
      <c r="A825" s="9" t="s">
        <v>1595</v>
      </c>
      <c r="B825" s="9" t="s">
        <v>1594</v>
      </c>
      <c r="C825" s="9" t="str">
        <f t="array" ref="C825">INDEX(Funciones!$G$2:$G$372,MATCH($A825,Funciones!$B$2:$B$372,0))</f>
        <v>Suministrar la corriente de arranque con tensión mínima de 19,2 V</v>
      </c>
      <c r="D825" s="9" t="s">
        <v>3287</v>
      </c>
      <c r="E825" s="9" t="s">
        <v>1210</v>
      </c>
      <c r="F825" s="9" t="s">
        <v>3297</v>
      </c>
      <c r="G825" s="9" t="s">
        <v>3298</v>
      </c>
      <c r="H825" s="18" t="str">
        <f t="array" ref="H825">_xlfn.XLOOKUP(E:E,'Calificación consecuencia'!B:B,'Calificación consecuencia'!K:K,"No encontrada",2)</f>
        <v>Media</v>
      </c>
      <c r="I825" s="9" t="s">
        <v>339</v>
      </c>
      <c r="J825" s="20" t="s">
        <v>116</v>
      </c>
      <c r="K825" s="21"/>
      <c r="L825" s="21"/>
      <c r="M825" s="22" t="s">
        <v>120</v>
      </c>
      <c r="N825" s="21"/>
      <c r="O825" s="20" t="s">
        <v>116</v>
      </c>
      <c r="P825" s="22" t="s">
        <v>120</v>
      </c>
      <c r="Q825" s="20" t="s">
        <v>116</v>
      </c>
      <c r="R825" s="21"/>
      <c r="S825" s="21"/>
      <c r="T825" s="21"/>
      <c r="U825" s="9" t="s">
        <v>785</v>
      </c>
      <c r="V825" s="9" t="s">
        <v>786</v>
      </c>
    </row>
    <row r="826" ht="14.25" customHeight="1">
      <c r="A826" s="9" t="s">
        <v>1595</v>
      </c>
      <c r="B826" s="9" t="s">
        <v>1594</v>
      </c>
      <c r="C826" s="9" t="str">
        <f t="array" ref="C826">INDEX(Funciones!$G$2:$G$372,MATCH($A826,Funciones!$B$2:$B$372,0))</f>
        <v>Suministrar la corriente de arranque con tensión mínima de 19,2 V</v>
      </c>
      <c r="D826" s="9" t="s">
        <v>3287</v>
      </c>
      <c r="E826" s="9" t="s">
        <v>1219</v>
      </c>
      <c r="F826" s="9" t="s">
        <v>3301</v>
      </c>
      <c r="G826" s="9" t="s">
        <v>3302</v>
      </c>
      <c r="H826" s="18" t="str">
        <f t="array" ref="H826">_xlfn.XLOOKUP(E:E,'Calificación consecuencia'!B:B,'Calificación consecuencia'!K:K,"No encontrada",2)</f>
        <v>Media</v>
      </c>
      <c r="I826" s="9" t="s">
        <v>339</v>
      </c>
      <c r="J826" s="20" t="s">
        <v>116</v>
      </c>
      <c r="K826" s="21"/>
      <c r="L826" s="21"/>
      <c r="M826" s="22" t="s">
        <v>120</v>
      </c>
      <c r="N826" s="21"/>
      <c r="O826" s="20" t="s">
        <v>116</v>
      </c>
      <c r="P826" s="22" t="s">
        <v>120</v>
      </c>
      <c r="Q826" s="20" t="s">
        <v>116</v>
      </c>
      <c r="R826" s="21"/>
      <c r="S826" s="21"/>
      <c r="T826" s="21"/>
      <c r="U826" s="9" t="s">
        <v>785</v>
      </c>
      <c r="V826" s="9" t="s">
        <v>786</v>
      </c>
    </row>
    <row r="827" ht="14.25" customHeight="1">
      <c r="A827" s="9" t="s">
        <v>1595</v>
      </c>
      <c r="B827" s="9" t="s">
        <v>1594</v>
      </c>
      <c r="C827" s="9" t="str">
        <f t="array" ref="C827">INDEX(Funciones!$G$2:$G$372,MATCH($A827,Funciones!$B$2:$B$372,0))</f>
        <v>Suministrar la corriente de arranque con tensión mínima de 19,2 V</v>
      </c>
      <c r="D827" s="9" t="s">
        <v>3304</v>
      </c>
      <c r="E827" s="9" t="s">
        <v>1228</v>
      </c>
      <c r="F827" s="9" t="s">
        <v>3305</v>
      </c>
      <c r="G827" s="9" t="s">
        <v>3306</v>
      </c>
      <c r="H827" s="18" t="str">
        <f t="array" ref="H827">_xlfn.XLOOKUP(E:E,'Calificación consecuencia'!B:B,'Calificación consecuencia'!K:K,"No encontrada",2)</f>
        <v>Baja</v>
      </c>
      <c r="I827" s="9" t="s">
        <v>2106</v>
      </c>
      <c r="J827" s="20" t="s">
        <v>116</v>
      </c>
      <c r="K827" s="21"/>
      <c r="L827" s="21"/>
      <c r="M827" s="22" t="s">
        <v>120</v>
      </c>
      <c r="N827" s="21"/>
      <c r="O827" s="22" t="s">
        <v>120</v>
      </c>
      <c r="P827" s="21"/>
      <c r="Q827" s="21"/>
      <c r="R827" s="21"/>
      <c r="S827" s="22" t="s">
        <v>120</v>
      </c>
      <c r="T827" s="21"/>
      <c r="U827" s="9" t="s">
        <v>1680</v>
      </c>
      <c r="V827" s="9" t="s">
        <v>1408</v>
      </c>
    </row>
    <row r="828" ht="14.25" customHeight="1">
      <c r="A828" s="9" t="s">
        <v>1595</v>
      </c>
      <c r="B828" s="9" t="s">
        <v>1594</v>
      </c>
      <c r="C828" s="9" t="str">
        <f t="array" ref="C828">INDEX(Funciones!$G$2:$G$372,MATCH($A828,Funciones!$B$2:$B$372,0))</f>
        <v>Suministrar la corriente de arranque con tensión mínima de 19,2 V</v>
      </c>
      <c r="D828" s="9" t="s">
        <v>3304</v>
      </c>
      <c r="E828" s="9" t="s">
        <v>1233</v>
      </c>
      <c r="F828" s="9" t="s">
        <v>3307</v>
      </c>
      <c r="G828" s="9" t="s">
        <v>3308</v>
      </c>
      <c r="H828" s="18" t="str">
        <f t="array" ref="H828">_xlfn.XLOOKUP(E:E,'Calificación consecuencia'!B:B,'Calificación consecuencia'!K:K,"No encontrada",2)</f>
        <v>Baja</v>
      </c>
      <c r="I828" s="9" t="s">
        <v>2106</v>
      </c>
      <c r="J828" s="20" t="s">
        <v>116</v>
      </c>
      <c r="K828" s="21"/>
      <c r="L828" s="21"/>
      <c r="M828" s="22" t="s">
        <v>120</v>
      </c>
      <c r="N828" s="21"/>
      <c r="O828" s="22" t="s">
        <v>120</v>
      </c>
      <c r="P828" s="21"/>
      <c r="Q828" s="21"/>
      <c r="R828" s="21"/>
      <c r="S828" s="22" t="s">
        <v>120</v>
      </c>
      <c r="T828" s="21"/>
      <c r="U828" s="9" t="s">
        <v>1680</v>
      </c>
      <c r="V828" s="9" t="s">
        <v>1408</v>
      </c>
    </row>
    <row r="829" ht="14.25" customHeight="1">
      <c r="A829" s="27" t="s">
        <v>1600</v>
      </c>
      <c r="B829" s="27" t="s">
        <v>1594</v>
      </c>
      <c r="C829" s="27" t="str">
        <f t="array" ref="C829">INDEX(Funciones!$G$2:$G$372,MATCH($A829,Funciones!$B$2:$B$372,0))</f>
        <v>Almacenar energía eléctrica con tensión mínima de 19,2 V</v>
      </c>
      <c r="D829" s="27" t="s">
        <v>3309</v>
      </c>
      <c r="E829" s="27" t="s">
        <v>1191</v>
      </c>
      <c r="F829" s="27" t="s">
        <v>3288</v>
      </c>
      <c r="G829" s="27" t="s">
        <v>3289</v>
      </c>
      <c r="H829" s="18" t="str">
        <f t="array" ref="H829">_xlfn.XLOOKUP(E:E,'Calificación consecuencia'!B:B,'Calificación consecuencia'!K:K,"No encontrada",2)</f>
        <v>Media</v>
      </c>
      <c r="I829" s="27" t="s">
        <v>339</v>
      </c>
      <c r="J829" s="30" t="s">
        <v>116</v>
      </c>
      <c r="K829" s="21"/>
      <c r="L829" s="21"/>
      <c r="M829" s="29" t="s">
        <v>120</v>
      </c>
      <c r="N829" s="21"/>
      <c r="O829" s="30" t="s">
        <v>116</v>
      </c>
      <c r="P829" s="29" t="s">
        <v>120</v>
      </c>
      <c r="Q829" s="30" t="s">
        <v>116</v>
      </c>
      <c r="R829" s="21"/>
      <c r="S829" s="21"/>
      <c r="T829" s="21"/>
      <c r="U829" s="27" t="s">
        <v>785</v>
      </c>
      <c r="V829" s="27" t="s">
        <v>786</v>
      </c>
    </row>
    <row r="830" ht="14.25" customHeight="1">
      <c r="A830" s="27" t="s">
        <v>1600</v>
      </c>
      <c r="B830" s="27" t="s">
        <v>1594</v>
      </c>
      <c r="C830" s="27" t="str">
        <f t="array" ref="C830">INDEX(Funciones!$G$2:$G$372,MATCH($A830,Funciones!$B$2:$B$372,0))</f>
        <v>Almacenar energía eléctrica con tensión mínima de 19,2 V</v>
      </c>
      <c r="D830" s="27" t="s">
        <v>3309</v>
      </c>
      <c r="E830" s="27" t="s">
        <v>1204</v>
      </c>
      <c r="F830" s="27" t="s">
        <v>3292</v>
      </c>
      <c r="G830" s="27" t="s">
        <v>3293</v>
      </c>
      <c r="H830" s="18" t="str">
        <f t="array" ref="H830">_xlfn.XLOOKUP(E:E,'Calificación consecuencia'!B:B,'Calificación consecuencia'!K:K,"No encontrada",2)</f>
        <v>Baja</v>
      </c>
      <c r="I830" s="27" t="s">
        <v>339</v>
      </c>
      <c r="J830" s="30" t="s">
        <v>116</v>
      </c>
      <c r="K830" s="21"/>
      <c r="L830" s="21"/>
      <c r="M830" s="29" t="s">
        <v>120</v>
      </c>
      <c r="N830" s="21"/>
      <c r="O830" s="30" t="s">
        <v>116</v>
      </c>
      <c r="P830" s="29" t="s">
        <v>120</v>
      </c>
      <c r="Q830" s="29" t="s">
        <v>120</v>
      </c>
      <c r="R830" s="30" t="s">
        <v>116</v>
      </c>
      <c r="S830" s="21"/>
      <c r="T830" s="21"/>
      <c r="U830" s="27" t="s">
        <v>1680</v>
      </c>
      <c r="V830" s="27" t="s">
        <v>1408</v>
      </c>
    </row>
    <row r="831" ht="14.25" customHeight="1">
      <c r="A831" s="27" t="s">
        <v>1600</v>
      </c>
      <c r="B831" s="27" t="s">
        <v>1594</v>
      </c>
      <c r="C831" s="27" t="str">
        <f t="array" ref="C831">INDEX(Funciones!$G$2:$G$372,MATCH($A831,Funciones!$B$2:$B$372,0))</f>
        <v>Almacenar energía eléctrica con tensión mínima de 19,2 V</v>
      </c>
      <c r="D831" s="27" t="s">
        <v>3310</v>
      </c>
      <c r="E831" s="27" t="s">
        <v>1228</v>
      </c>
      <c r="F831" s="27" t="s">
        <v>3305</v>
      </c>
      <c r="G831" s="27" t="s">
        <v>3306</v>
      </c>
      <c r="H831" s="18" t="str">
        <f t="array" ref="H831">_xlfn.XLOOKUP(E:E,'Calificación consecuencia'!B:B,'Calificación consecuencia'!K:K,"No encontrada",2)</f>
        <v>Baja</v>
      </c>
      <c r="I831" s="27" t="s">
        <v>2106</v>
      </c>
      <c r="J831" s="30" t="s">
        <v>116</v>
      </c>
      <c r="K831" s="21"/>
      <c r="L831" s="21"/>
      <c r="M831" s="29" t="s">
        <v>120</v>
      </c>
      <c r="N831" s="21"/>
      <c r="O831" s="29" t="s">
        <v>120</v>
      </c>
      <c r="P831" s="21"/>
      <c r="Q831" s="21"/>
      <c r="R831" s="21"/>
      <c r="S831" s="29" t="s">
        <v>120</v>
      </c>
      <c r="T831" s="21"/>
      <c r="U831" s="27" t="s">
        <v>1680</v>
      </c>
      <c r="V831" s="27" t="s">
        <v>1408</v>
      </c>
    </row>
    <row r="832" ht="14.25" customHeight="1">
      <c r="A832" s="9" t="s">
        <v>1604</v>
      </c>
      <c r="B832" s="9" t="s">
        <v>1603</v>
      </c>
      <c r="C832" s="9" t="str">
        <f t="array" ref="C832">INDEX(Funciones!$G$2:$G$372,MATCH($A832,Funciones!$B$2:$B$372,0))</f>
        <v>Remover metal del riel de _____ mm por pasada</v>
      </c>
      <c r="D832" s="9" t="s">
        <v>4303</v>
      </c>
      <c r="E832" s="9" t="s">
        <v>3499</v>
      </c>
      <c r="F832" s="9" t="s">
        <v>4304</v>
      </c>
      <c r="G832" s="9" t="s">
        <v>4305</v>
      </c>
      <c r="H832" s="18" t="str">
        <f t="array" ref="H832">_xlfn.XLOOKUP(E:E,'Calificación consecuencia'!B:B,'Calificación consecuencia'!K:K,"No encontrada",2)</f>
        <v>Baja</v>
      </c>
      <c r="I832" s="9" t="s">
        <v>1800</v>
      </c>
      <c r="J832" s="20" t="s">
        <v>116</v>
      </c>
      <c r="K832" s="21"/>
      <c r="L832" s="21"/>
      <c r="M832" s="22" t="s">
        <v>120</v>
      </c>
      <c r="N832" s="21"/>
      <c r="O832" s="20" t="s">
        <v>116</v>
      </c>
      <c r="P832" s="20" t="s">
        <v>116</v>
      </c>
      <c r="Q832" s="21"/>
      <c r="R832" s="21"/>
      <c r="S832" s="21"/>
      <c r="T832" s="21"/>
      <c r="U832" s="9" t="s">
        <v>345</v>
      </c>
      <c r="V832" s="9" t="s">
        <v>196</v>
      </c>
    </row>
    <row r="833" ht="14.25" customHeight="1">
      <c r="A833" s="9" t="s">
        <v>1604</v>
      </c>
      <c r="B833" s="9" t="s">
        <v>1603</v>
      </c>
      <c r="C833" s="9" t="str">
        <f t="array" ref="C833">INDEX(Funciones!$G$2:$G$372,MATCH($A833,Funciones!$B$2:$B$372,0))</f>
        <v>Remover metal del riel de _____ mm por pasada</v>
      </c>
      <c r="D833" s="9" t="s">
        <v>4303</v>
      </c>
      <c r="E833" s="9" t="s">
        <v>3502</v>
      </c>
      <c r="F833" s="9" t="s">
        <v>4306</v>
      </c>
      <c r="G833" s="9" t="s">
        <v>4307</v>
      </c>
      <c r="H833" s="18" t="str">
        <f t="array" ref="H833">_xlfn.XLOOKUP(E:E,'Calificación consecuencia'!B:B,'Calificación consecuencia'!K:K,"No encontrada",2)</f>
        <v>Baja</v>
      </c>
      <c r="I833" s="9" t="s">
        <v>1800</v>
      </c>
      <c r="J833" s="20" t="s">
        <v>116</v>
      </c>
      <c r="K833" s="21"/>
      <c r="L833" s="21"/>
      <c r="M833" s="22" t="s">
        <v>120</v>
      </c>
      <c r="N833" s="21"/>
      <c r="O833" s="22" t="s">
        <v>120</v>
      </c>
      <c r="P833" s="21"/>
      <c r="Q833" s="21"/>
      <c r="R833" s="21"/>
      <c r="S833" s="20" t="s">
        <v>116</v>
      </c>
      <c r="T833" s="22" t="s">
        <v>120</v>
      </c>
      <c r="U833" s="9" t="s">
        <v>1680</v>
      </c>
      <c r="V833" s="9" t="s">
        <v>1408</v>
      </c>
    </row>
    <row r="834" ht="14.25" customHeight="1">
      <c r="A834" s="9" t="s">
        <v>1604</v>
      </c>
      <c r="B834" s="9" t="s">
        <v>1603</v>
      </c>
      <c r="C834" s="9" t="str">
        <f t="array" ref="C834">INDEX(Funciones!$G$2:$G$372,MATCH($A834,Funciones!$B$2:$B$372,0))</f>
        <v>Remover metal del riel de _____ mm por pasada</v>
      </c>
      <c r="D834" s="9" t="s">
        <v>4308</v>
      </c>
      <c r="E834" s="9" t="s">
        <v>3503</v>
      </c>
      <c r="F834" s="9" t="s">
        <v>4309</v>
      </c>
      <c r="G834" s="9" t="s">
        <v>4310</v>
      </c>
      <c r="H834" s="18" t="str">
        <f t="array" ref="H834">_xlfn.XLOOKUP(E:E,'Calificación consecuencia'!B:B,'Calificación consecuencia'!K:K,"No encontrada",2)</f>
        <v>Baja</v>
      </c>
      <c r="I834" s="9" t="s">
        <v>1800</v>
      </c>
      <c r="J834" s="20" t="s">
        <v>116</v>
      </c>
      <c r="K834" s="21"/>
      <c r="L834" s="21"/>
      <c r="M834" s="22" t="s">
        <v>120</v>
      </c>
      <c r="N834" s="21"/>
      <c r="O834" s="22" t="s">
        <v>120</v>
      </c>
      <c r="P834" s="21"/>
      <c r="Q834" s="21"/>
      <c r="R834" s="21"/>
      <c r="S834" s="20" t="s">
        <v>116</v>
      </c>
      <c r="T834" s="20" t="s">
        <v>116</v>
      </c>
      <c r="U834" s="9" t="s">
        <v>3471</v>
      </c>
      <c r="V834" s="9" t="s">
        <v>196</v>
      </c>
    </row>
    <row r="835" ht="14.25" customHeight="1">
      <c r="A835" s="9" t="s">
        <v>1604</v>
      </c>
      <c r="B835" s="9" t="s">
        <v>1603</v>
      </c>
      <c r="C835" s="9" t="str">
        <f t="array" ref="C835">INDEX(Funciones!$G$2:$G$372,MATCH($A835,Funciones!$B$2:$B$372,0))</f>
        <v>Remover metal del riel de _____ mm por pasada</v>
      </c>
      <c r="D835" s="9" t="s">
        <v>4308</v>
      </c>
      <c r="E835" s="9" t="s">
        <v>3504</v>
      </c>
      <c r="F835" s="9" t="s">
        <v>4311</v>
      </c>
      <c r="G835" s="9" t="s">
        <v>4312</v>
      </c>
      <c r="H835" s="18" t="str">
        <f t="array" ref="H835">_xlfn.XLOOKUP(E:E,'Calificación consecuencia'!B:B,'Calificación consecuencia'!K:K,"No encontrada",2)</f>
        <v>Baja</v>
      </c>
      <c r="I835" s="9" t="s">
        <v>1800</v>
      </c>
      <c r="J835" s="20" t="s">
        <v>116</v>
      </c>
      <c r="K835" s="21"/>
      <c r="L835" s="21"/>
      <c r="M835" s="22" t="s">
        <v>120</v>
      </c>
      <c r="N835" s="21"/>
      <c r="O835" s="20" t="s">
        <v>116</v>
      </c>
      <c r="P835" s="20" t="s">
        <v>116</v>
      </c>
      <c r="Q835" s="21"/>
      <c r="R835" s="21"/>
      <c r="S835" s="21"/>
      <c r="T835" s="21"/>
      <c r="U835" s="9" t="s">
        <v>345</v>
      </c>
      <c r="V835" s="9" t="s">
        <v>196</v>
      </c>
    </row>
    <row r="836" ht="14.25" customHeight="1">
      <c r="A836" s="9" t="s">
        <v>1604</v>
      </c>
      <c r="B836" s="9" t="s">
        <v>1603</v>
      </c>
      <c r="C836" s="9" t="str">
        <f t="array" ref="C836">INDEX(Funciones!$G$2:$G$372,MATCH($A836,Funciones!$B$2:$B$372,0))</f>
        <v>Remover metal del riel de _____ mm por pasada</v>
      </c>
      <c r="D836" s="9" t="s">
        <v>4308</v>
      </c>
      <c r="E836" s="9" t="s">
        <v>3505</v>
      </c>
      <c r="F836" s="9" t="s">
        <v>4313</v>
      </c>
      <c r="G836" s="9" t="s">
        <v>4314</v>
      </c>
      <c r="H836" s="18" t="str">
        <f t="array" ref="H836">_xlfn.XLOOKUP(E:E,'Calificación consecuencia'!B:B,'Calificación consecuencia'!K:K,"No encontrada",2)</f>
        <v>Baja</v>
      </c>
      <c r="I836" s="9" t="s">
        <v>1800</v>
      </c>
      <c r="J836" s="20" t="s">
        <v>116</v>
      </c>
      <c r="K836" s="21"/>
      <c r="L836" s="21"/>
      <c r="M836" s="22" t="s">
        <v>120</v>
      </c>
      <c r="N836" s="21"/>
      <c r="O836" s="20" t="s">
        <v>116</v>
      </c>
      <c r="P836" s="22" t="s">
        <v>120</v>
      </c>
      <c r="Q836" s="22" t="s">
        <v>120</v>
      </c>
      <c r="R836" s="22" t="s">
        <v>120</v>
      </c>
      <c r="S836" s="21"/>
      <c r="T836" s="21"/>
      <c r="U836" s="9" t="s">
        <v>230</v>
      </c>
      <c r="V836" s="9" t="s">
        <v>230</v>
      </c>
    </row>
    <row r="837" ht="14.25" customHeight="1">
      <c r="A837" s="9" t="s">
        <v>1604</v>
      </c>
      <c r="B837" s="9" t="s">
        <v>1603</v>
      </c>
      <c r="C837" s="9" t="str">
        <f t="array" ref="C837">INDEX(Funciones!$G$2:$G$372,MATCH($A837,Funciones!$B$2:$B$372,0))</f>
        <v>Remover metal del riel de _____ mm por pasada</v>
      </c>
      <c r="D837" s="9" t="s">
        <v>4315</v>
      </c>
      <c r="E837" s="9" t="s">
        <v>3508</v>
      </c>
      <c r="F837" s="9" t="s">
        <v>4316</v>
      </c>
      <c r="G837" s="9" t="s">
        <v>4317</v>
      </c>
      <c r="H837" s="18" t="str">
        <f t="array" ref="H837">_xlfn.XLOOKUP(E:E,'Calificación consecuencia'!B:B,'Calificación consecuencia'!K:K,"No encontrada",2)</f>
        <v>Baja</v>
      </c>
      <c r="I837" s="9" t="s">
        <v>1800</v>
      </c>
      <c r="J837" s="20" t="s">
        <v>116</v>
      </c>
      <c r="K837" s="21"/>
      <c r="L837" s="21"/>
      <c r="M837" s="22" t="s">
        <v>120</v>
      </c>
      <c r="N837" s="21"/>
      <c r="O837" s="22" t="s">
        <v>120</v>
      </c>
      <c r="P837" s="21"/>
      <c r="Q837" s="21"/>
      <c r="R837" s="21"/>
      <c r="S837" s="20" t="s">
        <v>116</v>
      </c>
      <c r="T837" s="20" t="s">
        <v>116</v>
      </c>
      <c r="U837" s="9" t="s">
        <v>3471</v>
      </c>
      <c r="V837" s="9" t="s">
        <v>196</v>
      </c>
    </row>
    <row r="838" ht="14.25" customHeight="1">
      <c r="A838" s="27" t="s">
        <v>1618</v>
      </c>
      <c r="B838" s="27" t="s">
        <v>1603</v>
      </c>
      <c r="C838" s="27" t="str">
        <f t="array" ref="C838">INDEX(Funciones!$G$2:$G$372,MATCH($A838,Funciones!$B$2:$B$372,0))</f>
        <v>Girar la muela a 6.000 rpm</v>
      </c>
      <c r="D838" s="27" t="s">
        <v>4318</v>
      </c>
      <c r="E838" s="27" t="s">
        <v>3509</v>
      </c>
      <c r="F838" s="27" t="s">
        <v>4319</v>
      </c>
      <c r="G838" s="27" t="s">
        <v>4320</v>
      </c>
      <c r="H838" s="18" t="str">
        <f t="array" ref="H838">_xlfn.XLOOKUP(E:E,'Calificación consecuencia'!B:B,'Calificación consecuencia'!K:K,"No encontrada",2)</f>
        <v>Media</v>
      </c>
      <c r="I838" s="27" t="s">
        <v>425</v>
      </c>
      <c r="J838" s="30" t="s">
        <v>116</v>
      </c>
      <c r="K838" s="21"/>
      <c r="L838" s="21"/>
      <c r="M838" s="30" t="s">
        <v>116</v>
      </c>
      <c r="N838" s="30" t="s">
        <v>116</v>
      </c>
      <c r="O838" s="21"/>
      <c r="P838" s="21"/>
      <c r="Q838" s="21"/>
      <c r="R838" s="21"/>
      <c r="S838" s="21"/>
      <c r="T838" s="21"/>
      <c r="U838" s="27" t="s">
        <v>195</v>
      </c>
      <c r="V838" s="27" t="s">
        <v>196</v>
      </c>
    </row>
    <row r="839" ht="14.25" customHeight="1">
      <c r="A839" s="27" t="s">
        <v>1618</v>
      </c>
      <c r="B839" s="27" t="s">
        <v>1603</v>
      </c>
      <c r="C839" s="27" t="str">
        <f t="array" ref="C839">INDEX(Funciones!$G$2:$G$372,MATCH($A839,Funciones!$B$2:$B$372,0))</f>
        <v>Girar la muela a 6.000 rpm</v>
      </c>
      <c r="D839" s="27" t="s">
        <v>4318</v>
      </c>
      <c r="E839" s="27" t="s">
        <v>3510</v>
      </c>
      <c r="F839" s="27" t="s">
        <v>4321</v>
      </c>
      <c r="G839" s="27" t="s">
        <v>4322</v>
      </c>
      <c r="H839" s="18" t="str">
        <f t="array" ref="H839">_xlfn.XLOOKUP(E:E,'Calificación consecuencia'!B:B,'Calificación consecuencia'!K:K,"No encontrada",2)</f>
        <v>Baja</v>
      </c>
      <c r="I839" s="27" t="s">
        <v>425</v>
      </c>
      <c r="J839" s="30" t="s">
        <v>116</v>
      </c>
      <c r="K839" s="21"/>
      <c r="L839" s="21"/>
      <c r="M839" s="30" t="s">
        <v>116</v>
      </c>
      <c r="N839" s="30" t="s">
        <v>116</v>
      </c>
      <c r="O839" s="21"/>
      <c r="P839" s="21"/>
      <c r="Q839" s="21"/>
      <c r="R839" s="21"/>
      <c r="S839" s="21"/>
      <c r="T839" s="21"/>
      <c r="U839" s="27" t="s">
        <v>195</v>
      </c>
      <c r="V839" s="27" t="s">
        <v>196</v>
      </c>
    </row>
    <row r="840" ht="14.25" customHeight="1">
      <c r="A840" s="27" t="s">
        <v>1618</v>
      </c>
      <c r="B840" s="27" t="s">
        <v>1603</v>
      </c>
      <c r="C840" s="27" t="str">
        <f t="array" ref="C840">INDEX(Funciones!$G$2:$G$372,MATCH($A840,Funciones!$B$2:$B$372,0))</f>
        <v>Girar la muela a 6.000 rpm</v>
      </c>
      <c r="D840" s="27" t="s">
        <v>4323</v>
      </c>
      <c r="E840" s="27" t="s">
        <v>3511</v>
      </c>
      <c r="F840" s="27" t="s">
        <v>4324</v>
      </c>
      <c r="G840" s="27" t="s">
        <v>4325</v>
      </c>
      <c r="H840" s="18" t="str">
        <f t="array" ref="H840">_xlfn.XLOOKUP(E:E,'Calificación consecuencia'!B:B,'Calificación consecuencia'!K:K,"No encontrada",2)</f>
        <v>Media</v>
      </c>
      <c r="I840" s="27" t="s">
        <v>1800</v>
      </c>
      <c r="J840" s="30" t="s">
        <v>116</v>
      </c>
      <c r="K840" s="21"/>
      <c r="L840" s="21"/>
      <c r="M840" s="29" t="s">
        <v>120</v>
      </c>
      <c r="N840" s="21"/>
      <c r="O840" s="29" t="s">
        <v>120</v>
      </c>
      <c r="P840" s="21"/>
      <c r="Q840" s="21"/>
      <c r="R840" s="21"/>
      <c r="S840" s="30" t="s">
        <v>116</v>
      </c>
      <c r="T840" s="30" t="s">
        <v>116</v>
      </c>
      <c r="U840" s="27" t="s">
        <v>3471</v>
      </c>
      <c r="V840" s="27" t="s">
        <v>196</v>
      </c>
    </row>
    <row r="841" ht="14.25" customHeight="1">
      <c r="A841" s="27" t="s">
        <v>1618</v>
      </c>
      <c r="B841" s="27" t="s">
        <v>1603</v>
      </c>
      <c r="C841" s="27" t="str">
        <f t="array" ref="C841">INDEX(Funciones!$G$2:$G$372,MATCH($A841,Funciones!$B$2:$B$372,0))</f>
        <v>Girar la muela a 6.000 rpm</v>
      </c>
      <c r="D841" s="27" t="s">
        <v>4323</v>
      </c>
      <c r="E841" s="27" t="s">
        <v>3514</v>
      </c>
      <c r="F841" s="27" t="s">
        <v>4326</v>
      </c>
      <c r="G841" s="27" t="s">
        <v>4327</v>
      </c>
      <c r="H841" s="18" t="str">
        <f t="array" ref="H841">_xlfn.XLOOKUP(E:E,'Calificación consecuencia'!B:B,'Calificación consecuencia'!K:K,"No encontrada",2)</f>
        <v>Baja</v>
      </c>
      <c r="I841" s="27" t="s">
        <v>2106</v>
      </c>
      <c r="J841" s="30" t="s">
        <v>116</v>
      </c>
      <c r="K841" s="21"/>
      <c r="L841" s="21"/>
      <c r="M841" s="29" t="s">
        <v>120</v>
      </c>
      <c r="N841" s="21"/>
      <c r="O841" s="29" t="s">
        <v>120</v>
      </c>
      <c r="P841" s="21"/>
      <c r="Q841" s="21"/>
      <c r="R841" s="21"/>
      <c r="S841" s="29" t="s">
        <v>120</v>
      </c>
      <c r="T841" s="21"/>
      <c r="U841" s="27" t="s">
        <v>1680</v>
      </c>
      <c r="V841" s="27" t="s">
        <v>1408</v>
      </c>
    </row>
    <row r="842" ht="14.25" customHeight="1">
      <c r="A842" s="27" t="s">
        <v>1618</v>
      </c>
      <c r="B842" s="27" t="s">
        <v>1603</v>
      </c>
      <c r="C842" s="27" t="str">
        <f t="array" ref="C842">INDEX(Funciones!$G$2:$G$372,MATCH($A842,Funciones!$B$2:$B$372,0))</f>
        <v>Girar la muela a 6.000 rpm</v>
      </c>
      <c r="D842" s="27" t="s">
        <v>4328</v>
      </c>
      <c r="E842" s="27" t="s">
        <v>3515</v>
      </c>
      <c r="F842" s="27" t="s">
        <v>4329</v>
      </c>
      <c r="G842" s="27" t="s">
        <v>4327</v>
      </c>
      <c r="H842" s="18" t="str">
        <f t="array" ref="H842">_xlfn.XLOOKUP(E:E,'Calificación consecuencia'!B:B,'Calificación consecuencia'!K:K,"No encontrada",2)</f>
        <v>Media</v>
      </c>
      <c r="I842" s="27" t="s">
        <v>425</v>
      </c>
      <c r="J842" s="30" t="s">
        <v>116</v>
      </c>
      <c r="K842" s="21"/>
      <c r="L842" s="21"/>
      <c r="M842" s="30" t="s">
        <v>116</v>
      </c>
      <c r="N842" s="30" t="s">
        <v>116</v>
      </c>
      <c r="O842" s="21"/>
      <c r="P842" s="21"/>
      <c r="Q842" s="21"/>
      <c r="R842" s="21"/>
      <c r="S842" s="21"/>
      <c r="T842" s="21"/>
      <c r="U842" s="27" t="s">
        <v>195</v>
      </c>
      <c r="V842" s="27" t="s">
        <v>196</v>
      </c>
    </row>
    <row r="843" ht="14.25" customHeight="1">
      <c r="A843" s="9" t="s">
        <v>1627</v>
      </c>
      <c r="B843" s="9" t="s">
        <v>1603</v>
      </c>
      <c r="C843" s="9" t="str">
        <f t="array" ref="C843">INDEX(Funciones!$G$2:$G$372,MATCH($A843,Funciones!$B$2:$B$372,0))</f>
        <v>Orientar el cabezal de 45 (campo) a 75 (trocha) grados</v>
      </c>
      <c r="D843" s="9" t="s">
        <v>4330</v>
      </c>
      <c r="E843" s="9" t="s">
        <v>3516</v>
      </c>
      <c r="F843" s="9" t="s">
        <v>4331</v>
      </c>
      <c r="G843" s="9" t="s">
        <v>4332</v>
      </c>
      <c r="H843" s="18" t="str">
        <f t="array" ref="H843">_xlfn.XLOOKUP(E:E,'Calificación consecuencia'!B:B,'Calificación consecuencia'!K:K,"No encontrada",2)</f>
        <v>Media</v>
      </c>
      <c r="I843" s="9" t="s">
        <v>1800</v>
      </c>
      <c r="J843" s="20" t="s">
        <v>116</v>
      </c>
      <c r="K843" s="21"/>
      <c r="L843" s="21"/>
      <c r="M843" s="22" t="s">
        <v>120</v>
      </c>
      <c r="N843" s="21"/>
      <c r="O843" s="20" t="s">
        <v>116</v>
      </c>
      <c r="P843" s="20" t="s">
        <v>116</v>
      </c>
      <c r="Q843" s="21"/>
      <c r="R843" s="21"/>
      <c r="S843" s="21"/>
      <c r="T843" s="21"/>
      <c r="U843" s="9" t="s">
        <v>345</v>
      </c>
      <c r="V843" s="9" t="s">
        <v>196</v>
      </c>
    </row>
    <row r="844" ht="14.25" customHeight="1">
      <c r="A844" s="9" t="s">
        <v>1627</v>
      </c>
      <c r="B844" s="9" t="s">
        <v>1603</v>
      </c>
      <c r="C844" s="9" t="str">
        <f t="array" ref="C844">INDEX(Funciones!$G$2:$G$372,MATCH($A844,Funciones!$B$2:$B$372,0))</f>
        <v>Orientar el cabezal de 45 (campo) a 75 (trocha) grados</v>
      </c>
      <c r="D844" s="9" t="s">
        <v>4333</v>
      </c>
      <c r="E844" s="9" t="s">
        <v>3517</v>
      </c>
      <c r="F844" s="9" t="s">
        <v>4334</v>
      </c>
      <c r="G844" s="9" t="s">
        <v>4335</v>
      </c>
      <c r="H844" s="18" t="str">
        <f t="array" ref="H844">_xlfn.XLOOKUP(E:E,'Calificación consecuencia'!B:B,'Calificación consecuencia'!K:K,"No encontrada",2)</f>
        <v>Baja</v>
      </c>
      <c r="I844" s="9" t="s">
        <v>2106</v>
      </c>
      <c r="J844" s="20" t="s">
        <v>116</v>
      </c>
      <c r="K844" s="21"/>
      <c r="L844" s="21"/>
      <c r="M844" s="22" t="s">
        <v>120</v>
      </c>
      <c r="N844" s="21"/>
      <c r="O844" s="22" t="s">
        <v>120</v>
      </c>
      <c r="P844" s="21"/>
      <c r="Q844" s="21"/>
      <c r="R844" s="21"/>
      <c r="S844" s="22" t="s">
        <v>120</v>
      </c>
      <c r="T844" s="21"/>
      <c r="U844" s="9" t="s">
        <v>1680</v>
      </c>
      <c r="V844" s="9" t="s">
        <v>1408</v>
      </c>
    </row>
    <row r="845" ht="14.25" customHeight="1">
      <c r="A845" s="9" t="s">
        <v>1627</v>
      </c>
      <c r="B845" s="9" t="s">
        <v>1603</v>
      </c>
      <c r="C845" s="9" t="str">
        <f t="array" ref="C845">INDEX(Funciones!$G$2:$G$372,MATCH($A845,Funciones!$B$2:$B$372,0))</f>
        <v>Orientar el cabezal de 45 (campo) a 75 (trocha) grados</v>
      </c>
      <c r="D845" s="9" t="s">
        <v>4333</v>
      </c>
      <c r="E845" s="9" t="s">
        <v>3518</v>
      </c>
      <c r="F845" s="9" t="s">
        <v>4336</v>
      </c>
      <c r="G845" s="9" t="s">
        <v>4337</v>
      </c>
      <c r="H845" s="18" t="str">
        <f t="array" ref="H845">_xlfn.XLOOKUP(E:E,'Calificación consecuencia'!B:B,'Calificación consecuencia'!K:K,"No encontrada",2)</f>
        <v>Baja</v>
      </c>
      <c r="I845" s="9" t="s">
        <v>2106</v>
      </c>
      <c r="J845" s="20" t="s">
        <v>116</v>
      </c>
      <c r="K845" s="21"/>
      <c r="L845" s="21"/>
      <c r="M845" s="22" t="s">
        <v>120</v>
      </c>
      <c r="N845" s="21"/>
      <c r="O845" s="22" t="s">
        <v>120</v>
      </c>
      <c r="P845" s="21"/>
      <c r="Q845" s="21"/>
      <c r="R845" s="21"/>
      <c r="S845" s="22" t="s">
        <v>120</v>
      </c>
      <c r="T845" s="21"/>
      <c r="U845" s="9" t="s">
        <v>1680</v>
      </c>
      <c r="V845" s="9" t="s">
        <v>1408</v>
      </c>
    </row>
    <row r="846" ht="14.25" customHeight="1">
      <c r="A846" s="27" t="s">
        <v>1637</v>
      </c>
      <c r="B846" s="27" t="s">
        <v>1635</v>
      </c>
      <c r="C846" s="27" t="str">
        <f t="array" ref="C846">INDEX(Funciones!$G$2:$G$372,MATCH($A846,Funciones!$B$2:$B$372,0))</f>
        <v>Presurizar los cilindros de freno entre 3,7 y 3,9 bar</v>
      </c>
      <c r="D846" s="27" t="s">
        <v>3311</v>
      </c>
      <c r="E846" s="27" t="s">
        <v>1246</v>
      </c>
      <c r="F846" s="27" t="s">
        <v>3312</v>
      </c>
      <c r="G846" s="27" t="s">
        <v>3313</v>
      </c>
      <c r="H846" s="18" t="str">
        <f t="array" ref="H846">_xlfn.XLOOKUP(E:E,'Calificación consecuencia'!B:B,'Calificación consecuencia'!K:K,"No encontrada",2)</f>
        <v>Media</v>
      </c>
      <c r="I846" s="27" t="s">
        <v>425</v>
      </c>
      <c r="J846" s="30" t="s">
        <v>116</v>
      </c>
      <c r="K846" s="21"/>
      <c r="L846" s="21"/>
      <c r="M846" s="30" t="s">
        <v>116</v>
      </c>
      <c r="N846" s="30" t="s">
        <v>116</v>
      </c>
      <c r="O846" s="21"/>
      <c r="P846" s="21"/>
      <c r="Q846" s="21"/>
      <c r="R846" s="21"/>
      <c r="S846" s="21"/>
      <c r="T846" s="21"/>
      <c r="U846" s="27" t="s">
        <v>195</v>
      </c>
      <c r="V846" s="27" t="s">
        <v>196</v>
      </c>
    </row>
    <row r="847" ht="14.25" customHeight="1">
      <c r="A847" s="27" t="s">
        <v>1637</v>
      </c>
      <c r="B847" s="27" t="s">
        <v>1635</v>
      </c>
      <c r="C847" s="27" t="str">
        <f t="array" ref="C847">INDEX(Funciones!$G$2:$G$372,MATCH($A847,Funciones!$B$2:$B$372,0))</f>
        <v>Presurizar los cilindros de freno entre 3,7 y 3,9 bar</v>
      </c>
      <c r="D847" s="27" t="s">
        <v>3311</v>
      </c>
      <c r="E847" s="27" t="s">
        <v>1248</v>
      </c>
      <c r="F847" s="27" t="s">
        <v>3314</v>
      </c>
      <c r="G847" s="27" t="s">
        <v>3315</v>
      </c>
      <c r="H847" s="18" t="str">
        <f t="array" ref="H847">_xlfn.XLOOKUP(E:E,'Calificación consecuencia'!B:B,'Calificación consecuencia'!K:K,"No encontrada",2)</f>
        <v>Media</v>
      </c>
      <c r="I847" s="27" t="s">
        <v>425</v>
      </c>
      <c r="J847" s="30" t="s">
        <v>116</v>
      </c>
      <c r="K847" s="21"/>
      <c r="L847" s="21"/>
      <c r="M847" s="30" t="s">
        <v>116</v>
      </c>
      <c r="N847" s="30" t="s">
        <v>116</v>
      </c>
      <c r="O847" s="21"/>
      <c r="P847" s="21"/>
      <c r="Q847" s="21"/>
      <c r="R847" s="21"/>
      <c r="S847" s="21"/>
      <c r="T847" s="21"/>
      <c r="U847" s="27" t="s">
        <v>195</v>
      </c>
      <c r="V847" s="27" t="s">
        <v>196</v>
      </c>
    </row>
    <row r="848" ht="14.25" customHeight="1">
      <c r="A848" s="27" t="s">
        <v>1637</v>
      </c>
      <c r="B848" s="27" t="s">
        <v>1635</v>
      </c>
      <c r="C848" s="27" t="str">
        <f t="array" ref="C848">INDEX(Funciones!$G$2:$G$372,MATCH($A848,Funciones!$B$2:$B$372,0))</f>
        <v>Presurizar los cilindros de freno entre 3,7 y 3,9 bar</v>
      </c>
      <c r="D848" s="27" t="s">
        <v>3316</v>
      </c>
      <c r="E848" s="27" t="s">
        <v>1255</v>
      </c>
      <c r="F848" s="27" t="s">
        <v>3318</v>
      </c>
      <c r="G848" s="27" t="s">
        <v>3319</v>
      </c>
      <c r="H848" s="18" t="str">
        <f t="array" ref="H848">_xlfn.XLOOKUP(E:E,'Calificación consecuencia'!B:B,'Calificación consecuencia'!K:K,"No encontrada",2)</f>
        <v>Baja</v>
      </c>
      <c r="I848" s="27" t="s">
        <v>425</v>
      </c>
      <c r="J848" s="30" t="s">
        <v>116</v>
      </c>
      <c r="K848" s="21"/>
      <c r="L848" s="21"/>
      <c r="M848" s="30" t="s">
        <v>116</v>
      </c>
      <c r="N848" s="30" t="s">
        <v>116</v>
      </c>
      <c r="O848" s="21"/>
      <c r="P848" s="21"/>
      <c r="Q848" s="21"/>
      <c r="R848" s="21"/>
      <c r="S848" s="21"/>
      <c r="T848" s="21"/>
      <c r="U848" s="27" t="s">
        <v>195</v>
      </c>
      <c r="V848" s="27" t="s">
        <v>196</v>
      </c>
    </row>
    <row r="849" ht="14.25" customHeight="1">
      <c r="A849" s="27" t="s">
        <v>1637</v>
      </c>
      <c r="B849" s="27" t="s">
        <v>1635</v>
      </c>
      <c r="C849" s="27" t="str">
        <f t="array" ref="C849">INDEX(Funciones!$G$2:$G$372,MATCH($A849,Funciones!$B$2:$B$372,0))</f>
        <v>Presurizar los cilindros de freno entre 3,7 y 3,9 bar</v>
      </c>
      <c r="D849" s="27" t="s">
        <v>3316</v>
      </c>
      <c r="E849" s="27" t="s">
        <v>1259</v>
      </c>
      <c r="F849" s="27" t="s">
        <v>3322</v>
      </c>
      <c r="G849" s="27" t="s">
        <v>3323</v>
      </c>
      <c r="H849" s="18" t="str">
        <f t="array" ref="H849">_xlfn.XLOOKUP(E:E,'Calificación consecuencia'!B:B,'Calificación consecuencia'!K:K,"No encontrada",2)</f>
        <v>Baja</v>
      </c>
      <c r="I849" s="27" t="s">
        <v>425</v>
      </c>
      <c r="J849" s="30" t="s">
        <v>116</v>
      </c>
      <c r="K849" s="21"/>
      <c r="L849" s="21"/>
      <c r="M849" s="30" t="s">
        <v>116</v>
      </c>
      <c r="N849" s="30" t="s">
        <v>116</v>
      </c>
      <c r="O849" s="21"/>
      <c r="P849" s="21"/>
      <c r="Q849" s="21"/>
      <c r="R849" s="21"/>
      <c r="S849" s="21"/>
      <c r="T849" s="21"/>
      <c r="U849" s="27" t="s">
        <v>195</v>
      </c>
      <c r="V849" s="27" t="s">
        <v>196</v>
      </c>
    </row>
    <row r="850" ht="14.25" customHeight="1">
      <c r="A850" s="27" t="s">
        <v>1637</v>
      </c>
      <c r="B850" s="27" t="s">
        <v>1635</v>
      </c>
      <c r="C850" s="27" t="str">
        <f t="array" ref="C850">INDEX(Funciones!$G$2:$G$372,MATCH($A850,Funciones!$B$2:$B$372,0))</f>
        <v>Presurizar los cilindros de freno entre 3,7 y 3,9 bar</v>
      </c>
      <c r="D850" s="27" t="s">
        <v>3324</v>
      </c>
      <c r="E850" s="27" t="s">
        <v>1265</v>
      </c>
      <c r="F850" s="27" t="s">
        <v>3325</v>
      </c>
      <c r="G850" s="27" t="s">
        <v>3326</v>
      </c>
      <c r="H850" s="18" t="str">
        <f t="array" ref="H850">_xlfn.XLOOKUP(E:E,'Calificación consecuencia'!B:B,'Calificación consecuencia'!K:K,"No encontrada",2)</f>
        <v>Media</v>
      </c>
      <c r="I850" s="27" t="s">
        <v>425</v>
      </c>
      <c r="J850" s="30" t="s">
        <v>116</v>
      </c>
      <c r="K850" s="21"/>
      <c r="L850" s="21"/>
      <c r="M850" s="30" t="s">
        <v>116</v>
      </c>
      <c r="N850" s="30" t="s">
        <v>116</v>
      </c>
      <c r="O850" s="21"/>
      <c r="P850" s="21"/>
      <c r="Q850" s="21"/>
      <c r="R850" s="21"/>
      <c r="S850" s="21"/>
      <c r="T850" s="21"/>
      <c r="U850" s="27" t="s">
        <v>195</v>
      </c>
      <c r="V850" s="27" t="s">
        <v>196</v>
      </c>
    </row>
    <row r="851" ht="14.25" customHeight="1">
      <c r="A851" s="27" t="s">
        <v>1637</v>
      </c>
      <c r="B851" s="27" t="s">
        <v>1635</v>
      </c>
      <c r="C851" s="27" t="str">
        <f t="array" ref="C851">INDEX(Funciones!$G$2:$G$372,MATCH($A851,Funciones!$B$2:$B$372,0))</f>
        <v>Presurizar los cilindros de freno entre 3,7 y 3,9 bar</v>
      </c>
      <c r="D851" s="27" t="s">
        <v>3329</v>
      </c>
      <c r="E851" s="27" t="s">
        <v>1275</v>
      </c>
      <c r="F851" s="27" t="s">
        <v>3330</v>
      </c>
      <c r="G851" s="27" t="s">
        <v>2473</v>
      </c>
      <c r="H851" s="18" t="str">
        <f t="array" ref="H851">_xlfn.XLOOKUP(E:E,'Calificación consecuencia'!B:B,'Calificación consecuencia'!K:K,"No encontrada",2)</f>
        <v>Baja</v>
      </c>
      <c r="I851" s="27" t="s">
        <v>425</v>
      </c>
      <c r="J851" s="30" t="s">
        <v>116</v>
      </c>
      <c r="K851" s="21"/>
      <c r="L851" s="21"/>
      <c r="M851" s="30" t="s">
        <v>116</v>
      </c>
      <c r="N851" s="30" t="s">
        <v>116</v>
      </c>
      <c r="O851" s="21"/>
      <c r="P851" s="21"/>
      <c r="Q851" s="21"/>
      <c r="R851" s="21"/>
      <c r="S851" s="21"/>
      <c r="T851" s="21"/>
      <c r="U851" s="27" t="s">
        <v>195</v>
      </c>
      <c r="V851" s="27" t="s">
        <v>196</v>
      </c>
    </row>
    <row r="852" ht="14.25" customHeight="1">
      <c r="A852" s="9" t="s">
        <v>1642</v>
      </c>
      <c r="B852" s="9" t="s">
        <v>1641</v>
      </c>
      <c r="C852" s="9" t="str">
        <f t="array" ref="C852">INDEX(Funciones!$G$2:$G$372,MATCH($A852,Funciones!$B$2:$B$372,0))</f>
        <v>Medir la corrugación del riel con exactitud de ±_____ mm</v>
      </c>
      <c r="D852" s="9" t="s">
        <v>4338</v>
      </c>
      <c r="E852" s="9" t="s">
        <v>3519</v>
      </c>
      <c r="F852" s="9" t="s">
        <v>4339</v>
      </c>
      <c r="G852" s="9" t="s">
        <v>4340</v>
      </c>
      <c r="H852" s="18" t="str">
        <f t="array" ref="H852">_xlfn.XLOOKUP(E:E,'Calificación consecuencia'!B:B,'Calificación consecuencia'!K:K,"No encontrada",2)</f>
        <v>Baja</v>
      </c>
      <c r="I852" s="9" t="s">
        <v>2106</v>
      </c>
      <c r="J852" s="22" t="s">
        <v>120</v>
      </c>
      <c r="K852" s="20" t="s">
        <v>116</v>
      </c>
      <c r="L852" s="21"/>
      <c r="M852" s="21"/>
      <c r="N852" s="21"/>
      <c r="O852" s="21"/>
      <c r="P852" s="21"/>
      <c r="Q852" s="21"/>
      <c r="R852" s="21"/>
      <c r="S852" s="21"/>
      <c r="T852" s="21"/>
      <c r="U852" s="9" t="s">
        <v>439</v>
      </c>
      <c r="V852" s="9" t="s">
        <v>440</v>
      </c>
    </row>
    <row r="853" ht="14.25" customHeight="1">
      <c r="A853" s="9" t="s">
        <v>1642</v>
      </c>
      <c r="B853" s="9" t="s">
        <v>1641</v>
      </c>
      <c r="C853" s="9" t="str">
        <f t="array" ref="C853">INDEX(Funciones!$G$2:$G$372,MATCH($A853,Funciones!$B$2:$B$372,0))</f>
        <v>Medir la corrugación del riel con exactitud de ±_____ mm</v>
      </c>
      <c r="D853" s="9" t="s">
        <v>4341</v>
      </c>
      <c r="E853" s="9" t="s">
        <v>3520</v>
      </c>
      <c r="F853" s="9" t="s">
        <v>4342</v>
      </c>
      <c r="G853" s="9" t="s">
        <v>4343</v>
      </c>
      <c r="H853" s="18" t="str">
        <f t="array" ref="H853">_xlfn.XLOOKUP(E:E,'Calificación consecuencia'!B:B,'Calificación consecuencia'!K:K,"No encontrada",2)</f>
        <v>Baja</v>
      </c>
      <c r="I853" s="9" t="s">
        <v>2106</v>
      </c>
      <c r="J853" s="22" t="s">
        <v>120</v>
      </c>
      <c r="K853" s="20" t="s">
        <v>116</v>
      </c>
      <c r="L853" s="21"/>
      <c r="M853" s="21"/>
      <c r="N853" s="21"/>
      <c r="O853" s="21"/>
      <c r="P853" s="21"/>
      <c r="Q853" s="21"/>
      <c r="R853" s="21"/>
      <c r="S853" s="21"/>
      <c r="T853" s="21"/>
      <c r="U853" s="9" t="s">
        <v>439</v>
      </c>
      <c r="V853" s="9" t="s">
        <v>440</v>
      </c>
    </row>
    <row r="854" ht="14.25" customHeight="1">
      <c r="A854" s="9" t="s">
        <v>1642</v>
      </c>
      <c r="B854" s="9" t="s">
        <v>1641</v>
      </c>
      <c r="C854" s="9" t="str">
        <f t="array" ref="C854">INDEX(Funciones!$G$2:$G$372,MATCH($A854,Funciones!$B$2:$B$372,0))</f>
        <v>Medir la corrugación del riel con exactitud de ±_____ mm</v>
      </c>
      <c r="D854" s="9" t="s">
        <v>4344</v>
      </c>
      <c r="E854" s="9" t="s">
        <v>2874</v>
      </c>
      <c r="F854" s="9" t="s">
        <v>4345</v>
      </c>
      <c r="G854" s="9" t="s">
        <v>4053</v>
      </c>
      <c r="H854" s="18" t="str">
        <f t="array" ref="H854">_xlfn.XLOOKUP(E:E,'Calificación consecuencia'!B:B,'Calificación consecuencia'!K:K,"No encontrada",2)</f>
        <v>Baja</v>
      </c>
      <c r="I854" s="9" t="s">
        <v>2106</v>
      </c>
      <c r="J854" s="22" t="s">
        <v>120</v>
      </c>
      <c r="K854" s="20" t="s">
        <v>116</v>
      </c>
      <c r="L854" s="21"/>
      <c r="M854" s="21"/>
      <c r="N854" s="21"/>
      <c r="O854" s="21"/>
      <c r="P854" s="21"/>
      <c r="Q854" s="21"/>
      <c r="R854" s="21"/>
      <c r="S854" s="21"/>
      <c r="T854" s="21"/>
      <c r="U854" s="9" t="s">
        <v>439</v>
      </c>
      <c r="V854" s="9" t="s">
        <v>440</v>
      </c>
    </row>
    <row r="855" ht="14.25" customHeight="1">
      <c r="A855" s="27" t="s">
        <v>1654</v>
      </c>
      <c r="B855" s="27" t="s">
        <v>1653</v>
      </c>
      <c r="C855" s="27" t="str">
        <f t="array" ref="C855">INDEX(Funciones!$G$2:$G$372,MATCH($A855,Funciones!$B$2:$B$372,0))</f>
        <v>Medir el perfil del riel con exactitud de ±_____ mm</v>
      </c>
      <c r="D855" s="27" t="s">
        <v>4346</v>
      </c>
      <c r="E855" s="27" t="s">
        <v>3521</v>
      </c>
      <c r="F855" s="27" t="s">
        <v>4347</v>
      </c>
      <c r="G855" s="27" t="s">
        <v>4348</v>
      </c>
      <c r="H855" s="18" t="str">
        <f t="array" ref="H855">_xlfn.XLOOKUP(E:E,'Calificación consecuencia'!B:B,'Calificación consecuencia'!K:K,"No encontrada",2)</f>
        <v>Baja</v>
      </c>
      <c r="I855" s="27" t="s">
        <v>2106</v>
      </c>
      <c r="J855" s="29" t="s">
        <v>120</v>
      </c>
      <c r="K855" s="30" t="s">
        <v>116</v>
      </c>
      <c r="L855" s="21"/>
      <c r="M855" s="21"/>
      <c r="N855" s="21"/>
      <c r="O855" s="21"/>
      <c r="P855" s="21"/>
      <c r="Q855" s="21"/>
      <c r="R855" s="21"/>
      <c r="S855" s="21"/>
      <c r="T855" s="21"/>
      <c r="U855" s="27" t="s">
        <v>439</v>
      </c>
      <c r="V855" s="27" t="s">
        <v>440</v>
      </c>
    </row>
    <row r="856" ht="14.25" customHeight="1">
      <c r="A856" s="27" t="s">
        <v>1654</v>
      </c>
      <c r="B856" s="27" t="s">
        <v>1653</v>
      </c>
      <c r="C856" s="27" t="str">
        <f t="array" ref="C856">INDEX(Funciones!$G$2:$G$372,MATCH($A856,Funciones!$B$2:$B$372,0))</f>
        <v>Medir el perfil del riel con exactitud de ±_____ mm</v>
      </c>
      <c r="D856" s="27" t="s">
        <v>4349</v>
      </c>
      <c r="E856" s="27" t="s">
        <v>3522</v>
      </c>
      <c r="F856" s="27" t="s">
        <v>4350</v>
      </c>
      <c r="G856" s="27" t="s">
        <v>4351</v>
      </c>
      <c r="H856" s="18" t="str">
        <f t="array" ref="H856">_xlfn.XLOOKUP(E:E,'Calificación consecuencia'!B:B,'Calificación consecuencia'!K:K,"No encontrada",2)</f>
        <v>Baja</v>
      </c>
      <c r="I856" s="27" t="s">
        <v>2106</v>
      </c>
      <c r="J856" s="29" t="s">
        <v>120</v>
      </c>
      <c r="K856" s="30" t="s">
        <v>116</v>
      </c>
      <c r="L856" s="21"/>
      <c r="M856" s="21"/>
      <c r="N856" s="21"/>
      <c r="O856" s="21"/>
      <c r="P856" s="21"/>
      <c r="Q856" s="21"/>
      <c r="R856" s="21"/>
      <c r="S856" s="21"/>
      <c r="T856" s="21"/>
      <c r="U856" s="27" t="s">
        <v>439</v>
      </c>
      <c r="V856" s="27" t="s">
        <v>440</v>
      </c>
    </row>
    <row r="857" ht="14.25" customHeight="1">
      <c r="A857" s="27" t="s">
        <v>1654</v>
      </c>
      <c r="B857" s="27" t="s">
        <v>1653</v>
      </c>
      <c r="C857" s="27" t="str">
        <f t="array" ref="C857">INDEX(Funciones!$G$2:$G$372,MATCH($A857,Funciones!$B$2:$B$372,0))</f>
        <v>Medir el perfil del riel con exactitud de ±_____ mm</v>
      </c>
      <c r="D857" s="27" t="s">
        <v>4352</v>
      </c>
      <c r="E857" s="27" t="s">
        <v>2874</v>
      </c>
      <c r="F857" s="27" t="s">
        <v>4353</v>
      </c>
      <c r="G857" s="27" t="s">
        <v>4053</v>
      </c>
      <c r="H857" s="18" t="str">
        <f t="array" ref="H857">_xlfn.XLOOKUP(E:E,'Calificación consecuencia'!B:B,'Calificación consecuencia'!K:K,"No encontrada",2)</f>
        <v>Baja</v>
      </c>
      <c r="I857" s="27" t="s">
        <v>2106</v>
      </c>
      <c r="J857" s="29" t="s">
        <v>120</v>
      </c>
      <c r="K857" s="30" t="s">
        <v>116</v>
      </c>
      <c r="L857" s="21"/>
      <c r="M857" s="21"/>
      <c r="N857" s="21"/>
      <c r="O857" s="21"/>
      <c r="P857" s="21"/>
      <c r="Q857" s="21"/>
      <c r="R857" s="21"/>
      <c r="S857" s="21"/>
      <c r="T857" s="21"/>
      <c r="U857" s="27" t="s">
        <v>439</v>
      </c>
      <c r="V857" s="27" t="s">
        <v>440</v>
      </c>
    </row>
    <row r="858" ht="14.25" customHeight="1">
      <c r="A858" s="9" t="s">
        <v>1666</v>
      </c>
      <c r="B858" s="9" t="s">
        <v>1664</v>
      </c>
      <c r="C858" s="9" t="str">
        <f t="array" ref="C858">INDEX(Funciones!$G$2:$G$372,MATCH($A858,Funciones!$B$2:$B$372,0))</f>
        <v>Transmitir el par motriz hasta _____ N·m</v>
      </c>
      <c r="D858" s="9" t="s">
        <v>4146</v>
      </c>
      <c r="E858" s="9" t="s">
        <v>1305</v>
      </c>
      <c r="F858" s="9" t="s">
        <v>3357</v>
      </c>
      <c r="G858" s="9" t="s">
        <v>3358</v>
      </c>
      <c r="H858" s="18" t="str">
        <f t="array" ref="H858">_xlfn.XLOOKUP(E:E,'Calificación consecuencia'!B:B,'Calificación consecuencia'!K:K,"No encontrada",2)</f>
        <v>Baja</v>
      </c>
      <c r="I858" s="9" t="s">
        <v>1800</v>
      </c>
      <c r="J858" s="20" t="s">
        <v>116</v>
      </c>
      <c r="K858" s="21"/>
      <c r="L858" s="21"/>
      <c r="M858" s="22" t="s">
        <v>120</v>
      </c>
      <c r="N858" s="21"/>
      <c r="O858" s="20" t="s">
        <v>116</v>
      </c>
      <c r="P858" s="20" t="s">
        <v>116</v>
      </c>
      <c r="Q858" s="21"/>
      <c r="R858" s="21"/>
      <c r="S858" s="21"/>
      <c r="T858" s="21"/>
      <c r="U858" s="9" t="s">
        <v>345</v>
      </c>
      <c r="V858" s="9" t="s">
        <v>196</v>
      </c>
    </row>
    <row r="859" ht="14.25" customHeight="1">
      <c r="A859" s="9" t="s">
        <v>1666</v>
      </c>
      <c r="B859" s="9" t="s">
        <v>1664</v>
      </c>
      <c r="C859" s="9" t="str">
        <f t="array" ref="C859">INDEX(Funciones!$G$2:$G$372,MATCH($A859,Funciones!$B$2:$B$372,0))</f>
        <v>Transmitir el par motriz hasta _____ N·m</v>
      </c>
      <c r="D859" s="9" t="s">
        <v>4146</v>
      </c>
      <c r="E859" s="9" t="s">
        <v>1311</v>
      </c>
      <c r="F859" s="9" t="s">
        <v>3363</v>
      </c>
      <c r="G859" s="9" t="s">
        <v>3364</v>
      </c>
      <c r="H859" s="18" t="str">
        <f t="array" ref="H859">_xlfn.XLOOKUP(E:E,'Calificación consecuencia'!B:B,'Calificación consecuencia'!K:K,"No encontrada",2)</f>
        <v>Baja</v>
      </c>
      <c r="I859" s="9" t="s">
        <v>1800</v>
      </c>
      <c r="J859" s="20" t="s">
        <v>116</v>
      </c>
      <c r="K859" s="21"/>
      <c r="L859" s="21"/>
      <c r="M859" s="22" t="s">
        <v>120</v>
      </c>
      <c r="N859" s="21"/>
      <c r="O859" s="20" t="s">
        <v>116</v>
      </c>
      <c r="P859" s="20" t="s">
        <v>116</v>
      </c>
      <c r="Q859" s="21"/>
      <c r="R859" s="21"/>
      <c r="S859" s="21"/>
      <c r="T859" s="21"/>
      <c r="U859" s="9" t="s">
        <v>345</v>
      </c>
      <c r="V859" s="9" t="s">
        <v>196</v>
      </c>
    </row>
    <row r="860" ht="14.25" customHeight="1">
      <c r="A860" s="9" t="s">
        <v>1666</v>
      </c>
      <c r="B860" s="9" t="s">
        <v>1664</v>
      </c>
      <c r="C860" s="9" t="str">
        <f t="array" ref="C860">INDEX(Funciones!$G$2:$G$372,MATCH($A860,Funciones!$B$2:$B$372,0))</f>
        <v>Transmitir el par motriz hasta _____ N·m</v>
      </c>
      <c r="D860" s="9" t="s">
        <v>4146</v>
      </c>
      <c r="E860" s="9" t="s">
        <v>1315</v>
      </c>
      <c r="F860" s="9" t="s">
        <v>3365</v>
      </c>
      <c r="G860" s="9" t="s">
        <v>3366</v>
      </c>
      <c r="H860" s="18" t="str">
        <f t="array" ref="H860">_xlfn.XLOOKUP(E:E,'Calificación consecuencia'!B:B,'Calificación consecuencia'!K:K,"No encontrada",2)</f>
        <v>Baja</v>
      </c>
      <c r="I860" s="9" t="s">
        <v>1800</v>
      </c>
      <c r="J860" s="20" t="s">
        <v>116</v>
      </c>
      <c r="K860" s="21"/>
      <c r="L860" s="21"/>
      <c r="M860" s="22" t="s">
        <v>120</v>
      </c>
      <c r="N860" s="21"/>
      <c r="O860" s="20" t="s">
        <v>116</v>
      </c>
      <c r="P860" s="20" t="s">
        <v>116</v>
      </c>
      <c r="Q860" s="21"/>
      <c r="R860" s="21"/>
      <c r="S860" s="21"/>
      <c r="T860" s="21"/>
      <c r="U860" s="9" t="s">
        <v>345</v>
      </c>
      <c r="V860" s="9" t="s">
        <v>196</v>
      </c>
    </row>
    <row r="861" ht="14.25" customHeight="1">
      <c r="A861" s="9" t="s">
        <v>1666</v>
      </c>
      <c r="B861" s="9" t="s">
        <v>1664</v>
      </c>
      <c r="C861" s="9" t="str">
        <f t="array" ref="C861">INDEX(Funciones!$G$2:$G$372,MATCH($A861,Funciones!$B$2:$B$372,0))</f>
        <v>Transmitir el par motriz hasta _____ N·m</v>
      </c>
      <c r="D861" s="9" t="s">
        <v>4147</v>
      </c>
      <c r="E861" s="9" t="s">
        <v>1325</v>
      </c>
      <c r="F861" s="9" t="s">
        <v>3368</v>
      </c>
      <c r="G861" s="9" t="s">
        <v>3369</v>
      </c>
      <c r="H861" s="18" t="str">
        <f t="array" ref="H861">_xlfn.XLOOKUP(E:E,'Calificación consecuencia'!B:B,'Calificación consecuencia'!K:K,"No encontrada",2)</f>
        <v>Baja</v>
      </c>
      <c r="I861" s="9" t="s">
        <v>1800</v>
      </c>
      <c r="J861" s="20" t="s">
        <v>116</v>
      </c>
      <c r="K861" s="21"/>
      <c r="L861" s="21"/>
      <c r="M861" s="22" t="s">
        <v>120</v>
      </c>
      <c r="N861" s="21"/>
      <c r="O861" s="20" t="s">
        <v>116</v>
      </c>
      <c r="P861" s="20" t="s">
        <v>116</v>
      </c>
      <c r="Q861" s="21"/>
      <c r="R861" s="21"/>
      <c r="S861" s="21"/>
      <c r="T861" s="21"/>
      <c r="U861" s="9" t="s">
        <v>345</v>
      </c>
      <c r="V861" s="9" t="s">
        <v>196</v>
      </c>
    </row>
    <row r="862" ht="14.25" customHeight="1">
      <c r="A862" s="9" t="s">
        <v>1666</v>
      </c>
      <c r="B862" s="9" t="s">
        <v>1664</v>
      </c>
      <c r="C862" s="9" t="str">
        <f t="array" ref="C862">INDEX(Funciones!$G$2:$G$372,MATCH($A862,Funciones!$B$2:$B$372,0))</f>
        <v>Transmitir el par motriz hasta _____ N·m</v>
      </c>
      <c r="D862" s="9" t="s">
        <v>4147</v>
      </c>
      <c r="E862" s="9" t="s">
        <v>1333</v>
      </c>
      <c r="F862" s="9" t="s">
        <v>3370</v>
      </c>
      <c r="G862" s="9" t="s">
        <v>3371</v>
      </c>
      <c r="H862" s="18" t="str">
        <f t="array" ref="H862">_xlfn.XLOOKUP(E:E,'Calificación consecuencia'!B:B,'Calificación consecuencia'!K:K,"No encontrada",2)</f>
        <v>Baja</v>
      </c>
      <c r="I862" s="9" t="s">
        <v>1800</v>
      </c>
      <c r="J862" s="20" t="s">
        <v>116</v>
      </c>
      <c r="K862" s="21"/>
      <c r="L862" s="21"/>
      <c r="M862" s="22" t="s">
        <v>120</v>
      </c>
      <c r="N862" s="21"/>
      <c r="O862" s="20" t="s">
        <v>116</v>
      </c>
      <c r="P862" s="20" t="s">
        <v>116</v>
      </c>
      <c r="Q862" s="21"/>
      <c r="R862" s="21"/>
      <c r="S862" s="21"/>
      <c r="T862" s="21"/>
      <c r="U862" s="9" t="s">
        <v>345</v>
      </c>
      <c r="V862" s="9" t="s">
        <v>196</v>
      </c>
    </row>
    <row r="863" ht="14.25" customHeight="1">
      <c r="A863" s="27" t="s">
        <v>1675</v>
      </c>
      <c r="B863" s="27" t="s">
        <v>1674</v>
      </c>
      <c r="C863" s="27" t="str">
        <f t="array" ref="C863">INDEX(Funciones!$G$2:$G$372,MATCH($A863,Funciones!$B$2:$B$372,0))</f>
        <v>Retener el combustible a presión de prueba de 0,3 bar</v>
      </c>
      <c r="D863" s="27" t="s">
        <v>3890</v>
      </c>
      <c r="E863" s="27" t="s">
        <v>2149</v>
      </c>
      <c r="F863" s="27" t="s">
        <v>3892</v>
      </c>
      <c r="G863" s="27" t="s">
        <v>3893</v>
      </c>
      <c r="H863" s="18" t="str">
        <f t="array" ref="H863">_xlfn.XLOOKUP(E:E,'Calificación consecuencia'!B:B,'Calificación consecuencia'!K:K,"No encontrada",2)</f>
        <v>Media</v>
      </c>
      <c r="I863" s="27" t="s">
        <v>425</v>
      </c>
      <c r="J863" s="30" t="s">
        <v>116</v>
      </c>
      <c r="K863" s="21"/>
      <c r="L863" s="21"/>
      <c r="M863" s="30" t="s">
        <v>116</v>
      </c>
      <c r="N863" s="29" t="s">
        <v>120</v>
      </c>
      <c r="O863" s="21"/>
      <c r="P863" s="21"/>
      <c r="Q863" s="21"/>
      <c r="R863" s="21"/>
      <c r="S863" s="21"/>
      <c r="T863" s="21"/>
      <c r="U863" s="27" t="s">
        <v>230</v>
      </c>
      <c r="V863" s="27" t="s">
        <v>230</v>
      </c>
    </row>
    <row r="864" ht="14.25" customHeight="1">
      <c r="A864" s="27" t="s">
        <v>1675</v>
      </c>
      <c r="B864" s="27" t="s">
        <v>1674</v>
      </c>
      <c r="C864" s="27" t="str">
        <f t="array" ref="C864">INDEX(Funciones!$G$2:$G$372,MATCH($A864,Funciones!$B$2:$B$372,0))</f>
        <v>Retener el combustible a presión de prueba de 0,3 bar</v>
      </c>
      <c r="D864" s="27" t="s">
        <v>3890</v>
      </c>
      <c r="E864" s="27" t="s">
        <v>2154</v>
      </c>
      <c r="F864" s="27" t="s">
        <v>3898</v>
      </c>
      <c r="G864" s="27" t="s">
        <v>3899</v>
      </c>
      <c r="H864" s="18" t="str">
        <f t="array" ref="H864">_xlfn.XLOOKUP(E:E,'Calificación consecuencia'!B:B,'Calificación consecuencia'!K:K,"No encontrada",2)</f>
        <v>Media</v>
      </c>
      <c r="I864" s="27" t="s">
        <v>3902</v>
      </c>
      <c r="J864" s="30" t="s">
        <v>116</v>
      </c>
      <c r="K864" s="21"/>
      <c r="L864" s="21"/>
      <c r="M864" s="30" t="s">
        <v>116</v>
      </c>
      <c r="N864" s="30" t="s">
        <v>116</v>
      </c>
      <c r="O864" s="21"/>
      <c r="P864" s="21"/>
      <c r="Q864" s="21"/>
      <c r="R864" s="21"/>
      <c r="S864" s="21"/>
      <c r="T864" s="21"/>
      <c r="U864" s="27" t="s">
        <v>195</v>
      </c>
      <c r="V864" s="27" t="s">
        <v>196</v>
      </c>
    </row>
    <row r="865" ht="14.25" customHeight="1">
      <c r="A865" s="27" t="s">
        <v>1675</v>
      </c>
      <c r="B865" s="27" t="s">
        <v>1674</v>
      </c>
      <c r="C865" s="27" t="str">
        <f t="array" ref="C865">INDEX(Funciones!$G$2:$G$372,MATCH($A865,Funciones!$B$2:$B$372,0))</f>
        <v>Retener el combustible a presión de prueba de 0,3 bar</v>
      </c>
      <c r="D865" s="27" t="s">
        <v>3906</v>
      </c>
      <c r="E865" s="27" t="s">
        <v>2159</v>
      </c>
      <c r="F865" s="27" t="s">
        <v>3907</v>
      </c>
      <c r="G865" s="27" t="s">
        <v>3909</v>
      </c>
      <c r="H865" s="18" t="str">
        <f t="array" ref="H865">_xlfn.XLOOKUP(E:E,'Calificación consecuencia'!B:B,'Calificación consecuencia'!K:K,"No encontrada",2)</f>
        <v>Baja</v>
      </c>
      <c r="I865" s="27" t="s">
        <v>425</v>
      </c>
      <c r="J865" s="30" t="s">
        <v>116</v>
      </c>
      <c r="K865" s="21"/>
      <c r="L865" s="21"/>
      <c r="M865" s="30" t="s">
        <v>116</v>
      </c>
      <c r="N865" s="30" t="s">
        <v>116</v>
      </c>
      <c r="O865" s="21"/>
      <c r="P865" s="21"/>
      <c r="Q865" s="21"/>
      <c r="R865" s="21"/>
      <c r="S865" s="21"/>
      <c r="T865" s="21"/>
      <c r="U865" s="27" t="s">
        <v>195</v>
      </c>
      <c r="V865" s="27" t="s">
        <v>196</v>
      </c>
    </row>
    <row r="866" ht="14.25" customHeight="1">
      <c r="A866" s="27" t="s">
        <v>1675</v>
      </c>
      <c r="B866" s="27" t="s">
        <v>1674</v>
      </c>
      <c r="C866" s="27" t="str">
        <f t="array" ref="C866">INDEX(Funciones!$G$2:$G$372,MATCH($A866,Funciones!$B$2:$B$372,0))</f>
        <v>Retener el combustible a presión de prueba de 0,3 bar</v>
      </c>
      <c r="D866" s="27" t="s">
        <v>3906</v>
      </c>
      <c r="E866" s="27" t="s">
        <v>2180</v>
      </c>
      <c r="F866" s="27" t="s">
        <v>3915</v>
      </c>
      <c r="G866" s="27" t="s">
        <v>3917</v>
      </c>
      <c r="H866" s="18" t="str">
        <f t="array" ref="H866">_xlfn.XLOOKUP(E:E,'Calificación consecuencia'!B:B,'Calificación consecuencia'!K:K,"No encontrada",2)</f>
        <v>Media</v>
      </c>
      <c r="I866" s="27" t="s">
        <v>425</v>
      </c>
      <c r="J866" s="30" t="s">
        <v>116</v>
      </c>
      <c r="K866" s="21"/>
      <c r="L866" s="21"/>
      <c r="M866" s="30" t="s">
        <v>116</v>
      </c>
      <c r="N866" s="30" t="s">
        <v>116</v>
      </c>
      <c r="O866" s="21"/>
      <c r="P866" s="21"/>
      <c r="Q866" s="21"/>
      <c r="R866" s="21"/>
      <c r="S866" s="21"/>
      <c r="T866" s="21"/>
      <c r="U866" s="27" t="s">
        <v>195</v>
      </c>
      <c r="V866" s="27" t="s">
        <v>196</v>
      </c>
    </row>
    <row r="867" ht="14.25" customHeight="1">
      <c r="A867" s="27" t="s">
        <v>1675</v>
      </c>
      <c r="B867" s="27" t="s">
        <v>1674</v>
      </c>
      <c r="C867" s="27" t="str">
        <f t="array" ref="C867">INDEX(Funciones!$G$2:$G$372,MATCH($A867,Funciones!$B$2:$B$372,0))</f>
        <v>Retener el combustible a presión de prueba de 0,3 bar</v>
      </c>
      <c r="D867" s="27" t="s">
        <v>3906</v>
      </c>
      <c r="E867" s="27" t="s">
        <v>2186</v>
      </c>
      <c r="F867" s="27" t="s">
        <v>3923</v>
      </c>
      <c r="G867" s="27" t="s">
        <v>3924</v>
      </c>
      <c r="H867" s="18" t="str">
        <f t="array" ref="H867">_xlfn.XLOOKUP(E:E,'Calificación consecuencia'!B:B,'Calificación consecuencia'!K:K,"No encontrada",2)</f>
        <v>Media</v>
      </c>
      <c r="I867" s="27" t="s">
        <v>425</v>
      </c>
      <c r="J867" s="30" t="s">
        <v>116</v>
      </c>
      <c r="K867" s="21"/>
      <c r="L867" s="21"/>
      <c r="M867" s="30" t="s">
        <v>116</v>
      </c>
      <c r="N867" s="30" t="s">
        <v>116</v>
      </c>
      <c r="O867" s="21"/>
      <c r="P867" s="21"/>
      <c r="Q867" s="21"/>
      <c r="R867" s="21"/>
      <c r="S867" s="21"/>
      <c r="T867" s="21"/>
      <c r="U867" s="27" t="s">
        <v>195</v>
      </c>
      <c r="V867" s="27" t="s">
        <v>196</v>
      </c>
    </row>
    <row r="868" ht="14.25" customHeight="1">
      <c r="A868" s="9" t="s">
        <v>1682</v>
      </c>
      <c r="B868" s="9" t="s">
        <v>1681</v>
      </c>
      <c r="C868" s="9" t="str">
        <f t="array" ref="C868">INDEX(Funciones!$G$2:$G$372,MATCH($A868,Funciones!$B$2:$B$372,0))</f>
        <v>Filtrar el aire de admisión con restricción máxima de _____ mbar</v>
      </c>
      <c r="D868" s="9" t="s">
        <v>4354</v>
      </c>
      <c r="E868" s="9" t="s">
        <v>3532</v>
      </c>
      <c r="F868" s="9" t="s">
        <v>4355</v>
      </c>
      <c r="G868" s="9" t="s">
        <v>4356</v>
      </c>
      <c r="H868" s="18" t="str">
        <f t="array" ref="H868">_xlfn.XLOOKUP(E:E,'Calificación consecuencia'!B:B,'Calificación consecuencia'!K:K,"No encontrada",2)</f>
        <v>Baja</v>
      </c>
      <c r="I868" s="9" t="s">
        <v>2106</v>
      </c>
      <c r="J868" s="22" t="s">
        <v>120</v>
      </c>
      <c r="K868" s="20" t="s">
        <v>116</v>
      </c>
      <c r="L868" s="21"/>
      <c r="M868" s="21"/>
      <c r="N868" s="21"/>
      <c r="O868" s="21"/>
      <c r="P868" s="21"/>
      <c r="Q868" s="21"/>
      <c r="R868" s="21"/>
      <c r="S868" s="21"/>
      <c r="T868" s="21"/>
      <c r="U868" s="9" t="s">
        <v>439</v>
      </c>
      <c r="V868" s="9" t="s">
        <v>440</v>
      </c>
    </row>
    <row r="869" ht="14.25" customHeight="1">
      <c r="A869" s="9" t="s">
        <v>1682</v>
      </c>
      <c r="B869" s="9" t="s">
        <v>1681</v>
      </c>
      <c r="C869" s="9" t="str">
        <f t="array" ref="C869">INDEX(Funciones!$G$2:$G$372,MATCH($A869,Funciones!$B$2:$B$372,0))</f>
        <v>Filtrar el aire de admisión con restricción máxima de _____ mbar</v>
      </c>
      <c r="D869" s="9" t="s">
        <v>4357</v>
      </c>
      <c r="E869" s="9" t="s">
        <v>3533</v>
      </c>
      <c r="F869" s="9" t="s">
        <v>4358</v>
      </c>
      <c r="G869" s="9" t="s">
        <v>4359</v>
      </c>
      <c r="H869" s="18" t="str">
        <f t="array" ref="H869">_xlfn.XLOOKUP(E:E,'Calificación consecuencia'!B:B,'Calificación consecuencia'!K:K,"No encontrada",2)</f>
        <v>Baja</v>
      </c>
      <c r="I869" s="9" t="s">
        <v>2106</v>
      </c>
      <c r="J869" s="22" t="s">
        <v>120</v>
      </c>
      <c r="K869" s="20" t="s">
        <v>116</v>
      </c>
      <c r="L869" s="21"/>
      <c r="M869" s="21"/>
      <c r="N869" s="21"/>
      <c r="O869" s="21"/>
      <c r="P869" s="21"/>
      <c r="Q869" s="21"/>
      <c r="R869" s="21"/>
      <c r="S869" s="21"/>
      <c r="T869" s="21"/>
      <c r="U869" s="9" t="s">
        <v>439</v>
      </c>
      <c r="V869" s="9" t="s">
        <v>440</v>
      </c>
    </row>
    <row r="870" ht="14.25" customHeight="1">
      <c r="A870" s="9" t="s">
        <v>1682</v>
      </c>
      <c r="B870" s="9" t="s">
        <v>1681</v>
      </c>
      <c r="C870" s="9" t="str">
        <f t="array" ref="C870">INDEX(Funciones!$G$2:$G$372,MATCH($A870,Funciones!$B$2:$B$372,0))</f>
        <v>Filtrar el aire de admisión con restricción máxima de _____ mbar</v>
      </c>
      <c r="D870" s="9" t="s">
        <v>4357</v>
      </c>
      <c r="E870" s="9" t="s">
        <v>3537</v>
      </c>
      <c r="F870" s="9" t="s">
        <v>4360</v>
      </c>
      <c r="G870" s="9" t="s">
        <v>4361</v>
      </c>
      <c r="H870" s="18" t="str">
        <f t="array" ref="H870">_xlfn.XLOOKUP(E:E,'Calificación consecuencia'!B:B,'Calificación consecuencia'!K:K,"No encontrada",2)</f>
        <v>Baja</v>
      </c>
      <c r="I870" s="9" t="s">
        <v>2106</v>
      </c>
      <c r="J870" s="22" t="s">
        <v>120</v>
      </c>
      <c r="K870" s="20" t="s">
        <v>116</v>
      </c>
      <c r="L870" s="21"/>
      <c r="M870" s="21"/>
      <c r="N870" s="21"/>
      <c r="O870" s="21"/>
      <c r="P870" s="21"/>
      <c r="Q870" s="21"/>
      <c r="R870" s="21"/>
      <c r="S870" s="21"/>
      <c r="T870" s="21"/>
      <c r="U870" s="9" t="s">
        <v>439</v>
      </c>
      <c r="V870" s="9" t="s">
        <v>440</v>
      </c>
    </row>
    <row r="871" ht="14.25" customHeight="1">
      <c r="A871" s="27" t="s">
        <v>1697</v>
      </c>
      <c r="B871" s="27" t="s">
        <v>1696</v>
      </c>
      <c r="C871" s="27" t="str">
        <f t="array" ref="C871">INDEX(Funciones!$G$2:$G$372,MATCH($A871,Funciones!$B$2:$B$372,0))</f>
        <v>Entregar potencia mecánica de _____ kW</v>
      </c>
      <c r="D871" s="27" t="s">
        <v>4083</v>
      </c>
      <c r="E871" s="27" t="s">
        <v>1339</v>
      </c>
      <c r="F871" s="27" t="s">
        <v>3995</v>
      </c>
      <c r="G871" s="27" t="s">
        <v>3374</v>
      </c>
      <c r="H871" s="18" t="str">
        <f t="array" ref="H871">_xlfn.XLOOKUP(E:E,'Calificación consecuencia'!B:B,'Calificación consecuencia'!K:K,"No encontrada",2)</f>
        <v>Media</v>
      </c>
      <c r="I871" s="27" t="s">
        <v>1800</v>
      </c>
      <c r="J871" s="30" t="s">
        <v>116</v>
      </c>
      <c r="K871" s="21"/>
      <c r="L871" s="21"/>
      <c r="M871" s="29" t="s">
        <v>120</v>
      </c>
      <c r="N871" s="21"/>
      <c r="O871" s="30" t="s">
        <v>116</v>
      </c>
      <c r="P871" s="30" t="s">
        <v>116</v>
      </c>
      <c r="Q871" s="21"/>
      <c r="R871" s="21"/>
      <c r="S871" s="21"/>
      <c r="T871" s="21"/>
      <c r="U871" s="27" t="s">
        <v>345</v>
      </c>
      <c r="V871" s="27" t="s">
        <v>196</v>
      </c>
    </row>
    <row r="872" ht="14.25" customHeight="1">
      <c r="A872" s="27" t="s">
        <v>1697</v>
      </c>
      <c r="B872" s="27" t="s">
        <v>1696</v>
      </c>
      <c r="C872" s="27" t="str">
        <f t="array" ref="C872">INDEX(Funciones!$G$2:$G$372,MATCH($A872,Funciones!$B$2:$B$372,0))</f>
        <v>Entregar potencia mecánica de _____ kW</v>
      </c>
      <c r="D872" s="27" t="s">
        <v>4083</v>
      </c>
      <c r="E872" s="27" t="s">
        <v>1786</v>
      </c>
      <c r="F872" s="27" t="s">
        <v>3996</v>
      </c>
      <c r="G872" s="27" t="s">
        <v>3378</v>
      </c>
      <c r="H872" s="18" t="str">
        <f t="array" ref="H872">_xlfn.XLOOKUP(E:E,'Calificación consecuencia'!B:B,'Calificación consecuencia'!K:K,"No encontrada",2)</f>
        <v>Baja</v>
      </c>
      <c r="I872" s="27" t="s">
        <v>2106</v>
      </c>
      <c r="J872" s="30" t="s">
        <v>116</v>
      </c>
      <c r="K872" s="21"/>
      <c r="L872" s="21"/>
      <c r="M872" s="29" t="s">
        <v>120</v>
      </c>
      <c r="N872" s="21"/>
      <c r="O872" s="29" t="s">
        <v>120</v>
      </c>
      <c r="P872" s="21"/>
      <c r="Q872" s="21"/>
      <c r="R872" s="21"/>
      <c r="S872" s="29" t="s">
        <v>120</v>
      </c>
      <c r="T872" s="21"/>
      <c r="U872" s="27" t="s">
        <v>1680</v>
      </c>
      <c r="V872" s="27" t="s">
        <v>1408</v>
      </c>
    </row>
    <row r="873" ht="14.25" customHeight="1">
      <c r="A873" s="27" t="s">
        <v>1697</v>
      </c>
      <c r="B873" s="27" t="s">
        <v>1696</v>
      </c>
      <c r="C873" s="27" t="str">
        <f t="array" ref="C873">INDEX(Funciones!$G$2:$G$372,MATCH($A873,Funciones!$B$2:$B$372,0))</f>
        <v>Entregar potencia mecánica de _____ kW</v>
      </c>
      <c r="D873" s="27" t="s">
        <v>4084</v>
      </c>
      <c r="E873" s="27" t="s">
        <v>1350</v>
      </c>
      <c r="F873" s="27" t="s">
        <v>3998</v>
      </c>
      <c r="G873" s="27" t="s">
        <v>3382</v>
      </c>
      <c r="H873" s="18" t="str">
        <f t="array" ref="H873">_xlfn.XLOOKUP(E:E,'Calificación consecuencia'!B:B,'Calificación consecuencia'!K:K,"No encontrada",2)</f>
        <v>Baja</v>
      </c>
      <c r="I873" s="27" t="s">
        <v>2106</v>
      </c>
      <c r="J873" s="30" t="s">
        <v>116</v>
      </c>
      <c r="K873" s="21"/>
      <c r="L873" s="21"/>
      <c r="M873" s="29" t="s">
        <v>120</v>
      </c>
      <c r="N873" s="21"/>
      <c r="O873" s="29" t="s">
        <v>120</v>
      </c>
      <c r="P873" s="21"/>
      <c r="Q873" s="21"/>
      <c r="R873" s="21"/>
      <c r="S873" s="29" t="s">
        <v>120</v>
      </c>
      <c r="T873" s="21"/>
      <c r="U873" s="27" t="s">
        <v>1680</v>
      </c>
      <c r="V873" s="27" t="s">
        <v>1408</v>
      </c>
    </row>
    <row r="874" ht="14.25" customHeight="1">
      <c r="A874" s="27" t="s">
        <v>1697</v>
      </c>
      <c r="B874" s="27" t="s">
        <v>1696</v>
      </c>
      <c r="C874" s="27" t="str">
        <f t="array" ref="C874">INDEX(Funciones!$G$2:$G$372,MATCH($A874,Funciones!$B$2:$B$372,0))</f>
        <v>Entregar potencia mecánica de _____ kW</v>
      </c>
      <c r="D874" s="27" t="s">
        <v>4084</v>
      </c>
      <c r="E874" s="27" t="s">
        <v>1794</v>
      </c>
      <c r="F874" s="27" t="s">
        <v>3999</v>
      </c>
      <c r="G874" s="27" t="s">
        <v>3614</v>
      </c>
      <c r="H874" s="18" t="str">
        <f t="array" ref="H874">_xlfn.XLOOKUP(E:E,'Calificación consecuencia'!B:B,'Calificación consecuencia'!K:K,"No encontrada",2)</f>
        <v>Baja</v>
      </c>
      <c r="I874" s="27" t="s">
        <v>1800</v>
      </c>
      <c r="J874" s="30" t="s">
        <v>116</v>
      </c>
      <c r="K874" s="21"/>
      <c r="L874" s="21"/>
      <c r="M874" s="29" t="s">
        <v>120</v>
      </c>
      <c r="N874" s="21"/>
      <c r="O874" s="30" t="s">
        <v>116</v>
      </c>
      <c r="P874" s="30" t="s">
        <v>116</v>
      </c>
      <c r="Q874" s="21"/>
      <c r="R874" s="21"/>
      <c r="S874" s="21"/>
      <c r="T874" s="21"/>
      <c r="U874" s="27" t="s">
        <v>345</v>
      </c>
      <c r="V874" s="27" t="s">
        <v>196</v>
      </c>
    </row>
    <row r="875" ht="14.25" customHeight="1">
      <c r="A875" s="27" t="s">
        <v>1697</v>
      </c>
      <c r="B875" s="27" t="s">
        <v>1696</v>
      </c>
      <c r="C875" s="27" t="str">
        <f t="array" ref="C875">INDEX(Funciones!$G$2:$G$372,MATCH($A875,Funciones!$B$2:$B$372,0))</f>
        <v>Entregar potencia mecánica de _____ kW</v>
      </c>
      <c r="D875" s="27" t="s">
        <v>4084</v>
      </c>
      <c r="E875" s="27" t="s">
        <v>2376</v>
      </c>
      <c r="F875" s="27" t="s">
        <v>4000</v>
      </c>
      <c r="G875" s="27" t="s">
        <v>1493</v>
      </c>
      <c r="H875" s="18" t="str">
        <f t="array" ref="H875">_xlfn.XLOOKUP(E:E,'Calificación consecuencia'!B:B,'Calificación consecuencia'!K:K,"No encontrada",2)</f>
        <v>Baja</v>
      </c>
      <c r="I875" s="27" t="s">
        <v>2106</v>
      </c>
      <c r="J875" s="30" t="s">
        <v>116</v>
      </c>
      <c r="K875" s="21"/>
      <c r="L875" s="21"/>
      <c r="M875" s="29" t="s">
        <v>120</v>
      </c>
      <c r="N875" s="21"/>
      <c r="O875" s="29" t="s">
        <v>120</v>
      </c>
      <c r="P875" s="21"/>
      <c r="Q875" s="21"/>
      <c r="R875" s="21"/>
      <c r="S875" s="29" t="s">
        <v>120</v>
      </c>
      <c r="T875" s="21"/>
      <c r="U875" s="27" t="s">
        <v>1680</v>
      </c>
      <c r="V875" s="27" t="s">
        <v>1408</v>
      </c>
    </row>
    <row r="876" ht="14.25" customHeight="1">
      <c r="A876" s="9" t="s">
        <v>1703</v>
      </c>
      <c r="B876" s="9" t="s">
        <v>1702</v>
      </c>
      <c r="C876" s="9" t="str">
        <f t="array" ref="C876">INDEX(Funciones!$G$2:$G$372,MATCH($A876,Funciones!$B$2:$B$372,0))</f>
        <v>Disipar el calor del motor con temperatura máxima del refrigerante de _____ °C</v>
      </c>
      <c r="D876" s="9" t="s">
        <v>4362</v>
      </c>
      <c r="E876" s="9" t="s">
        <v>3543</v>
      </c>
      <c r="F876" s="9" t="s">
        <v>4363</v>
      </c>
      <c r="G876" s="9" t="s">
        <v>4364</v>
      </c>
      <c r="H876" s="18" t="str">
        <f t="array" ref="H876">_xlfn.XLOOKUP(E:E,'Calificación consecuencia'!B:B,'Calificación consecuencia'!K:K,"No encontrada",2)</f>
        <v>Media</v>
      </c>
      <c r="I876" s="9" t="s">
        <v>1800</v>
      </c>
      <c r="J876" s="20" t="s">
        <v>116</v>
      </c>
      <c r="K876" s="21"/>
      <c r="L876" s="21"/>
      <c r="M876" s="22" t="s">
        <v>120</v>
      </c>
      <c r="N876" s="21"/>
      <c r="O876" s="20" t="s">
        <v>116</v>
      </c>
      <c r="P876" s="20" t="s">
        <v>116</v>
      </c>
      <c r="Q876" s="21"/>
      <c r="R876" s="21"/>
      <c r="S876" s="21"/>
      <c r="T876" s="21"/>
      <c r="U876" s="9" t="s">
        <v>345</v>
      </c>
      <c r="V876" s="9" t="s">
        <v>196</v>
      </c>
    </row>
    <row r="877" ht="14.25" customHeight="1">
      <c r="A877" s="9" t="s">
        <v>1703</v>
      </c>
      <c r="B877" s="9" t="s">
        <v>1702</v>
      </c>
      <c r="C877" s="9" t="str">
        <f t="array" ref="C877">INDEX(Funciones!$G$2:$G$372,MATCH($A877,Funciones!$B$2:$B$372,0))</f>
        <v>Disipar el calor del motor con temperatura máxima del refrigerante de _____ °C</v>
      </c>
      <c r="D877" s="9" t="s">
        <v>4362</v>
      </c>
      <c r="E877" s="9" t="s">
        <v>3544</v>
      </c>
      <c r="F877" s="9" t="s">
        <v>4365</v>
      </c>
      <c r="G877" s="9" t="s">
        <v>4366</v>
      </c>
      <c r="H877" s="18" t="str">
        <f t="array" ref="H877">_xlfn.XLOOKUP(E:E,'Calificación consecuencia'!B:B,'Calificación consecuencia'!K:K,"No encontrada",2)</f>
        <v>Media</v>
      </c>
      <c r="I877" s="9" t="s">
        <v>1800</v>
      </c>
      <c r="J877" s="20" t="s">
        <v>116</v>
      </c>
      <c r="K877" s="21"/>
      <c r="L877" s="21"/>
      <c r="M877" s="22" t="s">
        <v>120</v>
      </c>
      <c r="N877" s="21"/>
      <c r="O877" s="20" t="s">
        <v>116</v>
      </c>
      <c r="P877" s="22" t="s">
        <v>120</v>
      </c>
      <c r="Q877" s="22" t="s">
        <v>120</v>
      </c>
      <c r="R877" s="22" t="s">
        <v>120</v>
      </c>
      <c r="S877" s="21"/>
      <c r="T877" s="21"/>
      <c r="U877" s="9" t="s">
        <v>230</v>
      </c>
      <c r="V877" s="9" t="s">
        <v>230</v>
      </c>
    </row>
    <row r="878" ht="14.25" customHeight="1">
      <c r="A878" s="9" t="s">
        <v>1703</v>
      </c>
      <c r="B878" s="9" t="s">
        <v>1702</v>
      </c>
      <c r="C878" s="9" t="str">
        <f t="array" ref="C878">INDEX(Funciones!$G$2:$G$372,MATCH($A878,Funciones!$B$2:$B$372,0))</f>
        <v>Disipar el calor del motor con temperatura máxima del refrigerante de _____ °C</v>
      </c>
      <c r="D878" s="9" t="s">
        <v>4367</v>
      </c>
      <c r="E878" s="9" t="s">
        <v>3545</v>
      </c>
      <c r="F878" s="9" t="s">
        <v>4368</v>
      </c>
      <c r="G878" s="9" t="s">
        <v>4369</v>
      </c>
      <c r="H878" s="18" t="str">
        <f t="array" ref="H878">_xlfn.XLOOKUP(E:E,'Calificación consecuencia'!B:B,'Calificación consecuencia'!K:K,"No encontrada",2)</f>
        <v>Baja</v>
      </c>
      <c r="I878" s="9" t="s">
        <v>2106</v>
      </c>
      <c r="J878" s="20" t="s">
        <v>116</v>
      </c>
      <c r="K878" s="21"/>
      <c r="L878" s="21"/>
      <c r="M878" s="22" t="s">
        <v>120</v>
      </c>
      <c r="N878" s="21"/>
      <c r="O878" s="22" t="s">
        <v>120</v>
      </c>
      <c r="P878" s="21"/>
      <c r="Q878" s="21"/>
      <c r="R878" s="21"/>
      <c r="S878" s="22" t="s">
        <v>120</v>
      </c>
      <c r="T878" s="21"/>
      <c r="U878" s="9" t="s">
        <v>1680</v>
      </c>
      <c r="V878" s="9" t="s">
        <v>1408</v>
      </c>
    </row>
    <row r="879" ht="14.25" customHeight="1">
      <c r="A879" s="9" t="s">
        <v>1703</v>
      </c>
      <c r="B879" s="9" t="s">
        <v>1702</v>
      </c>
      <c r="C879" s="9" t="str">
        <f t="array" ref="C879">INDEX(Funciones!$G$2:$G$372,MATCH($A879,Funciones!$B$2:$B$372,0))</f>
        <v>Disipar el calor del motor con temperatura máxima del refrigerante de _____ °C</v>
      </c>
      <c r="D879" s="9" t="s">
        <v>4367</v>
      </c>
      <c r="E879" s="9" t="s">
        <v>1102</v>
      </c>
      <c r="F879" s="9" t="s">
        <v>4370</v>
      </c>
      <c r="G879" s="9" t="s">
        <v>3147</v>
      </c>
      <c r="H879" s="18" t="str">
        <f t="array" ref="H879">_xlfn.XLOOKUP(E:E,'Calificación consecuencia'!B:B,'Calificación consecuencia'!K:K,"No encontrada",2)</f>
        <v>Baja</v>
      </c>
      <c r="I879" s="9" t="s">
        <v>2106</v>
      </c>
      <c r="J879" s="20" t="s">
        <v>116</v>
      </c>
      <c r="K879" s="21"/>
      <c r="L879" s="21"/>
      <c r="M879" s="22" t="s">
        <v>120</v>
      </c>
      <c r="N879" s="21"/>
      <c r="O879" s="22" t="s">
        <v>120</v>
      </c>
      <c r="P879" s="21"/>
      <c r="Q879" s="21"/>
      <c r="R879" s="21"/>
      <c r="S879" s="22" t="s">
        <v>120</v>
      </c>
      <c r="T879" s="21"/>
      <c r="U879" s="9" t="s">
        <v>1680</v>
      </c>
      <c r="V879" s="9" t="s">
        <v>1408</v>
      </c>
    </row>
    <row r="880" ht="14.25" customHeight="1">
      <c r="A880" s="9" t="s">
        <v>1703</v>
      </c>
      <c r="B880" s="9" t="s">
        <v>1702</v>
      </c>
      <c r="C880" s="9" t="str">
        <f t="array" ref="C880">INDEX(Funciones!$G$2:$G$372,MATCH($A880,Funciones!$B$2:$B$372,0))</f>
        <v>Disipar el calor del motor con temperatura máxima del refrigerante de _____ °C</v>
      </c>
      <c r="D880" s="9" t="s">
        <v>4367</v>
      </c>
      <c r="E880" s="9" t="s">
        <v>3548</v>
      </c>
      <c r="F880" s="9" t="s">
        <v>4371</v>
      </c>
      <c r="G880" s="9" t="s">
        <v>4372</v>
      </c>
      <c r="H880" s="18" t="str">
        <f t="array" ref="H880">_xlfn.XLOOKUP(E:E,'Calificación consecuencia'!B:B,'Calificación consecuencia'!K:K,"No encontrada",2)</f>
        <v>Media</v>
      </c>
      <c r="I880" s="9" t="s">
        <v>1800</v>
      </c>
      <c r="J880" s="20" t="s">
        <v>116</v>
      </c>
      <c r="K880" s="21"/>
      <c r="L880" s="21"/>
      <c r="M880" s="22" t="s">
        <v>120</v>
      </c>
      <c r="N880" s="21"/>
      <c r="O880" s="22" t="s">
        <v>120</v>
      </c>
      <c r="P880" s="21"/>
      <c r="Q880" s="21"/>
      <c r="R880" s="21"/>
      <c r="S880" s="20" t="s">
        <v>116</v>
      </c>
      <c r="T880" s="20" t="s">
        <v>116</v>
      </c>
      <c r="U880" s="9" t="s">
        <v>3471</v>
      </c>
      <c r="V880" s="9" t="s">
        <v>196</v>
      </c>
    </row>
    <row r="881" ht="14.25" customHeight="1">
      <c r="A881" s="27" t="s">
        <v>1718</v>
      </c>
      <c r="B881" s="27" t="s">
        <v>1717</v>
      </c>
      <c r="C881" s="27" t="str">
        <f t="array" ref="C881">INDEX(Funciones!$G$2:$G$372,MATCH($A881,Funciones!$B$2:$B$372,0))</f>
        <v>Comprimir el aire a una presión de _____ bar</v>
      </c>
      <c r="D881" s="27" t="s">
        <v>3403</v>
      </c>
      <c r="E881" s="27" t="s">
        <v>999</v>
      </c>
      <c r="F881" s="27" t="s">
        <v>2657</v>
      </c>
      <c r="G881" s="27" t="s">
        <v>2658</v>
      </c>
      <c r="H881" s="18" t="str">
        <f t="array" ref="H881">_xlfn.XLOOKUP(E:E,'Calificación consecuencia'!B:B,'Calificación consecuencia'!K:K,"No encontrada",2)</f>
        <v>Media</v>
      </c>
      <c r="I881" s="27" t="s">
        <v>1800</v>
      </c>
      <c r="J881" s="30" t="s">
        <v>116</v>
      </c>
      <c r="K881" s="21"/>
      <c r="L881" s="21"/>
      <c r="M881" s="30" t="s">
        <v>116</v>
      </c>
      <c r="N881" s="30" t="s">
        <v>116</v>
      </c>
      <c r="O881" s="21"/>
      <c r="P881" s="21"/>
      <c r="Q881" s="21"/>
      <c r="R881" s="21"/>
      <c r="S881" s="21"/>
      <c r="T881" s="21"/>
      <c r="U881" s="27" t="s">
        <v>195</v>
      </c>
      <c r="V881" s="27" t="s">
        <v>196</v>
      </c>
    </row>
    <row r="882" ht="14.25" customHeight="1">
      <c r="A882" s="27" t="s">
        <v>1718</v>
      </c>
      <c r="B882" s="27" t="s">
        <v>1717</v>
      </c>
      <c r="C882" s="27" t="str">
        <f t="array" ref="C882">INDEX(Funciones!$G$2:$G$372,MATCH($A882,Funciones!$B$2:$B$372,0))</f>
        <v>Comprimir el aire a una presión de _____ bar</v>
      </c>
      <c r="D882" s="27" t="s">
        <v>3403</v>
      </c>
      <c r="E882" s="27" t="s">
        <v>1005</v>
      </c>
      <c r="F882" s="27" t="s">
        <v>2677</v>
      </c>
      <c r="G882" s="27" t="s">
        <v>2679</v>
      </c>
      <c r="H882" s="18" t="str">
        <f t="array" ref="H882">_xlfn.XLOOKUP(E:E,'Calificación consecuencia'!B:B,'Calificación consecuencia'!K:K,"No encontrada",2)</f>
        <v>Baja</v>
      </c>
      <c r="I882" s="27" t="s">
        <v>2694</v>
      </c>
      <c r="J882" s="30" t="s">
        <v>116</v>
      </c>
      <c r="K882" s="21"/>
      <c r="L882" s="21"/>
      <c r="M882" s="30" t="s">
        <v>116</v>
      </c>
      <c r="N882" s="30" t="s">
        <v>116</v>
      </c>
      <c r="O882" s="21"/>
      <c r="P882" s="21"/>
      <c r="Q882" s="21"/>
      <c r="R882" s="21"/>
      <c r="S882" s="21"/>
      <c r="T882" s="21"/>
      <c r="U882" s="27" t="s">
        <v>195</v>
      </c>
      <c r="V882" s="27" t="s">
        <v>196</v>
      </c>
    </row>
    <row r="883" ht="14.25" customHeight="1">
      <c r="A883" s="27" t="s">
        <v>1718</v>
      </c>
      <c r="B883" s="27" t="s">
        <v>1717</v>
      </c>
      <c r="C883" s="27" t="str">
        <f t="array" ref="C883">INDEX(Funciones!$G$2:$G$372,MATCH($A883,Funciones!$B$2:$B$372,0))</f>
        <v>Comprimir el aire a una presión de _____ bar</v>
      </c>
      <c r="D883" s="27" t="s">
        <v>3403</v>
      </c>
      <c r="E883" s="27" t="s">
        <v>1017</v>
      </c>
      <c r="F883" s="27" t="s">
        <v>2709</v>
      </c>
      <c r="G883" s="27" t="s">
        <v>2710</v>
      </c>
      <c r="H883" s="18" t="str">
        <f t="array" ref="H883">_xlfn.XLOOKUP(E:E,'Calificación consecuencia'!B:B,'Calificación consecuencia'!K:K,"No encontrada",2)</f>
        <v>Media</v>
      </c>
      <c r="I883" s="27" t="s">
        <v>1800</v>
      </c>
      <c r="J883" s="30" t="s">
        <v>116</v>
      </c>
      <c r="K883" s="21"/>
      <c r="L883" s="21"/>
      <c r="M883" s="30" t="s">
        <v>116</v>
      </c>
      <c r="N883" s="30" t="s">
        <v>116</v>
      </c>
      <c r="O883" s="21"/>
      <c r="P883" s="21"/>
      <c r="Q883" s="21"/>
      <c r="R883" s="21"/>
      <c r="S883" s="21"/>
      <c r="T883" s="21"/>
      <c r="U883" s="27" t="s">
        <v>195</v>
      </c>
      <c r="V883" s="27" t="s">
        <v>196</v>
      </c>
    </row>
    <row r="884" ht="14.25" customHeight="1">
      <c r="A884" s="27" t="s">
        <v>1718</v>
      </c>
      <c r="B884" s="27" t="s">
        <v>1717</v>
      </c>
      <c r="C884" s="27" t="str">
        <f t="array" ref="C884">INDEX(Funciones!$G$2:$G$372,MATCH($A884,Funciones!$B$2:$B$372,0))</f>
        <v>Comprimir el aire a una presión de _____ bar</v>
      </c>
      <c r="D884" s="27" t="s">
        <v>3404</v>
      </c>
      <c r="E884" s="27" t="s">
        <v>727</v>
      </c>
      <c r="F884" s="27" t="s">
        <v>3405</v>
      </c>
      <c r="G884" s="27" t="s">
        <v>1792</v>
      </c>
      <c r="H884" s="18" t="str">
        <f t="array" ref="H884">_xlfn.XLOOKUP(E:E,'Calificación consecuencia'!B:B,'Calificación consecuencia'!K:K,"No encontrada",2)</f>
        <v>Baja</v>
      </c>
      <c r="I884" s="27" t="s">
        <v>1800</v>
      </c>
      <c r="J884" s="30" t="s">
        <v>116</v>
      </c>
      <c r="K884" s="21"/>
      <c r="L884" s="21"/>
      <c r="M884" s="29" t="s">
        <v>120</v>
      </c>
      <c r="N884" s="21"/>
      <c r="O884" s="30" t="s">
        <v>116</v>
      </c>
      <c r="P884" s="30" t="s">
        <v>116</v>
      </c>
      <c r="Q884" s="21"/>
      <c r="R884" s="21"/>
      <c r="S884" s="21"/>
      <c r="T884" s="21"/>
      <c r="U884" s="27" t="s">
        <v>345</v>
      </c>
      <c r="V884" s="27" t="s">
        <v>196</v>
      </c>
    </row>
    <row r="885" ht="14.25" customHeight="1">
      <c r="A885" s="27" t="s">
        <v>1718</v>
      </c>
      <c r="B885" s="27" t="s">
        <v>1717</v>
      </c>
      <c r="C885" s="27" t="str">
        <f t="array" ref="C885">INDEX(Funciones!$G$2:$G$372,MATCH($A885,Funciones!$B$2:$B$372,0))</f>
        <v>Comprimir el aire a una presión de _____ bar</v>
      </c>
      <c r="D885" s="27" t="s">
        <v>3404</v>
      </c>
      <c r="E885" s="27" t="s">
        <v>1036</v>
      </c>
      <c r="F885" s="27" t="s">
        <v>3406</v>
      </c>
      <c r="G885" s="27" t="s">
        <v>2810</v>
      </c>
      <c r="H885" s="18" t="str">
        <f t="array" ref="H885">_xlfn.XLOOKUP(E:E,'Calificación consecuencia'!B:B,'Calificación consecuencia'!K:K,"No encontrada",2)</f>
        <v>Baja</v>
      </c>
      <c r="I885" s="27" t="s">
        <v>2106</v>
      </c>
      <c r="J885" s="30" t="s">
        <v>116</v>
      </c>
      <c r="K885" s="21"/>
      <c r="L885" s="21"/>
      <c r="M885" s="29" t="s">
        <v>120</v>
      </c>
      <c r="N885" s="21"/>
      <c r="O885" s="30" t="s">
        <v>116</v>
      </c>
      <c r="P885" s="30" t="s">
        <v>116</v>
      </c>
      <c r="Q885" s="21"/>
      <c r="R885" s="21"/>
      <c r="S885" s="21"/>
      <c r="T885" s="21"/>
      <c r="U885" s="27" t="s">
        <v>345</v>
      </c>
      <c r="V885" s="27" t="s">
        <v>196</v>
      </c>
    </row>
    <row r="886" ht="14.25" customHeight="1">
      <c r="A886" s="27" t="s">
        <v>1718</v>
      </c>
      <c r="B886" s="27" t="s">
        <v>1717</v>
      </c>
      <c r="C886" s="27" t="str">
        <f t="array" ref="C886">INDEX(Funciones!$G$2:$G$372,MATCH($A886,Funciones!$B$2:$B$372,0))</f>
        <v>Comprimir el aire a una presión de _____ bar</v>
      </c>
      <c r="D886" s="27" t="s">
        <v>3409</v>
      </c>
      <c r="E886" s="27" t="s">
        <v>1421</v>
      </c>
      <c r="F886" s="27" t="s">
        <v>3410</v>
      </c>
      <c r="G886" s="27" t="s">
        <v>2841</v>
      </c>
      <c r="H886" s="18" t="str">
        <f t="array" ref="H886">_xlfn.XLOOKUP(E:E,'Calificación consecuencia'!B:B,'Calificación consecuencia'!K:K,"No encontrada",2)</f>
        <v>Baja</v>
      </c>
      <c r="I886" s="27" t="s">
        <v>2106</v>
      </c>
      <c r="J886" s="30" t="s">
        <v>116</v>
      </c>
      <c r="K886" s="21"/>
      <c r="L886" s="21"/>
      <c r="M886" s="29" t="s">
        <v>120</v>
      </c>
      <c r="N886" s="21"/>
      <c r="O886" s="29" t="s">
        <v>120</v>
      </c>
      <c r="P886" s="21"/>
      <c r="Q886" s="21"/>
      <c r="R886" s="21"/>
      <c r="S886" s="29" t="s">
        <v>120</v>
      </c>
      <c r="T886" s="21"/>
      <c r="U886" s="27" t="s">
        <v>1680</v>
      </c>
      <c r="V886" s="27" t="s">
        <v>1408</v>
      </c>
    </row>
    <row r="887" ht="14.25" customHeight="1">
      <c r="A887" s="27" t="s">
        <v>1718</v>
      </c>
      <c r="B887" s="27" t="s">
        <v>1717</v>
      </c>
      <c r="C887" s="27" t="str">
        <f t="array" ref="C887">INDEX(Funciones!$G$2:$G$372,MATCH($A887,Funciones!$B$2:$B$372,0))</f>
        <v>Comprimir el aire a una presión de _____ bar</v>
      </c>
      <c r="D887" s="27" t="s">
        <v>3409</v>
      </c>
      <c r="E887" s="27" t="s">
        <v>1426</v>
      </c>
      <c r="F887" s="27" t="s">
        <v>3411</v>
      </c>
      <c r="G887" s="27" t="s">
        <v>1888</v>
      </c>
      <c r="H887" s="18" t="str">
        <f t="array" ref="H887">_xlfn.XLOOKUP(E:E,'Calificación consecuencia'!B:B,'Calificación consecuencia'!K:K,"No encontrada",2)</f>
        <v>Baja</v>
      </c>
      <c r="I887" s="27" t="s">
        <v>2106</v>
      </c>
      <c r="J887" s="30" t="s">
        <v>116</v>
      </c>
      <c r="K887" s="21"/>
      <c r="L887" s="21"/>
      <c r="M887" s="29" t="s">
        <v>120</v>
      </c>
      <c r="N887" s="21"/>
      <c r="O887" s="29" t="s">
        <v>120</v>
      </c>
      <c r="P887" s="21"/>
      <c r="Q887" s="21"/>
      <c r="R887" s="21"/>
      <c r="S887" s="29" t="s">
        <v>120</v>
      </c>
      <c r="T887" s="21"/>
      <c r="U887" s="27" t="s">
        <v>1680</v>
      </c>
      <c r="V887" s="27" t="s">
        <v>1408</v>
      </c>
    </row>
    <row r="888" ht="14.25" customHeight="1">
      <c r="A888" s="9" t="s">
        <v>1725</v>
      </c>
      <c r="B888" s="9" t="s">
        <v>1717</v>
      </c>
      <c r="C888" s="9" t="str">
        <f t="array" ref="C888">INDEX(Funciones!$G$2:$G$372,MATCH($A888,Funciones!$B$2:$B$372,0))</f>
        <v>Suministrar caudal de aire de _____ L/min</v>
      </c>
      <c r="D888" s="9" t="s">
        <v>4123</v>
      </c>
      <c r="E888" s="9" t="s">
        <v>999</v>
      </c>
      <c r="F888" s="9" t="s">
        <v>2657</v>
      </c>
      <c r="G888" s="9" t="s">
        <v>2658</v>
      </c>
      <c r="H888" s="18" t="str">
        <f t="array" ref="H888">_xlfn.XLOOKUP(E:E,'Calificación consecuencia'!B:B,'Calificación consecuencia'!K:K,"No encontrada",2)</f>
        <v>Media</v>
      </c>
      <c r="I888" s="9" t="s">
        <v>1800</v>
      </c>
      <c r="J888" s="20" t="s">
        <v>116</v>
      </c>
      <c r="K888" s="21"/>
      <c r="L888" s="21"/>
      <c r="M888" s="20" t="s">
        <v>116</v>
      </c>
      <c r="N888" s="20" t="s">
        <v>116</v>
      </c>
      <c r="O888" s="21"/>
      <c r="P888" s="21"/>
      <c r="Q888" s="21"/>
      <c r="R888" s="21"/>
      <c r="S888" s="21"/>
      <c r="T888" s="21"/>
      <c r="U888" s="9" t="s">
        <v>195</v>
      </c>
      <c r="V888" s="9" t="s">
        <v>196</v>
      </c>
    </row>
    <row r="889" ht="14.25" customHeight="1">
      <c r="A889" s="9" t="s">
        <v>1725</v>
      </c>
      <c r="B889" s="9" t="s">
        <v>1717</v>
      </c>
      <c r="C889" s="9" t="str">
        <f t="array" ref="C889">INDEX(Funciones!$G$2:$G$372,MATCH($A889,Funciones!$B$2:$B$372,0))</f>
        <v>Suministrar caudal de aire de _____ L/min</v>
      </c>
      <c r="D889" s="9" t="s">
        <v>4123</v>
      </c>
      <c r="E889" s="9" t="s">
        <v>1005</v>
      </c>
      <c r="F889" s="9" t="s">
        <v>2677</v>
      </c>
      <c r="G889" s="9" t="s">
        <v>2679</v>
      </c>
      <c r="H889" s="18" t="str">
        <f t="array" ref="H889">_xlfn.XLOOKUP(E:E,'Calificación consecuencia'!B:B,'Calificación consecuencia'!K:K,"No encontrada",2)</f>
        <v>Baja</v>
      </c>
      <c r="I889" s="9" t="s">
        <v>2694</v>
      </c>
      <c r="J889" s="20" t="s">
        <v>116</v>
      </c>
      <c r="K889" s="21"/>
      <c r="L889" s="21"/>
      <c r="M889" s="20" t="s">
        <v>116</v>
      </c>
      <c r="N889" s="20" t="s">
        <v>116</v>
      </c>
      <c r="O889" s="21"/>
      <c r="P889" s="21"/>
      <c r="Q889" s="21"/>
      <c r="R889" s="21"/>
      <c r="S889" s="21"/>
      <c r="T889" s="21"/>
      <c r="U889" s="9" t="s">
        <v>195</v>
      </c>
      <c r="V889" s="9" t="s">
        <v>196</v>
      </c>
    </row>
    <row r="890" ht="14.25" customHeight="1">
      <c r="A890" s="9" t="s">
        <v>1725</v>
      </c>
      <c r="B890" s="9" t="s">
        <v>1717</v>
      </c>
      <c r="C890" s="9" t="str">
        <f t="array" ref="C890">INDEX(Funciones!$G$2:$G$372,MATCH($A890,Funciones!$B$2:$B$372,0))</f>
        <v>Suministrar caudal de aire de _____ L/min</v>
      </c>
      <c r="D890" s="9" t="s">
        <v>4123</v>
      </c>
      <c r="E890" s="9" t="s">
        <v>1017</v>
      </c>
      <c r="F890" s="9" t="s">
        <v>2709</v>
      </c>
      <c r="G890" s="9" t="s">
        <v>2710</v>
      </c>
      <c r="H890" s="18" t="str">
        <f t="array" ref="H890">_xlfn.XLOOKUP(E:E,'Calificación consecuencia'!B:B,'Calificación consecuencia'!K:K,"No encontrada",2)</f>
        <v>Media</v>
      </c>
      <c r="I890" s="9" t="s">
        <v>1800</v>
      </c>
      <c r="J890" s="20" t="s">
        <v>116</v>
      </c>
      <c r="K890" s="21"/>
      <c r="L890" s="21"/>
      <c r="M890" s="20" t="s">
        <v>116</v>
      </c>
      <c r="N890" s="20" t="s">
        <v>116</v>
      </c>
      <c r="O890" s="21"/>
      <c r="P890" s="21"/>
      <c r="Q890" s="21"/>
      <c r="R890" s="21"/>
      <c r="S890" s="21"/>
      <c r="T890" s="21"/>
      <c r="U890" s="9" t="s">
        <v>195</v>
      </c>
      <c r="V890" s="9" t="s">
        <v>196</v>
      </c>
    </row>
    <row r="891" ht="14.25" customHeight="1">
      <c r="A891" s="9" t="s">
        <v>1725</v>
      </c>
      <c r="B891" s="9" t="s">
        <v>1717</v>
      </c>
      <c r="C891" s="9" t="str">
        <f t="array" ref="C891">INDEX(Funciones!$G$2:$G$372,MATCH($A891,Funciones!$B$2:$B$372,0))</f>
        <v>Suministrar caudal de aire de _____ L/min</v>
      </c>
      <c r="D891" s="9" t="s">
        <v>4124</v>
      </c>
      <c r="E891" s="9" t="s">
        <v>727</v>
      </c>
      <c r="F891" s="9" t="s">
        <v>2744</v>
      </c>
      <c r="G891" s="9" t="s">
        <v>1792</v>
      </c>
      <c r="H891" s="18" t="str">
        <f t="array" ref="H891">_xlfn.XLOOKUP(E:E,'Calificación consecuencia'!B:B,'Calificación consecuencia'!K:K,"No encontrada",2)</f>
        <v>Baja</v>
      </c>
      <c r="I891" s="9" t="s">
        <v>1800</v>
      </c>
      <c r="J891" s="20" t="s">
        <v>116</v>
      </c>
      <c r="K891" s="21"/>
      <c r="L891" s="21"/>
      <c r="M891" s="22" t="s">
        <v>120</v>
      </c>
      <c r="N891" s="21"/>
      <c r="O891" s="20" t="s">
        <v>116</v>
      </c>
      <c r="P891" s="20" t="s">
        <v>116</v>
      </c>
      <c r="Q891" s="21"/>
      <c r="R891" s="21"/>
      <c r="S891" s="21"/>
      <c r="T891" s="21"/>
      <c r="U891" s="9" t="s">
        <v>345</v>
      </c>
      <c r="V891" s="9" t="s">
        <v>196</v>
      </c>
    </row>
    <row r="892" ht="14.25" customHeight="1">
      <c r="A892" s="9" t="s">
        <v>1725</v>
      </c>
      <c r="B892" s="9" t="s">
        <v>1717</v>
      </c>
      <c r="C892" s="9" t="str">
        <f t="array" ref="C892">INDEX(Funciones!$G$2:$G$372,MATCH($A892,Funciones!$B$2:$B$372,0))</f>
        <v>Suministrar caudal de aire de _____ L/min</v>
      </c>
      <c r="D892" s="9" t="s">
        <v>4124</v>
      </c>
      <c r="E892" s="9" t="s">
        <v>1031</v>
      </c>
      <c r="F892" s="9" t="s">
        <v>2776</v>
      </c>
      <c r="G892" s="9" t="s">
        <v>2777</v>
      </c>
      <c r="H892" s="18" t="str">
        <f t="array" ref="H892">_xlfn.XLOOKUP(E:E,'Calificación consecuencia'!B:B,'Calificación consecuencia'!K:K,"No encontrada",2)</f>
        <v>Baja</v>
      </c>
      <c r="I892" s="9" t="s">
        <v>2106</v>
      </c>
      <c r="J892" s="20" t="s">
        <v>116</v>
      </c>
      <c r="K892" s="21"/>
      <c r="L892" s="21"/>
      <c r="M892" s="22" t="s">
        <v>120</v>
      </c>
      <c r="N892" s="21"/>
      <c r="O892" s="22" t="s">
        <v>120</v>
      </c>
      <c r="P892" s="21"/>
      <c r="Q892" s="21"/>
      <c r="R892" s="21"/>
      <c r="S892" s="22" t="s">
        <v>120</v>
      </c>
      <c r="T892" s="21"/>
      <c r="U892" s="9" t="s">
        <v>1680</v>
      </c>
      <c r="V892" s="9" t="s">
        <v>1408</v>
      </c>
    </row>
    <row r="893" ht="14.25" customHeight="1">
      <c r="A893" s="9" t="s">
        <v>1725</v>
      </c>
      <c r="B893" s="9" t="s">
        <v>1717</v>
      </c>
      <c r="C893" s="9" t="str">
        <f t="array" ref="C893">INDEX(Funciones!$G$2:$G$372,MATCH($A893,Funciones!$B$2:$B$372,0))</f>
        <v>Suministrar caudal de aire de _____ L/min</v>
      </c>
      <c r="D893" s="9" t="s">
        <v>4124</v>
      </c>
      <c r="E893" s="9" t="s">
        <v>1036</v>
      </c>
      <c r="F893" s="9" t="s">
        <v>2808</v>
      </c>
      <c r="G893" s="9" t="s">
        <v>2810</v>
      </c>
      <c r="H893" s="18" t="str">
        <f t="array" ref="H893">_xlfn.XLOOKUP(E:E,'Calificación consecuencia'!B:B,'Calificación consecuencia'!K:K,"No encontrada",2)</f>
        <v>Baja</v>
      </c>
      <c r="I893" s="9" t="s">
        <v>2106</v>
      </c>
      <c r="J893" s="20" t="s">
        <v>116</v>
      </c>
      <c r="K893" s="21"/>
      <c r="L893" s="21"/>
      <c r="M893" s="22" t="s">
        <v>120</v>
      </c>
      <c r="N893" s="21"/>
      <c r="O893" s="20" t="s">
        <v>116</v>
      </c>
      <c r="P893" s="20" t="s">
        <v>116</v>
      </c>
      <c r="Q893" s="21"/>
      <c r="R893" s="21"/>
      <c r="S893" s="21"/>
      <c r="T893" s="21"/>
      <c r="U893" s="9" t="s">
        <v>345</v>
      </c>
      <c r="V893" s="9" t="s">
        <v>196</v>
      </c>
    </row>
    <row r="894" ht="14.25" customHeight="1">
      <c r="A894" s="9" t="s">
        <v>1725</v>
      </c>
      <c r="B894" s="9" t="s">
        <v>1717</v>
      </c>
      <c r="C894" s="9" t="str">
        <f t="array" ref="C894">INDEX(Funciones!$G$2:$G$372,MATCH($A894,Funciones!$B$2:$B$372,0))</f>
        <v>Suministrar caudal de aire de _____ L/min</v>
      </c>
      <c r="D894" s="9" t="s">
        <v>4124</v>
      </c>
      <c r="E894" s="9" t="s">
        <v>1041</v>
      </c>
      <c r="F894" s="9" t="s">
        <v>2838</v>
      </c>
      <c r="G894" s="9" t="s">
        <v>2841</v>
      </c>
      <c r="H894" s="18" t="str">
        <f t="array" ref="H894">_xlfn.XLOOKUP(E:E,'Calificación consecuencia'!B:B,'Calificación consecuencia'!K:K,"No encontrada",2)</f>
        <v>Baja</v>
      </c>
      <c r="I894" s="9" t="s">
        <v>2106</v>
      </c>
      <c r="J894" s="20" t="s">
        <v>116</v>
      </c>
      <c r="K894" s="21"/>
      <c r="L894" s="21"/>
      <c r="M894" s="22" t="s">
        <v>120</v>
      </c>
      <c r="N894" s="21"/>
      <c r="O894" s="22" t="s">
        <v>120</v>
      </c>
      <c r="P894" s="21"/>
      <c r="Q894" s="21"/>
      <c r="R894" s="21"/>
      <c r="S894" s="22" t="s">
        <v>120</v>
      </c>
      <c r="T894" s="21"/>
      <c r="U894" s="9" t="s">
        <v>1680</v>
      </c>
      <c r="V894" s="9" t="s">
        <v>1408</v>
      </c>
    </row>
    <row r="895" ht="14.25" customHeight="1">
      <c r="A895" s="9" t="s">
        <v>1725</v>
      </c>
      <c r="B895" s="9" t="s">
        <v>1717</v>
      </c>
      <c r="C895" s="9" t="str">
        <f t="array" ref="C895">INDEX(Funciones!$G$2:$G$372,MATCH($A895,Funciones!$B$2:$B$372,0))</f>
        <v>Suministrar caudal de aire de _____ L/min</v>
      </c>
      <c r="D895" s="9" t="s">
        <v>4124</v>
      </c>
      <c r="E895" s="9" t="s">
        <v>1047</v>
      </c>
      <c r="F895" s="9" t="s">
        <v>2875</v>
      </c>
      <c r="G895" s="9" t="s">
        <v>1888</v>
      </c>
      <c r="H895" s="18" t="str">
        <f t="array" ref="H895">_xlfn.XLOOKUP(E:E,'Calificación consecuencia'!B:B,'Calificación consecuencia'!K:K,"No encontrada",2)</f>
        <v>Baja</v>
      </c>
      <c r="I895" s="9" t="s">
        <v>2106</v>
      </c>
      <c r="J895" s="20" t="s">
        <v>116</v>
      </c>
      <c r="K895" s="21"/>
      <c r="L895" s="21"/>
      <c r="M895" s="22" t="s">
        <v>120</v>
      </c>
      <c r="N895" s="21"/>
      <c r="O895" s="22" t="s">
        <v>120</v>
      </c>
      <c r="P895" s="21"/>
      <c r="Q895" s="21"/>
      <c r="R895" s="21"/>
      <c r="S895" s="22" t="s">
        <v>120</v>
      </c>
      <c r="T895" s="21"/>
      <c r="U895" s="9" t="s">
        <v>1680</v>
      </c>
      <c r="V895" s="9" t="s">
        <v>1408</v>
      </c>
    </row>
    <row r="896" ht="14.25" customHeight="1">
      <c r="A896" s="27" t="s">
        <v>1730</v>
      </c>
      <c r="B896" s="27" t="s">
        <v>1729</v>
      </c>
      <c r="C896" s="27" t="str">
        <f t="array" ref="C896">INDEX(Funciones!$G$2:$G$372,MATCH($A896,Funciones!$B$2:$B$372,0))</f>
        <v>Girar la muela a _____ rpm</v>
      </c>
      <c r="D896" s="27" t="s">
        <v>4373</v>
      </c>
      <c r="E896" s="27" t="s">
        <v>3555</v>
      </c>
      <c r="F896" s="27" t="s">
        <v>4374</v>
      </c>
      <c r="G896" s="27" t="s">
        <v>4375</v>
      </c>
      <c r="H896" s="18" t="str">
        <f t="array" ref="H896">_xlfn.XLOOKUP(E:E,'Calificación consecuencia'!B:B,'Calificación consecuencia'!K:K,"No encontrada",2)</f>
        <v>Media</v>
      </c>
      <c r="I896" s="27" t="s">
        <v>425</v>
      </c>
      <c r="J896" s="30" t="s">
        <v>116</v>
      </c>
      <c r="K896" s="21"/>
      <c r="L896" s="21"/>
      <c r="M896" s="30" t="s">
        <v>116</v>
      </c>
      <c r="N896" s="30" t="s">
        <v>116</v>
      </c>
      <c r="O896" s="21"/>
      <c r="P896" s="21"/>
      <c r="Q896" s="21"/>
      <c r="R896" s="21"/>
      <c r="S896" s="21"/>
      <c r="T896" s="21"/>
      <c r="U896" s="27" t="s">
        <v>195</v>
      </c>
      <c r="V896" s="27" t="s">
        <v>196</v>
      </c>
    </row>
    <row r="897" ht="14.25" customHeight="1">
      <c r="A897" s="27" t="s">
        <v>1730</v>
      </c>
      <c r="B897" s="27" t="s">
        <v>1729</v>
      </c>
      <c r="C897" s="27" t="str">
        <f t="array" ref="C897">INDEX(Funciones!$G$2:$G$372,MATCH($A897,Funciones!$B$2:$B$372,0))</f>
        <v>Girar la muela a _____ rpm</v>
      </c>
      <c r="D897" s="27" t="s">
        <v>4376</v>
      </c>
      <c r="E897" s="27" t="s">
        <v>3556</v>
      </c>
      <c r="F897" s="27" t="s">
        <v>4377</v>
      </c>
      <c r="G897" s="27" t="s">
        <v>4378</v>
      </c>
      <c r="H897" s="18" t="str">
        <f t="array" ref="H897">_xlfn.XLOOKUP(E:E,'Calificación consecuencia'!B:B,'Calificación consecuencia'!K:K,"No encontrada",2)</f>
        <v>Baja</v>
      </c>
      <c r="I897" s="27" t="s">
        <v>2106</v>
      </c>
      <c r="J897" s="30" t="s">
        <v>116</v>
      </c>
      <c r="K897" s="21"/>
      <c r="L897" s="21"/>
      <c r="M897" s="29" t="s">
        <v>120</v>
      </c>
      <c r="N897" s="21"/>
      <c r="O897" s="29" t="s">
        <v>120</v>
      </c>
      <c r="P897" s="21"/>
      <c r="Q897" s="21"/>
      <c r="R897" s="21"/>
      <c r="S897" s="29" t="s">
        <v>120</v>
      </c>
      <c r="T897" s="21"/>
      <c r="U897" s="27" t="s">
        <v>1680</v>
      </c>
      <c r="V897" s="27" t="s">
        <v>1408</v>
      </c>
    </row>
    <row r="898" ht="14.25" customHeight="1">
      <c r="A898" s="27" t="s">
        <v>1730</v>
      </c>
      <c r="B898" s="27" t="s">
        <v>1729</v>
      </c>
      <c r="C898" s="27" t="str">
        <f t="array" ref="C898">INDEX(Funciones!$G$2:$G$372,MATCH($A898,Funciones!$B$2:$B$372,0))</f>
        <v>Girar la muela a _____ rpm</v>
      </c>
      <c r="D898" s="27" t="s">
        <v>4379</v>
      </c>
      <c r="E898" s="27" t="s">
        <v>3515</v>
      </c>
      <c r="F898" s="27" t="s">
        <v>4380</v>
      </c>
      <c r="G898" s="27" t="s">
        <v>4327</v>
      </c>
      <c r="H898" s="18" t="str">
        <f t="array" ref="H898">_xlfn.XLOOKUP(E:E,'Calificación consecuencia'!B:B,'Calificación consecuencia'!K:K,"No encontrada",2)</f>
        <v>Media</v>
      </c>
      <c r="I898" s="27" t="s">
        <v>425</v>
      </c>
      <c r="J898" s="30" t="s">
        <v>116</v>
      </c>
      <c r="K898" s="21"/>
      <c r="L898" s="21"/>
      <c r="M898" s="30" t="s">
        <v>116</v>
      </c>
      <c r="N898" s="30" t="s">
        <v>116</v>
      </c>
      <c r="O898" s="21"/>
      <c r="P898" s="21"/>
      <c r="Q898" s="21"/>
      <c r="R898" s="21"/>
      <c r="S898" s="21"/>
      <c r="T898" s="21"/>
      <c r="U898" s="27" t="s">
        <v>195</v>
      </c>
      <c r="V898" s="27" t="s">
        <v>196</v>
      </c>
    </row>
    <row r="899" ht="14.25" customHeight="1">
      <c r="A899" s="9" t="s">
        <v>1738</v>
      </c>
      <c r="B899" s="9" t="s">
        <v>1729</v>
      </c>
      <c r="C899" s="9" t="str">
        <f t="array" ref="C899">INDEX(Funciones!$G$2:$G$372,MATCH($A899,Funciones!$B$2:$B$372,0))</f>
        <v>Remover metal del riel de _____ mm por pasada</v>
      </c>
      <c r="D899" s="9" t="s">
        <v>4303</v>
      </c>
      <c r="E899" s="9" t="s">
        <v>3499</v>
      </c>
      <c r="F899" s="9" t="s">
        <v>4304</v>
      </c>
      <c r="G899" s="9" t="s">
        <v>4305</v>
      </c>
      <c r="H899" s="18" t="str">
        <f t="array" ref="H899">_xlfn.XLOOKUP(E:E,'Calificación consecuencia'!B:B,'Calificación consecuencia'!K:K,"No encontrada",2)</f>
        <v>Baja</v>
      </c>
      <c r="I899" s="9" t="s">
        <v>1800</v>
      </c>
      <c r="J899" s="20" t="s">
        <v>116</v>
      </c>
      <c r="K899" s="21"/>
      <c r="L899" s="21"/>
      <c r="M899" s="22" t="s">
        <v>120</v>
      </c>
      <c r="N899" s="21"/>
      <c r="O899" s="20" t="s">
        <v>116</v>
      </c>
      <c r="P899" s="20" t="s">
        <v>116</v>
      </c>
      <c r="Q899" s="21"/>
      <c r="R899" s="21"/>
      <c r="S899" s="21"/>
      <c r="T899" s="21"/>
      <c r="U899" s="9" t="s">
        <v>345</v>
      </c>
      <c r="V899" s="9" t="s">
        <v>196</v>
      </c>
    </row>
    <row r="900" ht="14.25" customHeight="1">
      <c r="A900" s="9" t="s">
        <v>1738</v>
      </c>
      <c r="B900" s="9" t="s">
        <v>1729</v>
      </c>
      <c r="C900" s="9" t="str">
        <f t="array" ref="C900">INDEX(Funciones!$G$2:$G$372,MATCH($A900,Funciones!$B$2:$B$372,0))</f>
        <v>Remover metal del riel de _____ mm por pasada</v>
      </c>
      <c r="D900" s="9" t="s">
        <v>4303</v>
      </c>
      <c r="E900" s="9" t="s">
        <v>3502</v>
      </c>
      <c r="F900" s="9" t="s">
        <v>4306</v>
      </c>
      <c r="G900" s="9" t="s">
        <v>4307</v>
      </c>
      <c r="H900" s="18" t="str">
        <f t="array" ref="H900">_xlfn.XLOOKUP(E:E,'Calificación consecuencia'!B:B,'Calificación consecuencia'!K:K,"No encontrada",2)</f>
        <v>Baja</v>
      </c>
      <c r="I900" s="9" t="s">
        <v>1800</v>
      </c>
      <c r="J900" s="20" t="s">
        <v>116</v>
      </c>
      <c r="K900" s="21"/>
      <c r="L900" s="21"/>
      <c r="M900" s="22" t="s">
        <v>120</v>
      </c>
      <c r="N900" s="21"/>
      <c r="O900" s="22" t="s">
        <v>120</v>
      </c>
      <c r="P900" s="21"/>
      <c r="Q900" s="21"/>
      <c r="R900" s="21"/>
      <c r="S900" s="20" t="s">
        <v>116</v>
      </c>
      <c r="T900" s="22" t="s">
        <v>120</v>
      </c>
      <c r="U900" s="9" t="s">
        <v>1680</v>
      </c>
      <c r="V900" s="9" t="s">
        <v>1408</v>
      </c>
    </row>
    <row r="901" ht="14.25" customHeight="1">
      <c r="A901" s="9" t="s">
        <v>1738</v>
      </c>
      <c r="B901" s="9" t="s">
        <v>1729</v>
      </c>
      <c r="C901" s="9" t="str">
        <f t="array" ref="C901">INDEX(Funciones!$G$2:$G$372,MATCH($A901,Funciones!$B$2:$B$372,0))</f>
        <v>Remover metal del riel de _____ mm por pasada</v>
      </c>
      <c r="D901" s="9" t="s">
        <v>4308</v>
      </c>
      <c r="E901" s="9" t="s">
        <v>3503</v>
      </c>
      <c r="F901" s="9" t="s">
        <v>4309</v>
      </c>
      <c r="G901" s="9" t="s">
        <v>4310</v>
      </c>
      <c r="H901" s="18" t="str">
        <f t="array" ref="H901">_xlfn.XLOOKUP(E:E,'Calificación consecuencia'!B:B,'Calificación consecuencia'!K:K,"No encontrada",2)</f>
        <v>Baja</v>
      </c>
      <c r="I901" s="9" t="s">
        <v>1800</v>
      </c>
      <c r="J901" s="20" t="s">
        <v>116</v>
      </c>
      <c r="K901" s="21"/>
      <c r="L901" s="21"/>
      <c r="M901" s="22" t="s">
        <v>120</v>
      </c>
      <c r="N901" s="21"/>
      <c r="O901" s="22" t="s">
        <v>120</v>
      </c>
      <c r="P901" s="21"/>
      <c r="Q901" s="21"/>
      <c r="R901" s="21"/>
      <c r="S901" s="20" t="s">
        <v>116</v>
      </c>
      <c r="T901" s="20" t="s">
        <v>116</v>
      </c>
      <c r="U901" s="9" t="s">
        <v>3471</v>
      </c>
      <c r="V901" s="9" t="s">
        <v>196</v>
      </c>
    </row>
    <row r="902" ht="14.25" customHeight="1">
      <c r="A902" s="9" t="s">
        <v>1738</v>
      </c>
      <c r="B902" s="9" t="s">
        <v>1729</v>
      </c>
      <c r="C902" s="9" t="str">
        <f t="array" ref="C902">INDEX(Funciones!$G$2:$G$372,MATCH($A902,Funciones!$B$2:$B$372,0))</f>
        <v>Remover metal del riel de _____ mm por pasada</v>
      </c>
      <c r="D902" s="9" t="s">
        <v>4308</v>
      </c>
      <c r="E902" s="9" t="s">
        <v>3504</v>
      </c>
      <c r="F902" s="9" t="s">
        <v>4311</v>
      </c>
      <c r="G902" s="9" t="s">
        <v>4312</v>
      </c>
      <c r="H902" s="18" t="str">
        <f t="array" ref="H902">_xlfn.XLOOKUP(E:E,'Calificación consecuencia'!B:B,'Calificación consecuencia'!K:K,"No encontrada",2)</f>
        <v>Baja</v>
      </c>
      <c r="I902" s="9" t="s">
        <v>1800</v>
      </c>
      <c r="J902" s="20" t="s">
        <v>116</v>
      </c>
      <c r="K902" s="21"/>
      <c r="L902" s="21"/>
      <c r="M902" s="22" t="s">
        <v>120</v>
      </c>
      <c r="N902" s="21"/>
      <c r="O902" s="20" t="s">
        <v>116</v>
      </c>
      <c r="P902" s="20" t="s">
        <v>116</v>
      </c>
      <c r="Q902" s="21"/>
      <c r="R902" s="21"/>
      <c r="S902" s="21"/>
      <c r="T902" s="21"/>
      <c r="U902" s="9" t="s">
        <v>345</v>
      </c>
      <c r="V902" s="9" t="s">
        <v>196</v>
      </c>
    </row>
    <row r="903" ht="14.25" customHeight="1">
      <c r="A903" s="9" t="s">
        <v>1738</v>
      </c>
      <c r="B903" s="9" t="s">
        <v>1729</v>
      </c>
      <c r="C903" s="9" t="str">
        <f t="array" ref="C903">INDEX(Funciones!$G$2:$G$372,MATCH($A903,Funciones!$B$2:$B$372,0))</f>
        <v>Remover metal del riel de _____ mm por pasada</v>
      </c>
      <c r="D903" s="9" t="s">
        <v>4308</v>
      </c>
      <c r="E903" s="9" t="s">
        <v>3505</v>
      </c>
      <c r="F903" s="9" t="s">
        <v>4313</v>
      </c>
      <c r="G903" s="9" t="s">
        <v>4314</v>
      </c>
      <c r="H903" s="18" t="str">
        <f t="array" ref="H903">_xlfn.XLOOKUP(E:E,'Calificación consecuencia'!B:B,'Calificación consecuencia'!K:K,"No encontrada",2)</f>
        <v>Baja</v>
      </c>
      <c r="I903" s="9" t="s">
        <v>1800</v>
      </c>
      <c r="J903" s="20" t="s">
        <v>116</v>
      </c>
      <c r="K903" s="21"/>
      <c r="L903" s="21"/>
      <c r="M903" s="22" t="s">
        <v>120</v>
      </c>
      <c r="N903" s="21"/>
      <c r="O903" s="20" t="s">
        <v>116</v>
      </c>
      <c r="P903" s="22" t="s">
        <v>120</v>
      </c>
      <c r="Q903" s="22" t="s">
        <v>120</v>
      </c>
      <c r="R903" s="22" t="s">
        <v>120</v>
      </c>
      <c r="S903" s="21"/>
      <c r="T903" s="21"/>
      <c r="U903" s="9" t="s">
        <v>230</v>
      </c>
      <c r="V903" s="9" t="s">
        <v>230</v>
      </c>
    </row>
    <row r="904" ht="14.25" customHeight="1">
      <c r="A904" s="9" t="s">
        <v>1738</v>
      </c>
      <c r="B904" s="9" t="s">
        <v>1729</v>
      </c>
      <c r="C904" s="9" t="str">
        <f t="array" ref="C904">INDEX(Funciones!$G$2:$G$372,MATCH($A904,Funciones!$B$2:$B$372,0))</f>
        <v>Remover metal del riel de _____ mm por pasada</v>
      </c>
      <c r="D904" s="9" t="s">
        <v>4315</v>
      </c>
      <c r="E904" s="9" t="s">
        <v>3508</v>
      </c>
      <c r="F904" s="9" t="s">
        <v>4316</v>
      </c>
      <c r="G904" s="9" t="s">
        <v>4317</v>
      </c>
      <c r="H904" s="18" t="str">
        <f t="array" ref="H904">_xlfn.XLOOKUP(E:E,'Calificación consecuencia'!B:B,'Calificación consecuencia'!K:K,"No encontrada",2)</f>
        <v>Baja</v>
      </c>
      <c r="I904" s="9" t="s">
        <v>1800</v>
      </c>
      <c r="J904" s="20" t="s">
        <v>116</v>
      </c>
      <c r="K904" s="21"/>
      <c r="L904" s="21"/>
      <c r="M904" s="22" t="s">
        <v>120</v>
      </c>
      <c r="N904" s="21"/>
      <c r="O904" s="22" t="s">
        <v>120</v>
      </c>
      <c r="P904" s="21"/>
      <c r="Q904" s="21"/>
      <c r="R904" s="21"/>
      <c r="S904" s="20" t="s">
        <v>116</v>
      </c>
      <c r="T904" s="20" t="s">
        <v>116</v>
      </c>
      <c r="U904" s="9" t="s">
        <v>3471</v>
      </c>
      <c r="V904" s="9" t="s">
        <v>196</v>
      </c>
    </row>
    <row r="905" ht="14.25" customHeight="1">
      <c r="A905" s="27" t="s">
        <v>1740</v>
      </c>
      <c r="B905" s="27" t="s">
        <v>1739</v>
      </c>
      <c r="C905" s="27" t="str">
        <f t="array" ref="C905">INDEX(Funciones!$G$2:$G$372,MATCH($A905,Funciones!$B$2:$B$372,0))</f>
        <v>Remolcar trenes de trabajo hasta _____ t</v>
      </c>
      <c r="D905" s="27" t="s">
        <v>4121</v>
      </c>
      <c r="E905" s="27" t="s">
        <v>1813</v>
      </c>
      <c r="F905" s="27" t="s">
        <v>3762</v>
      </c>
      <c r="G905" s="27" t="s">
        <v>3628</v>
      </c>
      <c r="H905" s="18" t="str">
        <f t="array" ref="H905">_xlfn.XLOOKUP(E:E,'Calificación consecuencia'!B:B,'Calificación consecuencia'!K:K,"No encontrada",2)</f>
        <v>Baja</v>
      </c>
      <c r="I905" s="27" t="s">
        <v>425</v>
      </c>
      <c r="J905" s="30" t="s">
        <v>116</v>
      </c>
      <c r="K905" s="21"/>
      <c r="L905" s="21"/>
      <c r="M905" s="30" t="s">
        <v>116</v>
      </c>
      <c r="N905" s="30" t="s">
        <v>116</v>
      </c>
      <c r="O905" s="21"/>
      <c r="P905" s="21"/>
      <c r="Q905" s="21"/>
      <c r="R905" s="21"/>
      <c r="S905" s="21"/>
      <c r="T905" s="21"/>
      <c r="U905" s="27" t="s">
        <v>195</v>
      </c>
      <c r="V905" s="27" t="s">
        <v>196</v>
      </c>
    </row>
    <row r="906" ht="14.25" customHeight="1">
      <c r="A906" s="27" t="s">
        <v>1740</v>
      </c>
      <c r="B906" s="27" t="s">
        <v>1739</v>
      </c>
      <c r="C906" s="27" t="str">
        <f t="array" ref="C906">INDEX(Funciones!$G$2:$G$372,MATCH($A906,Funciones!$B$2:$B$372,0))</f>
        <v>Remolcar trenes de trabajo hasta _____ t</v>
      </c>
      <c r="D906" s="27" t="s">
        <v>4121</v>
      </c>
      <c r="E906" s="27" t="s">
        <v>2009</v>
      </c>
      <c r="F906" s="27" t="s">
        <v>3763</v>
      </c>
      <c r="G906" s="27" t="s">
        <v>3764</v>
      </c>
      <c r="H906" s="18" t="str">
        <f t="array" ref="H906">_xlfn.XLOOKUP(E:E,'Calificación consecuencia'!B:B,'Calificación consecuencia'!K:K,"No encontrada",2)</f>
        <v>Baja</v>
      </c>
      <c r="I906" s="27" t="s">
        <v>2694</v>
      </c>
      <c r="J906" s="30" t="s">
        <v>116</v>
      </c>
      <c r="K906" s="21"/>
      <c r="L906" s="21"/>
      <c r="M906" s="30" t="s">
        <v>116</v>
      </c>
      <c r="N906" s="30" t="s">
        <v>116</v>
      </c>
      <c r="O906" s="21"/>
      <c r="P906" s="21"/>
      <c r="Q906" s="21"/>
      <c r="R906" s="21"/>
      <c r="S906" s="21"/>
      <c r="T906" s="21"/>
      <c r="U906" s="27" t="s">
        <v>195</v>
      </c>
      <c r="V906" s="27" t="s">
        <v>196</v>
      </c>
    </row>
    <row r="907" ht="14.25" customHeight="1">
      <c r="A907" s="27" t="s">
        <v>1740</v>
      </c>
      <c r="B907" s="27" t="s">
        <v>1739</v>
      </c>
      <c r="C907" s="27" t="str">
        <f t="array" ref="C907">INDEX(Funciones!$G$2:$G$372,MATCH($A907,Funciones!$B$2:$B$372,0))</f>
        <v>Remolcar trenes de trabajo hasta _____ t</v>
      </c>
      <c r="D907" s="27" t="s">
        <v>4122</v>
      </c>
      <c r="E907" s="27" t="s">
        <v>1822</v>
      </c>
      <c r="F907" s="27" t="s">
        <v>3766</v>
      </c>
      <c r="G907" s="27" t="s">
        <v>3634</v>
      </c>
      <c r="H907" s="18" t="str">
        <f t="array" ref="H907">_xlfn.XLOOKUP(E:E,'Calificación consecuencia'!B:B,'Calificación consecuencia'!K:K,"No encontrada",2)</f>
        <v>Media</v>
      </c>
      <c r="I907" s="27" t="s">
        <v>425</v>
      </c>
      <c r="J907" s="30" t="s">
        <v>116</v>
      </c>
      <c r="K907" s="21"/>
      <c r="L907" s="21"/>
      <c r="M907" s="30" t="s">
        <v>116</v>
      </c>
      <c r="N907" s="30" t="s">
        <v>116</v>
      </c>
      <c r="O907" s="21"/>
      <c r="P907" s="21"/>
      <c r="Q907" s="21"/>
      <c r="R907" s="21"/>
      <c r="S907" s="21"/>
      <c r="T907" s="21"/>
      <c r="U907" s="27" t="s">
        <v>195</v>
      </c>
      <c r="V907" s="27" t="s">
        <v>196</v>
      </c>
    </row>
    <row r="908" ht="14.25" customHeight="1">
      <c r="A908" s="27" t="s">
        <v>1740</v>
      </c>
      <c r="B908" s="27" t="s">
        <v>1739</v>
      </c>
      <c r="C908" s="27" t="str">
        <f t="array" ref="C908">INDEX(Funciones!$G$2:$G$372,MATCH($A908,Funciones!$B$2:$B$372,0))</f>
        <v>Remolcar trenes de trabajo hasta _____ t</v>
      </c>
      <c r="D908" s="27" t="s">
        <v>4122</v>
      </c>
      <c r="E908" s="27" t="s">
        <v>2011</v>
      </c>
      <c r="F908" s="27" t="s">
        <v>3767</v>
      </c>
      <c r="G908" s="27" t="s">
        <v>3630</v>
      </c>
      <c r="H908" s="18" t="str">
        <f t="array" ref="H908">_xlfn.XLOOKUP(E:E,'Calificación consecuencia'!B:B,'Calificación consecuencia'!K:K,"No encontrada",2)</f>
        <v>Media</v>
      </c>
      <c r="I908" s="27" t="s">
        <v>1351</v>
      </c>
      <c r="J908" s="30" t="s">
        <v>116</v>
      </c>
      <c r="K908" s="21"/>
      <c r="L908" s="21"/>
      <c r="M908" s="30" t="s">
        <v>116</v>
      </c>
      <c r="N908" s="30" t="s">
        <v>116</v>
      </c>
      <c r="O908" s="21"/>
      <c r="P908" s="21"/>
      <c r="Q908" s="21"/>
      <c r="R908" s="21"/>
      <c r="S908" s="21"/>
      <c r="T908" s="21"/>
      <c r="U908" s="27" t="s">
        <v>195</v>
      </c>
      <c r="V908" s="27" t="s">
        <v>196</v>
      </c>
    </row>
    <row r="909" ht="14.25" customHeight="1">
      <c r="A909" s="9" t="s">
        <v>1748</v>
      </c>
      <c r="B909" s="9" t="s">
        <v>1747</v>
      </c>
      <c r="C909" s="9" t="str">
        <f t="array" ref="C909">INDEX(Funciones!$G$2:$G$372,MATCH($A909,Funciones!$B$2:$B$372,0))</f>
        <v>Comprimir el aire a una presión de _____ bar</v>
      </c>
      <c r="D909" s="9" t="s">
        <v>3403</v>
      </c>
      <c r="E909" s="9" t="s">
        <v>999</v>
      </c>
      <c r="F909" s="9" t="s">
        <v>2657</v>
      </c>
      <c r="G909" s="9" t="s">
        <v>2658</v>
      </c>
      <c r="H909" s="18" t="str">
        <f t="array" ref="H909">_xlfn.XLOOKUP(E:E,'Calificación consecuencia'!B:B,'Calificación consecuencia'!K:K,"No encontrada",2)</f>
        <v>Media</v>
      </c>
      <c r="I909" s="9" t="s">
        <v>1800</v>
      </c>
      <c r="J909" s="20" t="s">
        <v>116</v>
      </c>
      <c r="K909" s="21"/>
      <c r="L909" s="21"/>
      <c r="M909" s="20" t="s">
        <v>116</v>
      </c>
      <c r="N909" s="20" t="s">
        <v>116</v>
      </c>
      <c r="O909" s="21"/>
      <c r="P909" s="21"/>
      <c r="Q909" s="21"/>
      <c r="R909" s="21"/>
      <c r="S909" s="21"/>
      <c r="T909" s="21"/>
      <c r="U909" s="9" t="s">
        <v>195</v>
      </c>
      <c r="V909" s="9" t="s">
        <v>196</v>
      </c>
    </row>
    <row r="910" ht="14.25" customHeight="1">
      <c r="A910" s="9" t="s">
        <v>1748</v>
      </c>
      <c r="B910" s="9" t="s">
        <v>1747</v>
      </c>
      <c r="C910" s="9" t="str">
        <f t="array" ref="C910">INDEX(Funciones!$G$2:$G$372,MATCH($A910,Funciones!$B$2:$B$372,0))</f>
        <v>Comprimir el aire a una presión de _____ bar</v>
      </c>
      <c r="D910" s="9" t="s">
        <v>3403</v>
      </c>
      <c r="E910" s="9" t="s">
        <v>1005</v>
      </c>
      <c r="F910" s="9" t="s">
        <v>2677</v>
      </c>
      <c r="G910" s="9" t="s">
        <v>2679</v>
      </c>
      <c r="H910" s="18" t="str">
        <f t="array" ref="H910">_xlfn.XLOOKUP(E:E,'Calificación consecuencia'!B:B,'Calificación consecuencia'!K:K,"No encontrada",2)</f>
        <v>Baja</v>
      </c>
      <c r="I910" s="9" t="s">
        <v>2694</v>
      </c>
      <c r="J910" s="20" t="s">
        <v>116</v>
      </c>
      <c r="K910" s="21"/>
      <c r="L910" s="21"/>
      <c r="M910" s="20" t="s">
        <v>116</v>
      </c>
      <c r="N910" s="20" t="s">
        <v>116</v>
      </c>
      <c r="O910" s="21"/>
      <c r="P910" s="21"/>
      <c r="Q910" s="21"/>
      <c r="R910" s="21"/>
      <c r="S910" s="21"/>
      <c r="T910" s="21"/>
      <c r="U910" s="9" t="s">
        <v>195</v>
      </c>
      <c r="V910" s="9" t="s">
        <v>196</v>
      </c>
    </row>
    <row r="911" ht="14.25" customHeight="1">
      <c r="A911" s="9" t="s">
        <v>1748</v>
      </c>
      <c r="B911" s="9" t="s">
        <v>1747</v>
      </c>
      <c r="C911" s="9" t="str">
        <f t="array" ref="C911">INDEX(Funciones!$G$2:$G$372,MATCH($A911,Funciones!$B$2:$B$372,0))</f>
        <v>Comprimir el aire a una presión de _____ bar</v>
      </c>
      <c r="D911" s="9" t="s">
        <v>3403</v>
      </c>
      <c r="E911" s="9" t="s">
        <v>1017</v>
      </c>
      <c r="F911" s="9" t="s">
        <v>2709</v>
      </c>
      <c r="G911" s="9" t="s">
        <v>2710</v>
      </c>
      <c r="H911" s="18" t="str">
        <f t="array" ref="H911">_xlfn.XLOOKUP(E:E,'Calificación consecuencia'!B:B,'Calificación consecuencia'!K:K,"No encontrada",2)</f>
        <v>Media</v>
      </c>
      <c r="I911" s="9" t="s">
        <v>1800</v>
      </c>
      <c r="J911" s="20" t="s">
        <v>116</v>
      </c>
      <c r="K911" s="21"/>
      <c r="L911" s="21"/>
      <c r="M911" s="20" t="s">
        <v>116</v>
      </c>
      <c r="N911" s="20" t="s">
        <v>116</v>
      </c>
      <c r="O911" s="21"/>
      <c r="P911" s="21"/>
      <c r="Q911" s="21"/>
      <c r="R911" s="21"/>
      <c r="S911" s="21"/>
      <c r="T911" s="21"/>
      <c r="U911" s="9" t="s">
        <v>195</v>
      </c>
      <c r="V911" s="9" t="s">
        <v>196</v>
      </c>
    </row>
    <row r="912" ht="14.25" customHeight="1">
      <c r="A912" s="9" t="s">
        <v>1748</v>
      </c>
      <c r="B912" s="9" t="s">
        <v>1747</v>
      </c>
      <c r="C912" s="9" t="str">
        <f t="array" ref="C912">INDEX(Funciones!$G$2:$G$372,MATCH($A912,Funciones!$B$2:$B$372,0))</f>
        <v>Comprimir el aire a una presión de _____ bar</v>
      </c>
      <c r="D912" s="9" t="s">
        <v>3404</v>
      </c>
      <c r="E912" s="9" t="s">
        <v>727</v>
      </c>
      <c r="F912" s="9" t="s">
        <v>3405</v>
      </c>
      <c r="G912" s="9" t="s">
        <v>1792</v>
      </c>
      <c r="H912" s="18" t="str">
        <f t="array" ref="H912">_xlfn.XLOOKUP(E:E,'Calificación consecuencia'!B:B,'Calificación consecuencia'!K:K,"No encontrada",2)</f>
        <v>Baja</v>
      </c>
      <c r="I912" s="9" t="s">
        <v>1800</v>
      </c>
      <c r="J912" s="20" t="s">
        <v>116</v>
      </c>
      <c r="K912" s="21"/>
      <c r="L912" s="21"/>
      <c r="M912" s="22" t="s">
        <v>120</v>
      </c>
      <c r="N912" s="21"/>
      <c r="O912" s="20" t="s">
        <v>116</v>
      </c>
      <c r="P912" s="20" t="s">
        <v>116</v>
      </c>
      <c r="Q912" s="21"/>
      <c r="R912" s="21"/>
      <c r="S912" s="21"/>
      <c r="T912" s="21"/>
      <c r="U912" s="9" t="s">
        <v>345</v>
      </c>
      <c r="V912" s="9" t="s">
        <v>196</v>
      </c>
    </row>
    <row r="913" ht="14.25" customHeight="1">
      <c r="A913" s="9" t="s">
        <v>1748</v>
      </c>
      <c r="B913" s="9" t="s">
        <v>1747</v>
      </c>
      <c r="C913" s="9" t="str">
        <f t="array" ref="C913">INDEX(Funciones!$G$2:$G$372,MATCH($A913,Funciones!$B$2:$B$372,0))</f>
        <v>Comprimir el aire a una presión de _____ bar</v>
      </c>
      <c r="D913" s="9" t="s">
        <v>3404</v>
      </c>
      <c r="E913" s="9" t="s">
        <v>1036</v>
      </c>
      <c r="F913" s="9" t="s">
        <v>3406</v>
      </c>
      <c r="G913" s="9" t="s">
        <v>2810</v>
      </c>
      <c r="H913" s="18" t="str">
        <f t="array" ref="H913">_xlfn.XLOOKUP(E:E,'Calificación consecuencia'!B:B,'Calificación consecuencia'!K:K,"No encontrada",2)</f>
        <v>Baja</v>
      </c>
      <c r="I913" s="9" t="s">
        <v>2106</v>
      </c>
      <c r="J913" s="20" t="s">
        <v>116</v>
      </c>
      <c r="K913" s="21"/>
      <c r="L913" s="21"/>
      <c r="M913" s="22" t="s">
        <v>120</v>
      </c>
      <c r="N913" s="21"/>
      <c r="O913" s="20" t="s">
        <v>116</v>
      </c>
      <c r="P913" s="20" t="s">
        <v>116</v>
      </c>
      <c r="Q913" s="21"/>
      <c r="R913" s="21"/>
      <c r="S913" s="21"/>
      <c r="T913" s="21"/>
      <c r="U913" s="9" t="s">
        <v>345</v>
      </c>
      <c r="V913" s="9" t="s">
        <v>196</v>
      </c>
    </row>
    <row r="914" ht="14.25" customHeight="1">
      <c r="A914" s="9" t="s">
        <v>1748</v>
      </c>
      <c r="B914" s="9" t="s">
        <v>1747</v>
      </c>
      <c r="C914" s="9" t="str">
        <f t="array" ref="C914">INDEX(Funciones!$G$2:$G$372,MATCH($A914,Funciones!$B$2:$B$372,0))</f>
        <v>Comprimir el aire a una presión de _____ bar</v>
      </c>
      <c r="D914" s="9" t="s">
        <v>3409</v>
      </c>
      <c r="E914" s="9" t="s">
        <v>1421</v>
      </c>
      <c r="F914" s="9" t="s">
        <v>3410</v>
      </c>
      <c r="G914" s="9" t="s">
        <v>2841</v>
      </c>
      <c r="H914" s="18" t="str">
        <f t="array" ref="H914">_xlfn.XLOOKUP(E:E,'Calificación consecuencia'!B:B,'Calificación consecuencia'!K:K,"No encontrada",2)</f>
        <v>Baja</v>
      </c>
      <c r="I914" s="9" t="s">
        <v>2106</v>
      </c>
      <c r="J914" s="20" t="s">
        <v>116</v>
      </c>
      <c r="K914" s="21"/>
      <c r="L914" s="21"/>
      <c r="M914" s="22" t="s">
        <v>120</v>
      </c>
      <c r="N914" s="21"/>
      <c r="O914" s="22" t="s">
        <v>120</v>
      </c>
      <c r="P914" s="21"/>
      <c r="Q914" s="21"/>
      <c r="R914" s="21"/>
      <c r="S914" s="22" t="s">
        <v>120</v>
      </c>
      <c r="T914" s="21"/>
      <c r="U914" s="9" t="s">
        <v>1680</v>
      </c>
      <c r="V914" s="9" t="s">
        <v>1408</v>
      </c>
    </row>
    <row r="915" ht="14.25" customHeight="1">
      <c r="A915" s="9" t="s">
        <v>1748</v>
      </c>
      <c r="B915" s="9" t="s">
        <v>1747</v>
      </c>
      <c r="C915" s="9" t="str">
        <f t="array" ref="C915">INDEX(Funciones!$G$2:$G$372,MATCH($A915,Funciones!$B$2:$B$372,0))</f>
        <v>Comprimir el aire a una presión de _____ bar</v>
      </c>
      <c r="D915" s="9" t="s">
        <v>3409</v>
      </c>
      <c r="E915" s="9" t="s">
        <v>1426</v>
      </c>
      <c r="F915" s="9" t="s">
        <v>3411</v>
      </c>
      <c r="G915" s="9" t="s">
        <v>1888</v>
      </c>
      <c r="H915" s="18" t="str">
        <f t="array" ref="H915">_xlfn.XLOOKUP(E:E,'Calificación consecuencia'!B:B,'Calificación consecuencia'!K:K,"No encontrada",2)</f>
        <v>Baja</v>
      </c>
      <c r="I915" s="9" t="s">
        <v>2106</v>
      </c>
      <c r="J915" s="20" t="s">
        <v>116</v>
      </c>
      <c r="K915" s="21"/>
      <c r="L915" s="21"/>
      <c r="M915" s="22" t="s">
        <v>120</v>
      </c>
      <c r="N915" s="21"/>
      <c r="O915" s="22" t="s">
        <v>120</v>
      </c>
      <c r="P915" s="21"/>
      <c r="Q915" s="21"/>
      <c r="R915" s="21"/>
      <c r="S915" s="22" t="s">
        <v>120</v>
      </c>
      <c r="T915" s="21"/>
      <c r="U915" s="9" t="s">
        <v>1680</v>
      </c>
      <c r="V915" s="9" t="s">
        <v>1408</v>
      </c>
    </row>
    <row r="916" ht="14.25" customHeight="1">
      <c r="A916" s="27" t="s">
        <v>1754</v>
      </c>
      <c r="B916" s="27" t="s">
        <v>1747</v>
      </c>
      <c r="C916" s="27" t="str">
        <f t="array" ref="C916">INDEX(Funciones!$G$2:$G$372,MATCH($A916,Funciones!$B$2:$B$372,0))</f>
        <v>Suministrar caudal de aire de _____ L/min</v>
      </c>
      <c r="D916" s="27" t="s">
        <v>4123</v>
      </c>
      <c r="E916" s="27" t="s">
        <v>999</v>
      </c>
      <c r="F916" s="27" t="s">
        <v>2657</v>
      </c>
      <c r="G916" s="27" t="s">
        <v>2658</v>
      </c>
      <c r="H916" s="18" t="str">
        <f t="array" ref="H916">_xlfn.XLOOKUP(E:E,'Calificación consecuencia'!B:B,'Calificación consecuencia'!K:K,"No encontrada",2)</f>
        <v>Media</v>
      </c>
      <c r="I916" s="27" t="s">
        <v>1800</v>
      </c>
      <c r="J916" s="30" t="s">
        <v>116</v>
      </c>
      <c r="K916" s="21"/>
      <c r="L916" s="21"/>
      <c r="M916" s="30" t="s">
        <v>116</v>
      </c>
      <c r="N916" s="30" t="s">
        <v>116</v>
      </c>
      <c r="O916" s="21"/>
      <c r="P916" s="21"/>
      <c r="Q916" s="21"/>
      <c r="R916" s="21"/>
      <c r="S916" s="21"/>
      <c r="T916" s="21"/>
      <c r="U916" s="27" t="s">
        <v>195</v>
      </c>
      <c r="V916" s="27" t="s">
        <v>196</v>
      </c>
    </row>
    <row r="917" ht="14.25" customHeight="1">
      <c r="A917" s="27" t="s">
        <v>1754</v>
      </c>
      <c r="B917" s="27" t="s">
        <v>1747</v>
      </c>
      <c r="C917" s="27" t="str">
        <f t="array" ref="C917">INDEX(Funciones!$G$2:$G$372,MATCH($A917,Funciones!$B$2:$B$372,0))</f>
        <v>Suministrar caudal de aire de _____ L/min</v>
      </c>
      <c r="D917" s="27" t="s">
        <v>4123</v>
      </c>
      <c r="E917" s="27" t="s">
        <v>1005</v>
      </c>
      <c r="F917" s="27" t="s">
        <v>2677</v>
      </c>
      <c r="G917" s="27" t="s">
        <v>2679</v>
      </c>
      <c r="H917" s="18" t="str">
        <f t="array" ref="H917">_xlfn.XLOOKUP(E:E,'Calificación consecuencia'!B:B,'Calificación consecuencia'!K:K,"No encontrada",2)</f>
        <v>Baja</v>
      </c>
      <c r="I917" s="27" t="s">
        <v>2694</v>
      </c>
      <c r="J917" s="30" t="s">
        <v>116</v>
      </c>
      <c r="K917" s="21"/>
      <c r="L917" s="21"/>
      <c r="M917" s="30" t="s">
        <v>116</v>
      </c>
      <c r="N917" s="30" t="s">
        <v>116</v>
      </c>
      <c r="O917" s="21"/>
      <c r="P917" s="21"/>
      <c r="Q917" s="21"/>
      <c r="R917" s="21"/>
      <c r="S917" s="21"/>
      <c r="T917" s="21"/>
      <c r="U917" s="27" t="s">
        <v>195</v>
      </c>
      <c r="V917" s="27" t="s">
        <v>196</v>
      </c>
    </row>
    <row r="918" ht="14.25" customHeight="1">
      <c r="A918" s="27" t="s">
        <v>1754</v>
      </c>
      <c r="B918" s="27" t="s">
        <v>1747</v>
      </c>
      <c r="C918" s="27" t="str">
        <f t="array" ref="C918">INDEX(Funciones!$G$2:$G$372,MATCH($A918,Funciones!$B$2:$B$372,0))</f>
        <v>Suministrar caudal de aire de _____ L/min</v>
      </c>
      <c r="D918" s="27" t="s">
        <v>4123</v>
      </c>
      <c r="E918" s="27" t="s">
        <v>1017</v>
      </c>
      <c r="F918" s="27" t="s">
        <v>2709</v>
      </c>
      <c r="G918" s="27" t="s">
        <v>2710</v>
      </c>
      <c r="H918" s="18" t="str">
        <f t="array" ref="H918">_xlfn.XLOOKUP(E:E,'Calificación consecuencia'!B:B,'Calificación consecuencia'!K:K,"No encontrada",2)</f>
        <v>Media</v>
      </c>
      <c r="I918" s="27" t="s">
        <v>1800</v>
      </c>
      <c r="J918" s="30" t="s">
        <v>116</v>
      </c>
      <c r="K918" s="21"/>
      <c r="L918" s="21"/>
      <c r="M918" s="30" t="s">
        <v>116</v>
      </c>
      <c r="N918" s="30" t="s">
        <v>116</v>
      </c>
      <c r="O918" s="21"/>
      <c r="P918" s="21"/>
      <c r="Q918" s="21"/>
      <c r="R918" s="21"/>
      <c r="S918" s="21"/>
      <c r="T918" s="21"/>
      <c r="U918" s="27" t="s">
        <v>195</v>
      </c>
      <c r="V918" s="27" t="s">
        <v>196</v>
      </c>
    </row>
    <row r="919" ht="14.25" customHeight="1">
      <c r="A919" s="27" t="s">
        <v>1754</v>
      </c>
      <c r="B919" s="27" t="s">
        <v>1747</v>
      </c>
      <c r="C919" s="27" t="str">
        <f t="array" ref="C919">INDEX(Funciones!$G$2:$G$372,MATCH($A919,Funciones!$B$2:$B$372,0))</f>
        <v>Suministrar caudal de aire de _____ L/min</v>
      </c>
      <c r="D919" s="27" t="s">
        <v>4124</v>
      </c>
      <c r="E919" s="27" t="s">
        <v>727</v>
      </c>
      <c r="F919" s="27" t="s">
        <v>2744</v>
      </c>
      <c r="G919" s="27" t="s">
        <v>1792</v>
      </c>
      <c r="H919" s="18" t="str">
        <f t="array" ref="H919">_xlfn.XLOOKUP(E:E,'Calificación consecuencia'!B:B,'Calificación consecuencia'!K:K,"No encontrada",2)</f>
        <v>Baja</v>
      </c>
      <c r="I919" s="27" t="s">
        <v>1800</v>
      </c>
      <c r="J919" s="30" t="s">
        <v>116</v>
      </c>
      <c r="K919" s="21"/>
      <c r="L919" s="21"/>
      <c r="M919" s="29" t="s">
        <v>120</v>
      </c>
      <c r="N919" s="21"/>
      <c r="O919" s="30" t="s">
        <v>116</v>
      </c>
      <c r="P919" s="30" t="s">
        <v>116</v>
      </c>
      <c r="Q919" s="21"/>
      <c r="R919" s="21"/>
      <c r="S919" s="21"/>
      <c r="T919" s="21"/>
      <c r="U919" s="27" t="s">
        <v>345</v>
      </c>
      <c r="V919" s="27" t="s">
        <v>196</v>
      </c>
    </row>
    <row r="920" ht="14.25" customHeight="1">
      <c r="A920" s="27" t="s">
        <v>1754</v>
      </c>
      <c r="B920" s="27" t="s">
        <v>1747</v>
      </c>
      <c r="C920" s="27" t="str">
        <f t="array" ref="C920">INDEX(Funciones!$G$2:$G$372,MATCH($A920,Funciones!$B$2:$B$372,0))</f>
        <v>Suministrar caudal de aire de _____ L/min</v>
      </c>
      <c r="D920" s="27" t="s">
        <v>4124</v>
      </c>
      <c r="E920" s="27" t="s">
        <v>1031</v>
      </c>
      <c r="F920" s="27" t="s">
        <v>2776</v>
      </c>
      <c r="G920" s="27" t="s">
        <v>2777</v>
      </c>
      <c r="H920" s="18" t="str">
        <f t="array" ref="H920">_xlfn.XLOOKUP(E:E,'Calificación consecuencia'!B:B,'Calificación consecuencia'!K:K,"No encontrada",2)</f>
        <v>Baja</v>
      </c>
      <c r="I920" s="27" t="s">
        <v>2106</v>
      </c>
      <c r="J920" s="30" t="s">
        <v>116</v>
      </c>
      <c r="K920" s="21"/>
      <c r="L920" s="21"/>
      <c r="M920" s="29" t="s">
        <v>120</v>
      </c>
      <c r="N920" s="21"/>
      <c r="O920" s="29" t="s">
        <v>120</v>
      </c>
      <c r="P920" s="21"/>
      <c r="Q920" s="21"/>
      <c r="R920" s="21"/>
      <c r="S920" s="29" t="s">
        <v>120</v>
      </c>
      <c r="T920" s="21"/>
      <c r="U920" s="27" t="s">
        <v>1680</v>
      </c>
      <c r="V920" s="27" t="s">
        <v>1408</v>
      </c>
    </row>
    <row r="921" ht="14.25" customHeight="1">
      <c r="A921" s="27" t="s">
        <v>1754</v>
      </c>
      <c r="B921" s="27" t="s">
        <v>1747</v>
      </c>
      <c r="C921" s="27" t="str">
        <f t="array" ref="C921">INDEX(Funciones!$G$2:$G$372,MATCH($A921,Funciones!$B$2:$B$372,0))</f>
        <v>Suministrar caudal de aire de _____ L/min</v>
      </c>
      <c r="D921" s="27" t="s">
        <v>4124</v>
      </c>
      <c r="E921" s="27" t="s">
        <v>1036</v>
      </c>
      <c r="F921" s="27" t="s">
        <v>2808</v>
      </c>
      <c r="G921" s="27" t="s">
        <v>2810</v>
      </c>
      <c r="H921" s="18" t="str">
        <f t="array" ref="H921">_xlfn.XLOOKUP(E:E,'Calificación consecuencia'!B:B,'Calificación consecuencia'!K:K,"No encontrada",2)</f>
        <v>Baja</v>
      </c>
      <c r="I921" s="27" t="s">
        <v>2106</v>
      </c>
      <c r="J921" s="30" t="s">
        <v>116</v>
      </c>
      <c r="K921" s="21"/>
      <c r="L921" s="21"/>
      <c r="M921" s="29" t="s">
        <v>120</v>
      </c>
      <c r="N921" s="21"/>
      <c r="O921" s="30" t="s">
        <v>116</v>
      </c>
      <c r="P921" s="30" t="s">
        <v>116</v>
      </c>
      <c r="Q921" s="21"/>
      <c r="R921" s="21"/>
      <c r="S921" s="21"/>
      <c r="T921" s="21"/>
      <c r="U921" s="27" t="s">
        <v>345</v>
      </c>
      <c r="V921" s="27" t="s">
        <v>196</v>
      </c>
    </row>
    <row r="922" ht="14.25" customHeight="1">
      <c r="A922" s="27" t="s">
        <v>1754</v>
      </c>
      <c r="B922" s="27" t="s">
        <v>1747</v>
      </c>
      <c r="C922" s="27" t="str">
        <f t="array" ref="C922">INDEX(Funciones!$G$2:$G$372,MATCH($A922,Funciones!$B$2:$B$372,0))</f>
        <v>Suministrar caudal de aire de _____ L/min</v>
      </c>
      <c r="D922" s="27" t="s">
        <v>4124</v>
      </c>
      <c r="E922" s="27" t="s">
        <v>1041</v>
      </c>
      <c r="F922" s="27" t="s">
        <v>2838</v>
      </c>
      <c r="G922" s="27" t="s">
        <v>2841</v>
      </c>
      <c r="H922" s="18" t="str">
        <f t="array" ref="H922">_xlfn.XLOOKUP(E:E,'Calificación consecuencia'!B:B,'Calificación consecuencia'!K:K,"No encontrada",2)</f>
        <v>Baja</v>
      </c>
      <c r="I922" s="27" t="s">
        <v>2106</v>
      </c>
      <c r="J922" s="30" t="s">
        <v>116</v>
      </c>
      <c r="K922" s="21"/>
      <c r="L922" s="21"/>
      <c r="M922" s="29" t="s">
        <v>120</v>
      </c>
      <c r="N922" s="21"/>
      <c r="O922" s="29" t="s">
        <v>120</v>
      </c>
      <c r="P922" s="21"/>
      <c r="Q922" s="21"/>
      <c r="R922" s="21"/>
      <c r="S922" s="29" t="s">
        <v>120</v>
      </c>
      <c r="T922" s="21"/>
      <c r="U922" s="27" t="s">
        <v>1680</v>
      </c>
      <c r="V922" s="27" t="s">
        <v>1408</v>
      </c>
    </row>
    <row r="923" ht="14.25" customHeight="1">
      <c r="A923" s="27" t="s">
        <v>1754</v>
      </c>
      <c r="B923" s="27" t="s">
        <v>1747</v>
      </c>
      <c r="C923" s="27" t="str">
        <f t="array" ref="C923">INDEX(Funciones!$G$2:$G$372,MATCH($A923,Funciones!$B$2:$B$372,0))</f>
        <v>Suministrar caudal de aire de _____ L/min</v>
      </c>
      <c r="D923" s="27" t="s">
        <v>4124</v>
      </c>
      <c r="E923" s="27" t="s">
        <v>1047</v>
      </c>
      <c r="F923" s="27" t="s">
        <v>2875</v>
      </c>
      <c r="G923" s="27" t="s">
        <v>1888</v>
      </c>
      <c r="H923" s="18" t="str">
        <f t="array" ref="H923">_xlfn.XLOOKUP(E:E,'Calificación consecuencia'!B:B,'Calificación consecuencia'!K:K,"No encontrada",2)</f>
        <v>Baja</v>
      </c>
      <c r="I923" s="27" t="s">
        <v>2106</v>
      </c>
      <c r="J923" s="30" t="s">
        <v>116</v>
      </c>
      <c r="K923" s="21"/>
      <c r="L923" s="21"/>
      <c r="M923" s="29" t="s">
        <v>120</v>
      </c>
      <c r="N923" s="21"/>
      <c r="O923" s="29" t="s">
        <v>120</v>
      </c>
      <c r="P923" s="21"/>
      <c r="Q923" s="21"/>
      <c r="R923" s="21"/>
      <c r="S923" s="29" t="s">
        <v>120</v>
      </c>
      <c r="T923" s="21"/>
      <c r="U923" s="27" t="s">
        <v>1680</v>
      </c>
      <c r="V923" s="27" t="s">
        <v>1408</v>
      </c>
    </row>
    <row r="924" ht="14.25" customHeight="1">
      <c r="A924" s="9" t="s">
        <v>1758</v>
      </c>
      <c r="B924" s="9" t="s">
        <v>1757</v>
      </c>
      <c r="C924" s="9" t="str">
        <f t="array" ref="C924">INDEX(Funciones!$G$2:$G$372,MATCH($A924,Funciones!$B$2:$B$372,0))</f>
        <v>Secar el aire comprimido con punto de rocío máximo de +3 °C</v>
      </c>
      <c r="D924" s="9" t="s">
        <v>2016</v>
      </c>
      <c r="E924" s="9" t="s">
        <v>820</v>
      </c>
      <c r="F924" s="9" t="s">
        <v>2017</v>
      </c>
      <c r="G924" s="9" t="s">
        <v>2019</v>
      </c>
      <c r="H924" s="18" t="str">
        <f t="array" ref="H924">_xlfn.XLOOKUP(E:E,'Calificación consecuencia'!B:B,'Calificación consecuencia'!K:K,"No encontrada",2)</f>
        <v>Media</v>
      </c>
      <c r="I924" s="9" t="s">
        <v>425</v>
      </c>
      <c r="J924" s="22" t="s">
        <v>120</v>
      </c>
      <c r="K924" s="20" t="s">
        <v>116</v>
      </c>
      <c r="L924" s="21"/>
      <c r="M924" s="21"/>
      <c r="N924" s="21"/>
      <c r="O924" s="21"/>
      <c r="P924" s="21"/>
      <c r="Q924" s="21"/>
      <c r="R924" s="21"/>
      <c r="S924" s="21"/>
      <c r="T924" s="21"/>
      <c r="U924" s="9" t="s">
        <v>439</v>
      </c>
      <c r="V924" s="9" t="s">
        <v>440</v>
      </c>
    </row>
    <row r="925" ht="14.25" customHeight="1">
      <c r="A925" s="9" t="s">
        <v>1758</v>
      </c>
      <c r="B925" s="9" t="s">
        <v>1757</v>
      </c>
      <c r="C925" s="9" t="str">
        <f t="array" ref="C925">INDEX(Funciones!$G$2:$G$372,MATCH($A925,Funciones!$B$2:$B$372,0))</f>
        <v>Secar el aire comprimido con punto de rocío máximo de +3 °C</v>
      </c>
      <c r="D925" s="9" t="s">
        <v>2016</v>
      </c>
      <c r="E925" s="9" t="s">
        <v>825</v>
      </c>
      <c r="F925" s="9" t="s">
        <v>2044</v>
      </c>
      <c r="G925" s="9" t="s">
        <v>2045</v>
      </c>
      <c r="H925" s="18" t="str">
        <f t="array" ref="H925">_xlfn.XLOOKUP(E:E,'Calificación consecuencia'!B:B,'Calificación consecuencia'!K:K,"No encontrada",2)</f>
        <v>Media</v>
      </c>
      <c r="I925" s="9" t="s">
        <v>425</v>
      </c>
      <c r="J925" s="22" t="s">
        <v>120</v>
      </c>
      <c r="K925" s="20" t="s">
        <v>116</v>
      </c>
      <c r="L925" s="21"/>
      <c r="M925" s="21"/>
      <c r="N925" s="21"/>
      <c r="O925" s="21"/>
      <c r="P925" s="21"/>
      <c r="Q925" s="21"/>
      <c r="R925" s="21"/>
      <c r="S925" s="21"/>
      <c r="T925" s="21"/>
      <c r="U925" s="9" t="s">
        <v>439</v>
      </c>
      <c r="V925" s="9" t="s">
        <v>440</v>
      </c>
    </row>
    <row r="926" ht="14.25" customHeight="1">
      <c r="A926" s="9" t="s">
        <v>1758</v>
      </c>
      <c r="B926" s="9" t="s">
        <v>1757</v>
      </c>
      <c r="C926" s="9" t="str">
        <f t="array" ref="C926">INDEX(Funciones!$G$2:$G$372,MATCH($A926,Funciones!$B$2:$B$372,0))</f>
        <v>Secar el aire comprimido con punto de rocío máximo de +3 °C</v>
      </c>
      <c r="D926" s="9" t="s">
        <v>2016</v>
      </c>
      <c r="E926" s="9" t="s">
        <v>827</v>
      </c>
      <c r="F926" s="9" t="s">
        <v>2056</v>
      </c>
      <c r="G926" s="9" t="s">
        <v>2057</v>
      </c>
      <c r="H926" s="18" t="str">
        <f t="array" ref="H926">_xlfn.XLOOKUP(E:E,'Calificación consecuencia'!B:B,'Calificación consecuencia'!K:K,"No encontrada",2)</f>
        <v>Media</v>
      </c>
      <c r="I926" s="9" t="s">
        <v>425</v>
      </c>
      <c r="J926" s="22" t="s">
        <v>120</v>
      </c>
      <c r="K926" s="20" t="s">
        <v>116</v>
      </c>
      <c r="L926" s="21"/>
      <c r="M926" s="21"/>
      <c r="N926" s="21"/>
      <c r="O926" s="21"/>
      <c r="P926" s="21"/>
      <c r="Q926" s="21"/>
      <c r="R926" s="21"/>
      <c r="S926" s="21"/>
      <c r="T926" s="21"/>
      <c r="U926" s="9" t="s">
        <v>439</v>
      </c>
      <c r="V926" s="9" t="s">
        <v>440</v>
      </c>
    </row>
    <row r="927" ht="14.25" customHeight="1">
      <c r="A927" s="9" t="s">
        <v>1758</v>
      </c>
      <c r="B927" s="9" t="s">
        <v>1757</v>
      </c>
      <c r="C927" s="9" t="str">
        <f t="array" ref="C927">INDEX(Funciones!$G$2:$G$372,MATCH($A927,Funciones!$B$2:$B$372,0))</f>
        <v>Secar el aire comprimido con punto de rocío máximo de +3 °C</v>
      </c>
      <c r="D927" s="9" t="s">
        <v>2090</v>
      </c>
      <c r="E927" s="9" t="s">
        <v>836</v>
      </c>
      <c r="F927" s="9" t="s">
        <v>2091</v>
      </c>
      <c r="G927" s="9" t="s">
        <v>2093</v>
      </c>
      <c r="H927" s="18" t="str">
        <f t="array" ref="H927">_xlfn.XLOOKUP(E:E,'Calificación consecuencia'!B:B,'Calificación consecuencia'!K:K,"No encontrada",2)</f>
        <v>Baja</v>
      </c>
      <c r="I927" s="9" t="s">
        <v>2106</v>
      </c>
      <c r="J927" s="22" t="s">
        <v>120</v>
      </c>
      <c r="K927" s="20" t="s">
        <v>116</v>
      </c>
      <c r="L927" s="21"/>
      <c r="M927" s="21"/>
      <c r="N927" s="21"/>
      <c r="O927" s="21"/>
      <c r="P927" s="21"/>
      <c r="Q927" s="21"/>
      <c r="R927" s="21"/>
      <c r="S927" s="21"/>
      <c r="T927" s="21"/>
      <c r="U927" s="9" t="s">
        <v>439</v>
      </c>
      <c r="V927" s="9" t="s">
        <v>440</v>
      </c>
    </row>
    <row r="928" ht="14.25" customHeight="1">
      <c r="A928" s="9" t="s">
        <v>1758</v>
      </c>
      <c r="B928" s="9" t="s">
        <v>1757</v>
      </c>
      <c r="C928" s="9" t="str">
        <f t="array" ref="C928">INDEX(Funciones!$G$2:$G$372,MATCH($A928,Funciones!$B$2:$B$372,0))</f>
        <v>Secar el aire comprimido con punto de rocío máximo de +3 °C</v>
      </c>
      <c r="D928" s="9" t="s">
        <v>2090</v>
      </c>
      <c r="E928" s="9" t="s">
        <v>842</v>
      </c>
      <c r="F928" s="9" t="s">
        <v>2126</v>
      </c>
      <c r="G928" s="9" t="s">
        <v>2127</v>
      </c>
      <c r="H928" s="18" t="str">
        <f t="array" ref="H928">_xlfn.XLOOKUP(E:E,'Calificación consecuencia'!B:B,'Calificación consecuencia'!K:K,"No encontrada",2)</f>
        <v>Baja</v>
      </c>
      <c r="I928" s="9" t="s">
        <v>2106</v>
      </c>
      <c r="J928" s="22" t="s">
        <v>120</v>
      </c>
      <c r="K928" s="20" t="s">
        <v>116</v>
      </c>
      <c r="L928" s="21"/>
      <c r="M928" s="21"/>
      <c r="N928" s="21"/>
      <c r="O928" s="21"/>
      <c r="P928" s="21"/>
      <c r="Q928" s="21"/>
      <c r="R928" s="21"/>
      <c r="S928" s="21"/>
      <c r="T928" s="21"/>
      <c r="U928" s="9" t="s">
        <v>439</v>
      </c>
      <c r="V928" s="9" t="s">
        <v>440</v>
      </c>
    </row>
    <row r="929" ht="14.25" customHeight="1">
      <c r="A929" s="9" t="s">
        <v>1758</v>
      </c>
      <c r="B929" s="9" t="s">
        <v>1757</v>
      </c>
      <c r="C929" s="9" t="str">
        <f t="array" ref="C929">INDEX(Funciones!$G$2:$G$372,MATCH($A929,Funciones!$B$2:$B$372,0))</f>
        <v>Secar el aire comprimido con punto de rocío máximo de +3 °C</v>
      </c>
      <c r="D929" s="9" t="s">
        <v>2090</v>
      </c>
      <c r="E929" s="9" t="s">
        <v>848</v>
      </c>
      <c r="F929" s="9" t="s">
        <v>2145</v>
      </c>
      <c r="G929" s="9" t="s">
        <v>2146</v>
      </c>
      <c r="H929" s="18" t="str">
        <f t="array" ref="H929">_xlfn.XLOOKUP(E:E,'Calificación consecuencia'!B:B,'Calificación consecuencia'!K:K,"No encontrada",2)</f>
        <v>Baja</v>
      </c>
      <c r="I929" s="9" t="s">
        <v>2106</v>
      </c>
      <c r="J929" s="22" t="s">
        <v>120</v>
      </c>
      <c r="K929" s="20" t="s">
        <v>116</v>
      </c>
      <c r="L929" s="21"/>
      <c r="M929" s="21"/>
      <c r="N929" s="21"/>
      <c r="O929" s="21"/>
      <c r="P929" s="21"/>
      <c r="Q929" s="21"/>
      <c r="R929" s="21"/>
      <c r="S929" s="21"/>
      <c r="T929" s="21"/>
      <c r="U929" s="9" t="s">
        <v>439</v>
      </c>
      <c r="V929" s="9" t="s">
        <v>440</v>
      </c>
    </row>
    <row r="930" ht="14.25" customHeight="1">
      <c r="A930" s="27" t="s">
        <v>1768</v>
      </c>
      <c r="B930" s="27" t="s">
        <v>1767</v>
      </c>
      <c r="C930" s="27" t="str">
        <f t="array" ref="C930">INDEX(Funciones!$G$2:$G$372,MATCH($A930,Funciones!$B$2:$B$372,0))</f>
        <v>Conducir el aceite hidráulico a presión máxima de _____ bar</v>
      </c>
      <c r="D930" s="27" t="s">
        <v>4125</v>
      </c>
      <c r="E930" s="27" t="s">
        <v>930</v>
      </c>
      <c r="F930" s="27" t="s">
        <v>4126</v>
      </c>
      <c r="G930" s="27" t="s">
        <v>2419</v>
      </c>
      <c r="H930" s="18" t="str">
        <f t="array" ref="H930">_xlfn.XLOOKUP(E:E,'Calificación consecuencia'!B:B,'Calificación consecuencia'!K:K,"No encontrada",2)</f>
        <v>Baja</v>
      </c>
      <c r="I930" s="27" t="s">
        <v>425</v>
      </c>
      <c r="J930" s="30" t="s">
        <v>116</v>
      </c>
      <c r="K930" s="21"/>
      <c r="L930" s="21"/>
      <c r="M930" s="30" t="s">
        <v>116</v>
      </c>
      <c r="N930" s="30" t="s">
        <v>116</v>
      </c>
      <c r="O930" s="21"/>
      <c r="P930" s="21"/>
      <c r="Q930" s="21"/>
      <c r="R930" s="21"/>
      <c r="S930" s="21"/>
      <c r="T930" s="21"/>
      <c r="U930" s="27" t="s">
        <v>195</v>
      </c>
      <c r="V930" s="27" t="s">
        <v>196</v>
      </c>
    </row>
    <row r="931" ht="14.25" customHeight="1">
      <c r="A931" s="27" t="s">
        <v>1768</v>
      </c>
      <c r="B931" s="27" t="s">
        <v>1767</v>
      </c>
      <c r="C931" s="27" t="str">
        <f t="array" ref="C931">INDEX(Funciones!$G$2:$G$372,MATCH($A931,Funciones!$B$2:$B$372,0))</f>
        <v>Conducir el aceite hidráulico a presión máxima de _____ bar</v>
      </c>
      <c r="D931" s="27" t="s">
        <v>4125</v>
      </c>
      <c r="E931" s="27" t="s">
        <v>3294</v>
      </c>
      <c r="F931" s="27" t="s">
        <v>4127</v>
      </c>
      <c r="G931" s="27" t="s">
        <v>4128</v>
      </c>
      <c r="H931" s="18" t="str">
        <f t="array" ref="H931">_xlfn.XLOOKUP(E:E,'Calificación consecuencia'!B:B,'Calificación consecuencia'!K:K,"No encontrada",2)</f>
        <v>Media</v>
      </c>
      <c r="I931" s="27" t="s">
        <v>1351</v>
      </c>
      <c r="J931" s="30" t="s">
        <v>116</v>
      </c>
      <c r="K931" s="21"/>
      <c r="L931" s="21"/>
      <c r="M931" s="30" t="s">
        <v>116</v>
      </c>
      <c r="N931" s="30" t="s">
        <v>116</v>
      </c>
      <c r="O931" s="21"/>
      <c r="P931" s="21"/>
      <c r="Q931" s="21"/>
      <c r="R931" s="21"/>
      <c r="S931" s="21"/>
      <c r="T931" s="21"/>
      <c r="U931" s="27" t="s">
        <v>195</v>
      </c>
      <c r="V931" s="27" t="s">
        <v>196</v>
      </c>
    </row>
    <row r="932" ht="14.25" customHeight="1">
      <c r="A932" s="27" t="s">
        <v>1768</v>
      </c>
      <c r="B932" s="27" t="s">
        <v>1767</v>
      </c>
      <c r="C932" s="27" t="str">
        <f t="array" ref="C932">INDEX(Funciones!$G$2:$G$372,MATCH($A932,Funciones!$B$2:$B$372,0))</f>
        <v>Conducir el aceite hidráulico a presión máxima de _____ bar</v>
      </c>
      <c r="D932" s="27" t="s">
        <v>4129</v>
      </c>
      <c r="E932" s="27" t="s">
        <v>3295</v>
      </c>
      <c r="F932" s="27" t="s">
        <v>4130</v>
      </c>
      <c r="G932" s="27" t="s">
        <v>4131</v>
      </c>
      <c r="H932" s="18" t="str">
        <f t="array" ref="H932">_xlfn.XLOOKUP(E:E,'Calificación consecuencia'!B:B,'Calificación consecuencia'!K:K,"No encontrada",2)</f>
        <v>Baja</v>
      </c>
      <c r="I932" s="27" t="s">
        <v>2106</v>
      </c>
      <c r="J932" s="30" t="s">
        <v>116</v>
      </c>
      <c r="K932" s="21"/>
      <c r="L932" s="21"/>
      <c r="M932" s="29" t="s">
        <v>120</v>
      </c>
      <c r="N932" s="21"/>
      <c r="O932" s="29" t="s">
        <v>120</v>
      </c>
      <c r="P932" s="21"/>
      <c r="Q932" s="21"/>
      <c r="R932" s="21"/>
      <c r="S932" s="29" t="s">
        <v>120</v>
      </c>
      <c r="T932" s="21"/>
      <c r="U932" s="27" t="s">
        <v>1680</v>
      </c>
      <c r="V932" s="27" t="s">
        <v>1408</v>
      </c>
    </row>
    <row r="933" ht="14.25" customHeight="1">
      <c r="A933" s="27" t="s">
        <v>1768</v>
      </c>
      <c r="B933" s="27" t="s">
        <v>1767</v>
      </c>
      <c r="C933" s="27" t="str">
        <f t="array" ref="C933">INDEX(Funciones!$G$2:$G$372,MATCH($A933,Funciones!$B$2:$B$372,0))</f>
        <v>Conducir el aceite hidráulico a presión máxima de _____ bar</v>
      </c>
      <c r="D933" s="27" t="s">
        <v>4129</v>
      </c>
      <c r="E933" s="27" t="s">
        <v>3296</v>
      </c>
      <c r="F933" s="27" t="s">
        <v>4132</v>
      </c>
      <c r="G933" s="27" t="s">
        <v>4133</v>
      </c>
      <c r="H933" s="18" t="str">
        <f t="array" ref="H933">_xlfn.XLOOKUP(E:E,'Calificación consecuencia'!B:B,'Calificación consecuencia'!K:K,"No encontrada",2)</f>
        <v>Baja</v>
      </c>
      <c r="I933" s="27" t="s">
        <v>2106</v>
      </c>
      <c r="J933" s="30" t="s">
        <v>116</v>
      </c>
      <c r="K933" s="21"/>
      <c r="L933" s="21"/>
      <c r="M933" s="29" t="s">
        <v>120</v>
      </c>
      <c r="N933" s="21"/>
      <c r="O933" s="29" t="s">
        <v>120</v>
      </c>
      <c r="P933" s="21"/>
      <c r="Q933" s="21"/>
      <c r="R933" s="21"/>
      <c r="S933" s="29" t="s">
        <v>120</v>
      </c>
      <c r="T933" s="21"/>
      <c r="U933" s="27" t="s">
        <v>1680</v>
      </c>
      <c r="V933" s="27" t="s">
        <v>1408</v>
      </c>
    </row>
    <row r="934" ht="14.25" customHeight="1">
      <c r="A934" s="27" t="s">
        <v>1768</v>
      </c>
      <c r="B934" s="27" t="s">
        <v>1767</v>
      </c>
      <c r="C934" s="27" t="str">
        <f t="array" ref="C934">INDEX(Funciones!$G$2:$G$372,MATCH($A934,Funciones!$B$2:$B$372,0))</f>
        <v>Conducir el aceite hidráulico a presión máxima de _____ bar</v>
      </c>
      <c r="D934" s="27" t="s">
        <v>4134</v>
      </c>
      <c r="E934" s="27" t="s">
        <v>3299</v>
      </c>
      <c r="F934" s="27" t="s">
        <v>4135</v>
      </c>
      <c r="G934" s="27" t="s">
        <v>4136</v>
      </c>
      <c r="H934" s="18" t="str">
        <f t="array" ref="H934">_xlfn.XLOOKUP(E:E,'Calificación consecuencia'!B:B,'Calificación consecuencia'!K:K,"No encontrada",2)</f>
        <v>Baja</v>
      </c>
      <c r="I934" s="27" t="s">
        <v>2106</v>
      </c>
      <c r="J934" s="30" t="s">
        <v>116</v>
      </c>
      <c r="K934" s="21"/>
      <c r="L934" s="21"/>
      <c r="M934" s="29" t="s">
        <v>120</v>
      </c>
      <c r="N934" s="21"/>
      <c r="O934" s="29" t="s">
        <v>120</v>
      </c>
      <c r="P934" s="21"/>
      <c r="Q934" s="21"/>
      <c r="R934" s="21"/>
      <c r="S934" s="29" t="s">
        <v>120</v>
      </c>
      <c r="T934" s="21"/>
      <c r="U934" s="27" t="s">
        <v>1680</v>
      </c>
      <c r="V934" s="27" t="s">
        <v>1408</v>
      </c>
    </row>
    <row r="935" ht="14.25" customHeight="1">
      <c r="A935" s="27" t="s">
        <v>1768</v>
      </c>
      <c r="B935" s="27" t="s">
        <v>1767</v>
      </c>
      <c r="C935" s="27" t="str">
        <f t="array" ref="C935">INDEX(Funciones!$G$2:$G$372,MATCH($A935,Funciones!$B$2:$B$372,0))</f>
        <v>Conducir el aceite hidráulico a presión máxima de _____ bar</v>
      </c>
      <c r="D935" s="27" t="s">
        <v>4134</v>
      </c>
      <c r="E935" s="27" t="s">
        <v>3300</v>
      </c>
      <c r="F935" s="27" t="s">
        <v>4137</v>
      </c>
      <c r="G935" s="27" t="s">
        <v>4138</v>
      </c>
      <c r="H935" s="18" t="str">
        <f t="array" ref="H935">_xlfn.XLOOKUP(E:E,'Calificación consecuencia'!B:B,'Calificación consecuencia'!K:K,"No encontrada",2)</f>
        <v>Baja</v>
      </c>
      <c r="I935" s="27" t="s">
        <v>2106</v>
      </c>
      <c r="J935" s="30" t="s">
        <v>116</v>
      </c>
      <c r="K935" s="21"/>
      <c r="L935" s="21"/>
      <c r="M935" s="29" t="s">
        <v>120</v>
      </c>
      <c r="N935" s="21"/>
      <c r="O935" s="29" t="s">
        <v>120</v>
      </c>
      <c r="P935" s="21"/>
      <c r="Q935" s="21"/>
      <c r="R935" s="21"/>
      <c r="S935" s="29" t="s">
        <v>120</v>
      </c>
      <c r="T935" s="21"/>
      <c r="U935" s="27" t="s">
        <v>1680</v>
      </c>
      <c r="V935" s="27" t="s">
        <v>1408</v>
      </c>
    </row>
    <row r="936" ht="14.25" customHeight="1">
      <c r="A936" s="9" t="s">
        <v>1774</v>
      </c>
      <c r="B936" s="9" t="s">
        <v>1773</v>
      </c>
      <c r="C936" s="9" t="str">
        <f t="array" ref="C936">INDEX(Funciones!$G$2:$G$372,MATCH($A936,Funciones!$B$2:$B$372,0))</f>
        <v>Entregar esfuerzo de tracción de _____ kN</v>
      </c>
      <c r="D936" s="9" t="s">
        <v>4139</v>
      </c>
      <c r="E936" s="9" t="s">
        <v>3303</v>
      </c>
      <c r="F936" s="9" t="s">
        <v>4140</v>
      </c>
      <c r="G936" s="9" t="s">
        <v>1444</v>
      </c>
      <c r="H936" s="18" t="str">
        <f t="array" ref="H936">_xlfn.XLOOKUP(E:E,'Calificación consecuencia'!B:B,'Calificación consecuencia'!K:K,"No encontrada",2)</f>
        <v>Baja</v>
      </c>
      <c r="I936" s="9" t="s">
        <v>1449</v>
      </c>
      <c r="J936" s="20" t="s">
        <v>116</v>
      </c>
      <c r="K936" s="21"/>
      <c r="L936" s="21"/>
      <c r="M936" s="22" t="s">
        <v>120</v>
      </c>
      <c r="N936" s="21"/>
      <c r="O936" s="20" t="s">
        <v>116</v>
      </c>
      <c r="P936" s="20" t="s">
        <v>116</v>
      </c>
      <c r="Q936" s="21"/>
      <c r="R936" s="21"/>
      <c r="S936" s="21"/>
      <c r="T936" s="21"/>
      <c r="U936" s="9" t="s">
        <v>345</v>
      </c>
      <c r="V936" s="9" t="s">
        <v>196</v>
      </c>
    </row>
    <row r="937" ht="14.25" customHeight="1">
      <c r="A937" s="9" t="s">
        <v>1774</v>
      </c>
      <c r="B937" s="9" t="s">
        <v>1773</v>
      </c>
      <c r="C937" s="9" t="str">
        <f t="array" ref="C937">INDEX(Funciones!$G$2:$G$372,MATCH($A937,Funciones!$B$2:$B$372,0))</f>
        <v>Entregar esfuerzo de tracción de _____ kN</v>
      </c>
      <c r="D937" s="9" t="s">
        <v>4141</v>
      </c>
      <c r="E937" s="9" t="s">
        <v>2011</v>
      </c>
      <c r="F937" s="9" t="s">
        <v>4142</v>
      </c>
      <c r="G937" s="9" t="s">
        <v>3630</v>
      </c>
      <c r="H937" s="18" t="str">
        <f t="array" ref="H937">_xlfn.XLOOKUP(E:E,'Calificación consecuencia'!B:B,'Calificación consecuencia'!K:K,"No encontrada",2)</f>
        <v>Media</v>
      </c>
      <c r="I937" s="9" t="s">
        <v>1800</v>
      </c>
      <c r="J937" s="20" t="s">
        <v>116</v>
      </c>
      <c r="K937" s="21"/>
      <c r="L937" s="21"/>
      <c r="M937" s="22" t="s">
        <v>120</v>
      </c>
      <c r="N937" s="21"/>
      <c r="O937" s="20" t="s">
        <v>116</v>
      </c>
      <c r="P937" s="20" t="s">
        <v>116</v>
      </c>
      <c r="Q937" s="21"/>
      <c r="R937" s="21"/>
      <c r="S937" s="21"/>
      <c r="T937" s="21"/>
      <c r="U937" s="9" t="s">
        <v>345</v>
      </c>
      <c r="V937" s="9" t="s">
        <v>196</v>
      </c>
    </row>
    <row r="938" ht="14.25" customHeight="1">
      <c r="A938" s="9" t="s">
        <v>1774</v>
      </c>
      <c r="B938" s="9" t="s">
        <v>1773</v>
      </c>
      <c r="C938" s="9" t="str">
        <f t="array" ref="C938">INDEX(Funciones!$G$2:$G$372,MATCH($A938,Funciones!$B$2:$B$372,0))</f>
        <v>Entregar esfuerzo de tracción de _____ kN</v>
      </c>
      <c r="D938" s="9" t="s">
        <v>4141</v>
      </c>
      <c r="E938" s="9" t="s">
        <v>1984</v>
      </c>
      <c r="F938" s="9" t="s">
        <v>4143</v>
      </c>
      <c r="G938" s="9" t="s">
        <v>3731</v>
      </c>
      <c r="H938" s="18" t="str">
        <f t="array" ref="H938">_xlfn.XLOOKUP(E:E,'Calificación consecuencia'!B:B,'Calificación consecuencia'!K:K,"No encontrada",2)</f>
        <v>Baja</v>
      </c>
      <c r="I938" s="9" t="s">
        <v>1800</v>
      </c>
      <c r="J938" s="20" t="s">
        <v>116</v>
      </c>
      <c r="K938" s="21"/>
      <c r="L938" s="21"/>
      <c r="M938" s="22" t="s">
        <v>120</v>
      </c>
      <c r="N938" s="21"/>
      <c r="O938" s="22" t="s">
        <v>120</v>
      </c>
      <c r="P938" s="21"/>
      <c r="Q938" s="21"/>
      <c r="R938" s="21"/>
      <c r="S938" s="20" t="s">
        <v>116</v>
      </c>
      <c r="T938" s="20" t="s">
        <v>116</v>
      </c>
      <c r="U938" s="9" t="s">
        <v>3471</v>
      </c>
      <c r="V938" s="9" t="s">
        <v>196</v>
      </c>
    </row>
    <row r="939" ht="14.25" customHeight="1">
      <c r="A939" s="27" t="s">
        <v>1781</v>
      </c>
      <c r="B939" s="27" t="s">
        <v>1780</v>
      </c>
      <c r="C939" s="27" t="str">
        <f t="array" ref="C939">INDEX(Funciones!$G$2:$G$372,MATCH($A939,Funciones!$B$2:$B$372,0))</f>
        <v>Soportar la carga vertical hasta _____ t</v>
      </c>
      <c r="D939" s="27" t="s">
        <v>4144</v>
      </c>
      <c r="E939" s="27" t="s">
        <v>1108</v>
      </c>
      <c r="F939" s="27" t="s">
        <v>3163</v>
      </c>
      <c r="G939" s="27" t="s">
        <v>3164</v>
      </c>
      <c r="H939" s="18" t="str">
        <f t="array" ref="H939">_xlfn.XLOOKUP(E:E,'Calificación consecuencia'!B:B,'Calificación consecuencia'!K:K,"No encontrada",2)</f>
        <v>Baja</v>
      </c>
      <c r="I939" s="27" t="s">
        <v>425</v>
      </c>
      <c r="J939" s="29" t="s">
        <v>120</v>
      </c>
      <c r="K939" s="30" t="s">
        <v>116</v>
      </c>
      <c r="L939" s="21"/>
      <c r="M939" s="21"/>
      <c r="N939" s="21"/>
      <c r="O939" s="21"/>
      <c r="P939" s="21"/>
      <c r="Q939" s="21"/>
      <c r="R939" s="21"/>
      <c r="S939" s="21"/>
      <c r="T939" s="21"/>
      <c r="U939" s="27" t="s">
        <v>439</v>
      </c>
      <c r="V939" s="27" t="s">
        <v>440</v>
      </c>
    </row>
    <row r="940" ht="14.25" customHeight="1">
      <c r="A940" s="27" t="s">
        <v>1781</v>
      </c>
      <c r="B940" s="27" t="s">
        <v>1780</v>
      </c>
      <c r="C940" s="27" t="str">
        <f t="array" ref="C940">INDEX(Funciones!$G$2:$G$372,MATCH($A940,Funciones!$B$2:$B$372,0))</f>
        <v>Soportar la carga vertical hasta _____ t</v>
      </c>
      <c r="D940" s="27" t="s">
        <v>4144</v>
      </c>
      <c r="E940" s="27" t="s">
        <v>1113</v>
      </c>
      <c r="F940" s="27" t="s">
        <v>3168</v>
      </c>
      <c r="G940" s="27" t="s">
        <v>3169</v>
      </c>
      <c r="H940" s="18" t="str">
        <f t="array" ref="H940">_xlfn.XLOOKUP(E:E,'Calificación consecuencia'!B:B,'Calificación consecuencia'!K:K,"No encontrada",2)</f>
        <v>Baja</v>
      </c>
      <c r="I940" s="27" t="s">
        <v>2694</v>
      </c>
      <c r="J940" s="29" t="s">
        <v>120</v>
      </c>
      <c r="K940" s="30" t="s">
        <v>116</v>
      </c>
      <c r="L940" s="21"/>
      <c r="M940" s="21"/>
      <c r="N940" s="21"/>
      <c r="O940" s="21"/>
      <c r="P940" s="21"/>
      <c r="Q940" s="21"/>
      <c r="R940" s="21"/>
      <c r="S940" s="21"/>
      <c r="T940" s="21"/>
      <c r="U940" s="27" t="s">
        <v>439</v>
      </c>
      <c r="V940" s="27" t="s">
        <v>440</v>
      </c>
    </row>
    <row r="941" ht="14.25" customHeight="1">
      <c r="A941" s="27" t="s">
        <v>1781</v>
      </c>
      <c r="B941" s="27" t="s">
        <v>1780</v>
      </c>
      <c r="C941" s="27" t="str">
        <f t="array" ref="C941">INDEX(Funciones!$G$2:$G$372,MATCH($A941,Funciones!$B$2:$B$372,0))</f>
        <v>Soportar la carga vertical hasta _____ t</v>
      </c>
      <c r="D941" s="27" t="s">
        <v>4145</v>
      </c>
      <c r="E941" s="27" t="s">
        <v>1119</v>
      </c>
      <c r="F941" s="27" t="s">
        <v>3184</v>
      </c>
      <c r="G941" s="27" t="s">
        <v>3186</v>
      </c>
      <c r="H941" s="18" t="str">
        <f t="array" ref="H941">_xlfn.XLOOKUP(E:E,'Calificación consecuencia'!B:B,'Calificación consecuencia'!K:K,"No encontrada",2)</f>
        <v>Media</v>
      </c>
      <c r="I941" s="27" t="s">
        <v>1351</v>
      </c>
      <c r="J941" s="29" t="s">
        <v>120</v>
      </c>
      <c r="K941" s="30" t="s">
        <v>116</v>
      </c>
      <c r="L941" s="21"/>
      <c r="M941" s="21"/>
      <c r="N941" s="21"/>
      <c r="O941" s="21"/>
      <c r="P941" s="21"/>
      <c r="Q941" s="21"/>
      <c r="R941" s="21"/>
      <c r="S941" s="21"/>
      <c r="T941" s="21"/>
      <c r="U941" s="27" t="s">
        <v>439</v>
      </c>
      <c r="V941" s="27" t="s">
        <v>440</v>
      </c>
    </row>
    <row r="942" ht="14.25" customHeight="1">
      <c r="A942" s="27" t="s">
        <v>1781</v>
      </c>
      <c r="B942" s="27" t="s">
        <v>1780</v>
      </c>
      <c r="C942" s="27" t="str">
        <f t="array" ref="C942">INDEX(Funciones!$G$2:$G$372,MATCH($A942,Funciones!$B$2:$B$372,0))</f>
        <v>Soportar la carga vertical hasta _____ t</v>
      </c>
      <c r="D942" s="27" t="s">
        <v>4145</v>
      </c>
      <c r="E942" s="27" t="s">
        <v>1124</v>
      </c>
      <c r="F942" s="27" t="s">
        <v>3199</v>
      </c>
      <c r="G942" s="27" t="s">
        <v>3200</v>
      </c>
      <c r="H942" s="18" t="str">
        <f t="array" ref="H942">_xlfn.XLOOKUP(E:E,'Calificación consecuencia'!B:B,'Calificación consecuencia'!K:K,"No encontrada",2)</f>
        <v>Baja</v>
      </c>
      <c r="I942" s="27" t="s">
        <v>1351</v>
      </c>
      <c r="J942" s="29" t="s">
        <v>120</v>
      </c>
      <c r="K942" s="30" t="s">
        <v>116</v>
      </c>
      <c r="L942" s="21"/>
      <c r="M942" s="21"/>
      <c r="N942" s="21"/>
      <c r="O942" s="21"/>
      <c r="P942" s="21"/>
      <c r="Q942" s="21"/>
      <c r="R942" s="21"/>
      <c r="S942" s="21"/>
      <c r="T942" s="21"/>
      <c r="U942" s="27" t="s">
        <v>439</v>
      </c>
      <c r="V942" s="27" t="s">
        <v>440</v>
      </c>
    </row>
    <row r="943" ht="14.25" customHeight="1">
      <c r="A943" s="9" t="s">
        <v>1785</v>
      </c>
      <c r="B943" s="9" t="s">
        <v>1780</v>
      </c>
      <c r="C943" s="9" t="str">
        <f t="array" ref="C943">INDEX(Funciones!$G$2:$G$372,MATCH($A943,Funciones!$B$2:$B$372,0))</f>
        <v>Impedir el remonte de pestaña con cota qR ≥ 6,5 mm</v>
      </c>
      <c r="D943" s="9" t="s">
        <v>3220</v>
      </c>
      <c r="E943" s="9" t="s">
        <v>1127</v>
      </c>
      <c r="F943" s="9" t="s">
        <v>3221</v>
      </c>
      <c r="G943" s="9" t="s">
        <v>3222</v>
      </c>
      <c r="H943" s="18" t="str">
        <f t="array" ref="H943">_xlfn.XLOOKUP(E:E,'Calificación consecuencia'!B:B,'Calificación consecuencia'!K:K,"No encontrada",2)</f>
        <v>Baja</v>
      </c>
      <c r="I943" s="9" t="s">
        <v>425</v>
      </c>
      <c r="J943" s="22" t="s">
        <v>120</v>
      </c>
      <c r="K943" s="20" t="s">
        <v>116</v>
      </c>
      <c r="L943" s="21"/>
      <c r="M943" s="21"/>
      <c r="N943" s="21"/>
      <c r="O943" s="21"/>
      <c r="P943" s="21"/>
      <c r="Q943" s="21"/>
      <c r="R943" s="21"/>
      <c r="S943" s="21"/>
      <c r="T943" s="21"/>
      <c r="U943" s="9" t="s">
        <v>439</v>
      </c>
      <c r="V943" s="9" t="s">
        <v>440</v>
      </c>
    </row>
    <row r="944" ht="14.25" customHeight="1">
      <c r="A944" s="9" t="s">
        <v>1785</v>
      </c>
      <c r="B944" s="9" t="s">
        <v>1780</v>
      </c>
      <c r="C944" s="9" t="str">
        <f t="array" ref="C944">INDEX(Funciones!$G$2:$G$372,MATCH($A944,Funciones!$B$2:$B$372,0))</f>
        <v>Impedir el remonte de pestaña con cota qR ≥ 6,5 mm</v>
      </c>
      <c r="D944" s="9" t="s">
        <v>3230</v>
      </c>
      <c r="E944" s="9" t="s">
        <v>1134</v>
      </c>
      <c r="F944" s="9" t="s">
        <v>3231</v>
      </c>
      <c r="G944" s="9" t="s">
        <v>3232</v>
      </c>
      <c r="H944" s="18" t="str">
        <f t="array" ref="H944">_xlfn.XLOOKUP(E:E,'Calificación consecuencia'!B:B,'Calificación consecuencia'!K:K,"No encontrada",2)</f>
        <v>Media</v>
      </c>
      <c r="I944" s="9" t="s">
        <v>1800</v>
      </c>
      <c r="J944" s="22" t="s">
        <v>120</v>
      </c>
      <c r="K944" s="20" t="s">
        <v>116</v>
      </c>
      <c r="L944" s="21"/>
      <c r="M944" s="21"/>
      <c r="N944" s="21"/>
      <c r="O944" s="21"/>
      <c r="P944" s="21"/>
      <c r="Q944" s="21"/>
      <c r="R944" s="21"/>
      <c r="S944" s="21"/>
      <c r="T944" s="21"/>
      <c r="U944" s="9" t="s">
        <v>439</v>
      </c>
      <c r="V944" s="9" t="s">
        <v>440</v>
      </c>
    </row>
    <row r="945" ht="14.25" customHeight="1">
      <c r="A945" s="9" t="s">
        <v>1785</v>
      </c>
      <c r="B945" s="9" t="s">
        <v>1780</v>
      </c>
      <c r="C945" s="9" t="str">
        <f t="array" ref="C945">INDEX(Funciones!$G$2:$G$372,MATCH($A945,Funciones!$B$2:$B$372,0))</f>
        <v>Impedir el remonte de pestaña con cota qR ≥ 6,5 mm</v>
      </c>
      <c r="D945" s="9" t="s">
        <v>3230</v>
      </c>
      <c r="E945" s="9" t="s">
        <v>1141</v>
      </c>
      <c r="F945" s="9" t="s">
        <v>3250</v>
      </c>
      <c r="G945" s="9" t="s">
        <v>3251</v>
      </c>
      <c r="H945" s="18" t="str">
        <f t="array" ref="H945">_xlfn.XLOOKUP(E:E,'Calificación consecuencia'!B:B,'Calificación consecuencia'!K:K,"No encontrada",2)</f>
        <v>Media</v>
      </c>
      <c r="I945" s="9" t="s">
        <v>425</v>
      </c>
      <c r="J945" s="22" t="s">
        <v>120</v>
      </c>
      <c r="K945" s="20" t="s">
        <v>116</v>
      </c>
      <c r="L945" s="21"/>
      <c r="M945" s="21"/>
      <c r="N945" s="21"/>
      <c r="O945" s="21"/>
      <c r="P945" s="21"/>
      <c r="Q945" s="21"/>
      <c r="R945" s="21"/>
      <c r="S945" s="21"/>
      <c r="T945" s="21"/>
      <c r="U945" s="9" t="s">
        <v>439</v>
      </c>
      <c r="V945" s="9" t="s">
        <v>440</v>
      </c>
    </row>
    <row r="946" ht="14.25" customHeight="1">
      <c r="A946" s="9" t="s">
        <v>1785</v>
      </c>
      <c r="B946" s="9" t="s">
        <v>1780</v>
      </c>
      <c r="C946" s="9" t="str">
        <f t="array" ref="C946">INDEX(Funciones!$G$2:$G$372,MATCH($A946,Funciones!$B$2:$B$372,0))</f>
        <v>Impedir el remonte de pestaña con cota qR ≥ 6,5 mm</v>
      </c>
      <c r="D946" s="9" t="s">
        <v>3230</v>
      </c>
      <c r="E946" s="9" t="s">
        <v>1147</v>
      </c>
      <c r="F946" s="9" t="s">
        <v>3271</v>
      </c>
      <c r="G946" s="9" t="s">
        <v>3272</v>
      </c>
      <c r="H946" s="18" t="str">
        <f t="array" ref="H946">_xlfn.XLOOKUP(E:E,'Calificación consecuencia'!B:B,'Calificación consecuencia'!K:K,"No encontrada",2)</f>
        <v>Media</v>
      </c>
      <c r="I946" s="9" t="s">
        <v>1800</v>
      </c>
      <c r="J946" s="22" t="s">
        <v>120</v>
      </c>
      <c r="K946" s="20" t="s">
        <v>116</v>
      </c>
      <c r="L946" s="21"/>
      <c r="M946" s="21"/>
      <c r="N946" s="21"/>
      <c r="O946" s="21"/>
      <c r="P946" s="21"/>
      <c r="Q946" s="21"/>
      <c r="R946" s="21"/>
      <c r="S946" s="21"/>
      <c r="T946" s="21"/>
      <c r="U946" s="9" t="s">
        <v>439</v>
      </c>
      <c r="V946" s="9" t="s">
        <v>440</v>
      </c>
    </row>
    <row r="947" ht="14.25" customHeight="1">
      <c r="A947" s="27" t="s">
        <v>1791</v>
      </c>
      <c r="B947" s="27" t="s">
        <v>1790</v>
      </c>
      <c r="C947" s="27" t="str">
        <f t="array" ref="C947">INDEX(Funciones!$G$2:$G$372,MATCH($A947,Funciones!$B$2:$B$372,0))</f>
        <v>Transmitir el par motriz hasta _____ N·m</v>
      </c>
      <c r="D947" s="27" t="s">
        <v>4146</v>
      </c>
      <c r="E947" s="27" t="s">
        <v>1305</v>
      </c>
      <c r="F947" s="27" t="s">
        <v>3357</v>
      </c>
      <c r="G947" s="27" t="s">
        <v>3358</v>
      </c>
      <c r="H947" s="18" t="str">
        <f t="array" ref="H947">_xlfn.XLOOKUP(E:E,'Calificación consecuencia'!B:B,'Calificación consecuencia'!K:K,"No encontrada",2)</f>
        <v>Baja</v>
      </c>
      <c r="I947" s="27" t="s">
        <v>1800</v>
      </c>
      <c r="J947" s="30" t="s">
        <v>116</v>
      </c>
      <c r="K947" s="21"/>
      <c r="L947" s="21"/>
      <c r="M947" s="29" t="s">
        <v>120</v>
      </c>
      <c r="N947" s="21"/>
      <c r="O947" s="30" t="s">
        <v>116</v>
      </c>
      <c r="P947" s="30" t="s">
        <v>116</v>
      </c>
      <c r="Q947" s="21"/>
      <c r="R947" s="21"/>
      <c r="S947" s="21"/>
      <c r="T947" s="21"/>
      <c r="U947" s="27" t="s">
        <v>345</v>
      </c>
      <c r="V947" s="27" t="s">
        <v>196</v>
      </c>
    </row>
    <row r="948" ht="14.25" customHeight="1">
      <c r="A948" s="27" t="s">
        <v>1791</v>
      </c>
      <c r="B948" s="27" t="s">
        <v>1790</v>
      </c>
      <c r="C948" s="27" t="str">
        <f t="array" ref="C948">INDEX(Funciones!$G$2:$G$372,MATCH($A948,Funciones!$B$2:$B$372,0))</f>
        <v>Transmitir el par motriz hasta _____ N·m</v>
      </c>
      <c r="D948" s="27" t="s">
        <v>4146</v>
      </c>
      <c r="E948" s="27" t="s">
        <v>1311</v>
      </c>
      <c r="F948" s="27" t="s">
        <v>3363</v>
      </c>
      <c r="G948" s="27" t="s">
        <v>3364</v>
      </c>
      <c r="H948" s="18" t="str">
        <f t="array" ref="H948">_xlfn.XLOOKUP(E:E,'Calificación consecuencia'!B:B,'Calificación consecuencia'!K:K,"No encontrada",2)</f>
        <v>Baja</v>
      </c>
      <c r="I948" s="27" t="s">
        <v>1800</v>
      </c>
      <c r="J948" s="30" t="s">
        <v>116</v>
      </c>
      <c r="K948" s="21"/>
      <c r="L948" s="21"/>
      <c r="M948" s="29" t="s">
        <v>120</v>
      </c>
      <c r="N948" s="21"/>
      <c r="O948" s="30" t="s">
        <v>116</v>
      </c>
      <c r="P948" s="30" t="s">
        <v>116</v>
      </c>
      <c r="Q948" s="21"/>
      <c r="R948" s="21"/>
      <c r="S948" s="21"/>
      <c r="T948" s="21"/>
      <c r="U948" s="27" t="s">
        <v>345</v>
      </c>
      <c r="V948" s="27" t="s">
        <v>196</v>
      </c>
    </row>
    <row r="949" ht="14.25" customHeight="1">
      <c r="A949" s="27" t="s">
        <v>1791</v>
      </c>
      <c r="B949" s="27" t="s">
        <v>1790</v>
      </c>
      <c r="C949" s="27" t="str">
        <f t="array" ref="C949">INDEX(Funciones!$G$2:$G$372,MATCH($A949,Funciones!$B$2:$B$372,0))</f>
        <v>Transmitir el par motriz hasta _____ N·m</v>
      </c>
      <c r="D949" s="27" t="s">
        <v>4146</v>
      </c>
      <c r="E949" s="27" t="s">
        <v>1315</v>
      </c>
      <c r="F949" s="27" t="s">
        <v>3365</v>
      </c>
      <c r="G949" s="27" t="s">
        <v>3366</v>
      </c>
      <c r="H949" s="18" t="str">
        <f t="array" ref="H949">_xlfn.XLOOKUP(E:E,'Calificación consecuencia'!B:B,'Calificación consecuencia'!K:K,"No encontrada",2)</f>
        <v>Baja</v>
      </c>
      <c r="I949" s="27" t="s">
        <v>1800</v>
      </c>
      <c r="J949" s="30" t="s">
        <v>116</v>
      </c>
      <c r="K949" s="21"/>
      <c r="L949" s="21"/>
      <c r="M949" s="29" t="s">
        <v>120</v>
      </c>
      <c r="N949" s="21"/>
      <c r="O949" s="30" t="s">
        <v>116</v>
      </c>
      <c r="P949" s="30" t="s">
        <v>116</v>
      </c>
      <c r="Q949" s="21"/>
      <c r="R949" s="21"/>
      <c r="S949" s="21"/>
      <c r="T949" s="21"/>
      <c r="U949" s="27" t="s">
        <v>345</v>
      </c>
      <c r="V949" s="27" t="s">
        <v>196</v>
      </c>
    </row>
    <row r="950" ht="14.25" customHeight="1">
      <c r="A950" s="27" t="s">
        <v>1791</v>
      </c>
      <c r="B950" s="27" t="s">
        <v>1790</v>
      </c>
      <c r="C950" s="27" t="str">
        <f t="array" ref="C950">INDEX(Funciones!$G$2:$G$372,MATCH($A950,Funciones!$B$2:$B$372,0))</f>
        <v>Transmitir el par motriz hasta _____ N·m</v>
      </c>
      <c r="D950" s="27" t="s">
        <v>4147</v>
      </c>
      <c r="E950" s="27" t="s">
        <v>1325</v>
      </c>
      <c r="F950" s="27" t="s">
        <v>3368</v>
      </c>
      <c r="G950" s="27" t="s">
        <v>3369</v>
      </c>
      <c r="H950" s="18" t="str">
        <f t="array" ref="H950">_xlfn.XLOOKUP(E:E,'Calificación consecuencia'!B:B,'Calificación consecuencia'!K:K,"No encontrada",2)</f>
        <v>Baja</v>
      </c>
      <c r="I950" s="27" t="s">
        <v>1800</v>
      </c>
      <c r="J950" s="30" t="s">
        <v>116</v>
      </c>
      <c r="K950" s="21"/>
      <c r="L950" s="21"/>
      <c r="M950" s="29" t="s">
        <v>120</v>
      </c>
      <c r="N950" s="21"/>
      <c r="O950" s="30" t="s">
        <v>116</v>
      </c>
      <c r="P950" s="30" t="s">
        <v>116</v>
      </c>
      <c r="Q950" s="21"/>
      <c r="R950" s="21"/>
      <c r="S950" s="21"/>
      <c r="T950" s="21"/>
      <c r="U950" s="27" t="s">
        <v>345</v>
      </c>
      <c r="V950" s="27" t="s">
        <v>196</v>
      </c>
    </row>
    <row r="951" ht="14.25" customHeight="1">
      <c r="A951" s="27" t="s">
        <v>1791</v>
      </c>
      <c r="B951" s="27" t="s">
        <v>1790</v>
      </c>
      <c r="C951" s="27" t="str">
        <f t="array" ref="C951">INDEX(Funciones!$G$2:$G$372,MATCH($A951,Funciones!$B$2:$B$372,0))</f>
        <v>Transmitir el par motriz hasta _____ N·m</v>
      </c>
      <c r="D951" s="27" t="s">
        <v>4147</v>
      </c>
      <c r="E951" s="27" t="s">
        <v>1333</v>
      </c>
      <c r="F951" s="27" t="s">
        <v>3370</v>
      </c>
      <c r="G951" s="27" t="s">
        <v>3371</v>
      </c>
      <c r="H951" s="18" t="str">
        <f t="array" ref="H951">_xlfn.XLOOKUP(E:E,'Calificación consecuencia'!B:B,'Calificación consecuencia'!K:K,"No encontrada",2)</f>
        <v>Baja</v>
      </c>
      <c r="I951" s="27" t="s">
        <v>1800</v>
      </c>
      <c r="J951" s="30" t="s">
        <v>116</v>
      </c>
      <c r="K951" s="21"/>
      <c r="L951" s="21"/>
      <c r="M951" s="29" t="s">
        <v>120</v>
      </c>
      <c r="N951" s="21"/>
      <c r="O951" s="30" t="s">
        <v>116</v>
      </c>
      <c r="P951" s="30" t="s">
        <v>116</v>
      </c>
      <c r="Q951" s="21"/>
      <c r="R951" s="21"/>
      <c r="S951" s="21"/>
      <c r="T951" s="21"/>
      <c r="U951" s="27" t="s">
        <v>345</v>
      </c>
      <c r="V951" s="27" t="s">
        <v>196</v>
      </c>
    </row>
    <row r="952" ht="14.25" customHeight="1">
      <c r="A952" s="9" t="s">
        <v>1798</v>
      </c>
      <c r="B952" s="9" t="s">
        <v>1797</v>
      </c>
      <c r="C952" s="9" t="str">
        <f t="array" ref="C952">INDEX(Funciones!$G$2:$G$372,MATCH($A952,Funciones!$B$2:$B$372,0))</f>
        <v>Suministrar la corriente de arranque con tensión mínima de 19,2 V</v>
      </c>
      <c r="D952" s="9" t="s">
        <v>3287</v>
      </c>
      <c r="E952" s="9" t="s">
        <v>1191</v>
      </c>
      <c r="F952" s="9" t="s">
        <v>3288</v>
      </c>
      <c r="G952" s="9" t="s">
        <v>3289</v>
      </c>
      <c r="H952" s="18" t="str">
        <f t="array" ref="H952">_xlfn.XLOOKUP(E:E,'Calificación consecuencia'!B:B,'Calificación consecuencia'!K:K,"No encontrada",2)</f>
        <v>Media</v>
      </c>
      <c r="I952" s="9" t="s">
        <v>339</v>
      </c>
      <c r="J952" s="20" t="s">
        <v>116</v>
      </c>
      <c r="K952" s="21"/>
      <c r="L952" s="21"/>
      <c r="M952" s="22" t="s">
        <v>120</v>
      </c>
      <c r="N952" s="21"/>
      <c r="O952" s="20" t="s">
        <v>116</v>
      </c>
      <c r="P952" s="22" t="s">
        <v>120</v>
      </c>
      <c r="Q952" s="20" t="s">
        <v>116</v>
      </c>
      <c r="R952" s="21"/>
      <c r="S952" s="21"/>
      <c r="T952" s="21"/>
      <c r="U952" s="9" t="s">
        <v>785</v>
      </c>
      <c r="V952" s="9" t="s">
        <v>786</v>
      </c>
    </row>
    <row r="953" ht="14.25" customHeight="1">
      <c r="A953" s="9" t="s">
        <v>1798</v>
      </c>
      <c r="B953" s="9" t="s">
        <v>1797</v>
      </c>
      <c r="C953" s="9" t="str">
        <f t="array" ref="C953">INDEX(Funciones!$G$2:$G$372,MATCH($A953,Funciones!$B$2:$B$372,0))</f>
        <v>Suministrar la corriente de arranque con tensión mínima de 19,2 V</v>
      </c>
      <c r="D953" s="9" t="s">
        <v>3287</v>
      </c>
      <c r="E953" s="9" t="s">
        <v>1195</v>
      </c>
      <c r="F953" s="9" t="s">
        <v>3290</v>
      </c>
      <c r="G953" s="9" t="s">
        <v>3291</v>
      </c>
      <c r="H953" s="18" t="str">
        <f t="array" ref="H953">_xlfn.XLOOKUP(E:E,'Calificación consecuencia'!B:B,'Calificación consecuencia'!K:K,"No encontrada",2)</f>
        <v>Baja</v>
      </c>
      <c r="I953" s="9" t="s">
        <v>339</v>
      </c>
      <c r="J953" s="20" t="s">
        <v>116</v>
      </c>
      <c r="K953" s="21"/>
      <c r="L953" s="21"/>
      <c r="M953" s="22" t="s">
        <v>120</v>
      </c>
      <c r="N953" s="21"/>
      <c r="O953" s="20" t="s">
        <v>116</v>
      </c>
      <c r="P953" s="22" t="s">
        <v>120</v>
      </c>
      <c r="Q953" s="20" t="s">
        <v>116</v>
      </c>
      <c r="R953" s="21"/>
      <c r="S953" s="21"/>
      <c r="T953" s="21"/>
      <c r="U953" s="9" t="s">
        <v>785</v>
      </c>
      <c r="V953" s="9" t="s">
        <v>786</v>
      </c>
    </row>
    <row r="954" ht="14.25" customHeight="1">
      <c r="A954" s="9" t="s">
        <v>1798</v>
      </c>
      <c r="B954" s="9" t="s">
        <v>1797</v>
      </c>
      <c r="C954" s="9" t="str">
        <f t="array" ref="C954">INDEX(Funciones!$G$2:$G$372,MATCH($A954,Funciones!$B$2:$B$372,0))</f>
        <v>Suministrar la corriente de arranque con tensión mínima de 19,2 V</v>
      </c>
      <c r="D954" s="9" t="s">
        <v>3287</v>
      </c>
      <c r="E954" s="9" t="s">
        <v>1204</v>
      </c>
      <c r="F954" s="9" t="s">
        <v>3292</v>
      </c>
      <c r="G954" s="9" t="s">
        <v>3293</v>
      </c>
      <c r="H954" s="18" t="str">
        <f t="array" ref="H954">_xlfn.XLOOKUP(E:E,'Calificación consecuencia'!B:B,'Calificación consecuencia'!K:K,"No encontrada",2)</f>
        <v>Baja</v>
      </c>
      <c r="I954" s="9" t="s">
        <v>339</v>
      </c>
      <c r="J954" s="20" t="s">
        <v>116</v>
      </c>
      <c r="K954" s="21"/>
      <c r="L954" s="21"/>
      <c r="M954" s="22" t="s">
        <v>120</v>
      </c>
      <c r="N954" s="21"/>
      <c r="O954" s="20" t="s">
        <v>116</v>
      </c>
      <c r="P954" s="22" t="s">
        <v>120</v>
      </c>
      <c r="Q954" s="22" t="s">
        <v>120</v>
      </c>
      <c r="R954" s="20" t="s">
        <v>116</v>
      </c>
      <c r="S954" s="21"/>
      <c r="T954" s="21"/>
      <c r="U954" s="9" t="s">
        <v>1680</v>
      </c>
      <c r="V954" s="9" t="s">
        <v>1408</v>
      </c>
    </row>
    <row r="955" ht="14.25" customHeight="1">
      <c r="A955" s="9" t="s">
        <v>1798</v>
      </c>
      <c r="B955" s="9" t="s">
        <v>1797</v>
      </c>
      <c r="C955" s="9" t="str">
        <f t="array" ref="C955">INDEX(Funciones!$G$2:$G$372,MATCH($A955,Funciones!$B$2:$B$372,0))</f>
        <v>Suministrar la corriente de arranque con tensión mínima de 19,2 V</v>
      </c>
      <c r="D955" s="9" t="s">
        <v>3287</v>
      </c>
      <c r="E955" s="9" t="s">
        <v>1210</v>
      </c>
      <c r="F955" s="9" t="s">
        <v>3297</v>
      </c>
      <c r="G955" s="9" t="s">
        <v>3298</v>
      </c>
      <c r="H955" s="18" t="str">
        <f t="array" ref="H955">_xlfn.XLOOKUP(E:E,'Calificación consecuencia'!B:B,'Calificación consecuencia'!K:K,"No encontrada",2)</f>
        <v>Media</v>
      </c>
      <c r="I955" s="9" t="s">
        <v>339</v>
      </c>
      <c r="J955" s="20" t="s">
        <v>116</v>
      </c>
      <c r="K955" s="21"/>
      <c r="L955" s="21"/>
      <c r="M955" s="22" t="s">
        <v>120</v>
      </c>
      <c r="N955" s="21"/>
      <c r="O955" s="20" t="s">
        <v>116</v>
      </c>
      <c r="P955" s="22" t="s">
        <v>120</v>
      </c>
      <c r="Q955" s="20" t="s">
        <v>116</v>
      </c>
      <c r="R955" s="21"/>
      <c r="S955" s="21"/>
      <c r="T955" s="21"/>
      <c r="U955" s="9" t="s">
        <v>785</v>
      </c>
      <c r="V955" s="9" t="s">
        <v>786</v>
      </c>
    </row>
    <row r="956" ht="14.25" customHeight="1">
      <c r="A956" s="9" t="s">
        <v>1798</v>
      </c>
      <c r="B956" s="9" t="s">
        <v>1797</v>
      </c>
      <c r="C956" s="9" t="str">
        <f t="array" ref="C956">INDEX(Funciones!$G$2:$G$372,MATCH($A956,Funciones!$B$2:$B$372,0))</f>
        <v>Suministrar la corriente de arranque con tensión mínima de 19,2 V</v>
      </c>
      <c r="D956" s="9" t="s">
        <v>3287</v>
      </c>
      <c r="E956" s="9" t="s">
        <v>1219</v>
      </c>
      <c r="F956" s="9" t="s">
        <v>3301</v>
      </c>
      <c r="G956" s="9" t="s">
        <v>3302</v>
      </c>
      <c r="H956" s="18" t="str">
        <f t="array" ref="H956">_xlfn.XLOOKUP(E:E,'Calificación consecuencia'!B:B,'Calificación consecuencia'!K:K,"No encontrada",2)</f>
        <v>Media</v>
      </c>
      <c r="I956" s="9" t="s">
        <v>339</v>
      </c>
      <c r="J956" s="20" t="s">
        <v>116</v>
      </c>
      <c r="K956" s="21"/>
      <c r="L956" s="21"/>
      <c r="M956" s="22" t="s">
        <v>120</v>
      </c>
      <c r="N956" s="21"/>
      <c r="O956" s="20" t="s">
        <v>116</v>
      </c>
      <c r="P956" s="22" t="s">
        <v>120</v>
      </c>
      <c r="Q956" s="20" t="s">
        <v>116</v>
      </c>
      <c r="R956" s="21"/>
      <c r="S956" s="21"/>
      <c r="T956" s="21"/>
      <c r="U956" s="9" t="s">
        <v>785</v>
      </c>
      <c r="V956" s="9" t="s">
        <v>786</v>
      </c>
    </row>
    <row r="957" ht="14.25" customHeight="1">
      <c r="A957" s="9" t="s">
        <v>1798</v>
      </c>
      <c r="B957" s="9" t="s">
        <v>1797</v>
      </c>
      <c r="C957" s="9" t="str">
        <f t="array" ref="C957">INDEX(Funciones!$G$2:$G$372,MATCH($A957,Funciones!$B$2:$B$372,0))</f>
        <v>Suministrar la corriente de arranque con tensión mínima de 19,2 V</v>
      </c>
      <c r="D957" s="9" t="s">
        <v>3304</v>
      </c>
      <c r="E957" s="9" t="s">
        <v>1228</v>
      </c>
      <c r="F957" s="9" t="s">
        <v>3305</v>
      </c>
      <c r="G957" s="9" t="s">
        <v>3306</v>
      </c>
      <c r="H957" s="18" t="str">
        <f t="array" ref="H957">_xlfn.XLOOKUP(E:E,'Calificación consecuencia'!B:B,'Calificación consecuencia'!K:K,"No encontrada",2)</f>
        <v>Baja</v>
      </c>
      <c r="I957" s="9" t="s">
        <v>2106</v>
      </c>
      <c r="J957" s="20" t="s">
        <v>116</v>
      </c>
      <c r="K957" s="21"/>
      <c r="L957" s="21"/>
      <c r="M957" s="22" t="s">
        <v>120</v>
      </c>
      <c r="N957" s="21"/>
      <c r="O957" s="22" t="s">
        <v>120</v>
      </c>
      <c r="P957" s="21"/>
      <c r="Q957" s="21"/>
      <c r="R957" s="21"/>
      <c r="S957" s="22" t="s">
        <v>120</v>
      </c>
      <c r="T957" s="21"/>
      <c r="U957" s="9" t="s">
        <v>1680</v>
      </c>
      <c r="V957" s="9" t="s">
        <v>1408</v>
      </c>
    </row>
    <row r="958" ht="14.25" customHeight="1">
      <c r="A958" s="9" t="s">
        <v>1798</v>
      </c>
      <c r="B958" s="9" t="s">
        <v>1797</v>
      </c>
      <c r="C958" s="9" t="str">
        <f t="array" ref="C958">INDEX(Funciones!$G$2:$G$372,MATCH($A958,Funciones!$B$2:$B$372,0))</f>
        <v>Suministrar la corriente de arranque con tensión mínima de 19,2 V</v>
      </c>
      <c r="D958" s="9" t="s">
        <v>3304</v>
      </c>
      <c r="E958" s="9" t="s">
        <v>1233</v>
      </c>
      <c r="F958" s="9" t="s">
        <v>3307</v>
      </c>
      <c r="G958" s="9" t="s">
        <v>3308</v>
      </c>
      <c r="H958" s="18" t="str">
        <f t="array" ref="H958">_xlfn.XLOOKUP(E:E,'Calificación consecuencia'!B:B,'Calificación consecuencia'!K:K,"No encontrada",2)</f>
        <v>Baja</v>
      </c>
      <c r="I958" s="9" t="s">
        <v>2106</v>
      </c>
      <c r="J958" s="20" t="s">
        <v>116</v>
      </c>
      <c r="K958" s="21"/>
      <c r="L958" s="21"/>
      <c r="M958" s="22" t="s">
        <v>120</v>
      </c>
      <c r="N958" s="21"/>
      <c r="O958" s="22" t="s">
        <v>120</v>
      </c>
      <c r="P958" s="21"/>
      <c r="Q958" s="21"/>
      <c r="R958" s="21"/>
      <c r="S958" s="22" t="s">
        <v>120</v>
      </c>
      <c r="T958" s="21"/>
      <c r="U958" s="9" t="s">
        <v>1680</v>
      </c>
      <c r="V958" s="9" t="s">
        <v>1408</v>
      </c>
    </row>
    <row r="959" ht="14.25" customHeight="1">
      <c r="A959" s="27" t="s">
        <v>1805</v>
      </c>
      <c r="B959" s="27" t="s">
        <v>1797</v>
      </c>
      <c r="C959" s="27" t="str">
        <f t="array" ref="C959">INDEX(Funciones!$G$2:$G$372,MATCH($A959,Funciones!$B$2:$B$372,0))</f>
        <v>Almacenar energía eléctrica con tensión mínima de 19,2 V</v>
      </c>
      <c r="D959" s="27" t="s">
        <v>3309</v>
      </c>
      <c r="E959" s="27" t="s">
        <v>1191</v>
      </c>
      <c r="F959" s="27" t="s">
        <v>3288</v>
      </c>
      <c r="G959" s="27" t="s">
        <v>3289</v>
      </c>
      <c r="H959" s="18" t="str">
        <f t="array" ref="H959">_xlfn.XLOOKUP(E:E,'Calificación consecuencia'!B:B,'Calificación consecuencia'!K:K,"No encontrada",2)</f>
        <v>Media</v>
      </c>
      <c r="I959" s="27" t="s">
        <v>339</v>
      </c>
      <c r="J959" s="30" t="s">
        <v>116</v>
      </c>
      <c r="K959" s="21"/>
      <c r="L959" s="21"/>
      <c r="M959" s="29" t="s">
        <v>120</v>
      </c>
      <c r="N959" s="21"/>
      <c r="O959" s="30" t="s">
        <v>116</v>
      </c>
      <c r="P959" s="29" t="s">
        <v>120</v>
      </c>
      <c r="Q959" s="30" t="s">
        <v>116</v>
      </c>
      <c r="R959" s="21"/>
      <c r="S959" s="21"/>
      <c r="T959" s="21"/>
      <c r="U959" s="27" t="s">
        <v>785</v>
      </c>
      <c r="V959" s="27" t="s">
        <v>786</v>
      </c>
    </row>
    <row r="960" ht="14.25" customHeight="1">
      <c r="A960" s="27" t="s">
        <v>1805</v>
      </c>
      <c r="B960" s="27" t="s">
        <v>1797</v>
      </c>
      <c r="C960" s="27" t="str">
        <f t="array" ref="C960">INDEX(Funciones!$G$2:$G$372,MATCH($A960,Funciones!$B$2:$B$372,0))</f>
        <v>Almacenar energía eléctrica con tensión mínima de 19,2 V</v>
      </c>
      <c r="D960" s="27" t="s">
        <v>3309</v>
      </c>
      <c r="E960" s="27" t="s">
        <v>1204</v>
      </c>
      <c r="F960" s="27" t="s">
        <v>3292</v>
      </c>
      <c r="G960" s="27" t="s">
        <v>3293</v>
      </c>
      <c r="H960" s="18" t="str">
        <f t="array" ref="H960">_xlfn.XLOOKUP(E:E,'Calificación consecuencia'!B:B,'Calificación consecuencia'!K:K,"No encontrada",2)</f>
        <v>Baja</v>
      </c>
      <c r="I960" s="27" t="s">
        <v>339</v>
      </c>
      <c r="J960" s="30" t="s">
        <v>116</v>
      </c>
      <c r="K960" s="21"/>
      <c r="L960" s="21"/>
      <c r="M960" s="29" t="s">
        <v>120</v>
      </c>
      <c r="N960" s="21"/>
      <c r="O960" s="30" t="s">
        <v>116</v>
      </c>
      <c r="P960" s="29" t="s">
        <v>120</v>
      </c>
      <c r="Q960" s="29" t="s">
        <v>120</v>
      </c>
      <c r="R960" s="30" t="s">
        <v>116</v>
      </c>
      <c r="S960" s="21"/>
      <c r="T960" s="21"/>
      <c r="U960" s="27" t="s">
        <v>1680</v>
      </c>
      <c r="V960" s="27" t="s">
        <v>1408</v>
      </c>
    </row>
    <row r="961" ht="14.25" customHeight="1">
      <c r="A961" s="27" t="s">
        <v>1805</v>
      </c>
      <c r="B961" s="27" t="s">
        <v>1797</v>
      </c>
      <c r="C961" s="27" t="str">
        <f t="array" ref="C961">INDEX(Funciones!$G$2:$G$372,MATCH($A961,Funciones!$B$2:$B$372,0))</f>
        <v>Almacenar energía eléctrica con tensión mínima de 19,2 V</v>
      </c>
      <c r="D961" s="27" t="s">
        <v>3310</v>
      </c>
      <c r="E961" s="27" t="s">
        <v>1228</v>
      </c>
      <c r="F961" s="27" t="s">
        <v>3305</v>
      </c>
      <c r="G961" s="27" t="s">
        <v>3306</v>
      </c>
      <c r="H961" s="18" t="str">
        <f t="array" ref="H961">_xlfn.XLOOKUP(E:E,'Calificación consecuencia'!B:B,'Calificación consecuencia'!K:K,"No encontrada",2)</f>
        <v>Baja</v>
      </c>
      <c r="I961" s="27" t="s">
        <v>2106</v>
      </c>
      <c r="J961" s="30" t="s">
        <v>116</v>
      </c>
      <c r="K961" s="21"/>
      <c r="L961" s="21"/>
      <c r="M961" s="29" t="s">
        <v>120</v>
      </c>
      <c r="N961" s="21"/>
      <c r="O961" s="29" t="s">
        <v>120</v>
      </c>
      <c r="P961" s="21"/>
      <c r="Q961" s="21"/>
      <c r="R961" s="21"/>
      <c r="S961" s="29" t="s">
        <v>120</v>
      </c>
      <c r="T961" s="21"/>
      <c r="U961" s="27" t="s">
        <v>1680</v>
      </c>
      <c r="V961" s="27" t="s">
        <v>1408</v>
      </c>
    </row>
    <row r="962" ht="14.25" customHeight="1">
      <c r="A962" s="9" t="s">
        <v>1807</v>
      </c>
      <c r="B962" s="9" t="s">
        <v>1806</v>
      </c>
      <c r="C962" s="9" t="str">
        <f t="array" ref="C962">INDEX(Funciones!$G$2:$G$372,MATCH($A962,Funciones!$B$2:$B$372,0))</f>
        <v>Presurizar los cilindros de freno entre 3,7 y 3,9 bar</v>
      </c>
      <c r="D962" s="9" t="s">
        <v>3573</v>
      </c>
      <c r="E962" s="9" t="s">
        <v>1246</v>
      </c>
      <c r="F962" s="9" t="s">
        <v>3312</v>
      </c>
      <c r="G962" s="9" t="s">
        <v>3313</v>
      </c>
      <c r="H962" s="18" t="str">
        <f t="array" ref="H962">_xlfn.XLOOKUP(E:E,'Calificación consecuencia'!B:B,'Calificación consecuencia'!K:K,"No encontrada",2)</f>
        <v>Media</v>
      </c>
      <c r="I962" s="9" t="s">
        <v>425</v>
      </c>
      <c r="J962" s="20" t="s">
        <v>116</v>
      </c>
      <c r="K962" s="21"/>
      <c r="L962" s="21"/>
      <c r="M962" s="20" t="s">
        <v>116</v>
      </c>
      <c r="N962" s="20" t="s">
        <v>116</v>
      </c>
      <c r="O962" s="21"/>
      <c r="P962" s="21"/>
      <c r="Q962" s="21"/>
      <c r="R962" s="21"/>
      <c r="S962" s="21"/>
      <c r="T962" s="21"/>
      <c r="U962" s="9" t="s">
        <v>195</v>
      </c>
      <c r="V962" s="9" t="s">
        <v>196</v>
      </c>
    </row>
    <row r="963" ht="14.25" customHeight="1">
      <c r="A963" s="9" t="s">
        <v>1807</v>
      </c>
      <c r="B963" s="9" t="s">
        <v>1806</v>
      </c>
      <c r="C963" s="9" t="str">
        <f t="array" ref="C963">INDEX(Funciones!$G$2:$G$372,MATCH($A963,Funciones!$B$2:$B$372,0))</f>
        <v>Presurizar los cilindros de freno entre 3,7 y 3,9 bar</v>
      </c>
      <c r="D963" s="9" t="s">
        <v>3573</v>
      </c>
      <c r="E963" s="9" t="s">
        <v>1248</v>
      </c>
      <c r="F963" s="9" t="s">
        <v>3314</v>
      </c>
      <c r="G963" s="9" t="s">
        <v>3315</v>
      </c>
      <c r="H963" s="18" t="str">
        <f t="array" ref="H963">_xlfn.XLOOKUP(E:E,'Calificación consecuencia'!B:B,'Calificación consecuencia'!K:K,"No encontrada",2)</f>
        <v>Media</v>
      </c>
      <c r="I963" s="9" t="s">
        <v>425</v>
      </c>
      <c r="J963" s="20" t="s">
        <v>116</v>
      </c>
      <c r="K963" s="21"/>
      <c r="L963" s="21"/>
      <c r="M963" s="20" t="s">
        <v>116</v>
      </c>
      <c r="N963" s="20" t="s">
        <v>116</v>
      </c>
      <c r="O963" s="21"/>
      <c r="P963" s="21"/>
      <c r="Q963" s="21"/>
      <c r="R963" s="21"/>
      <c r="S963" s="21"/>
      <c r="T963" s="21"/>
      <c r="U963" s="9" t="s">
        <v>195</v>
      </c>
      <c r="V963" s="9" t="s">
        <v>196</v>
      </c>
    </row>
    <row r="964" ht="14.25" customHeight="1">
      <c r="A964" s="9" t="s">
        <v>1807</v>
      </c>
      <c r="B964" s="9" t="s">
        <v>1806</v>
      </c>
      <c r="C964" s="9" t="str">
        <f t="array" ref="C964">INDEX(Funciones!$G$2:$G$372,MATCH($A964,Funciones!$B$2:$B$372,0))</f>
        <v>Presurizar los cilindros de freno entre 3,7 y 3,9 bar</v>
      </c>
      <c r="D964" s="9" t="s">
        <v>3575</v>
      </c>
      <c r="E964" s="9" t="s">
        <v>1255</v>
      </c>
      <c r="F964" s="9" t="s">
        <v>3318</v>
      </c>
      <c r="G964" s="9" t="s">
        <v>3319</v>
      </c>
      <c r="H964" s="18" t="str">
        <f t="array" ref="H964">_xlfn.XLOOKUP(E:E,'Calificación consecuencia'!B:B,'Calificación consecuencia'!K:K,"No encontrada",2)</f>
        <v>Baja</v>
      </c>
      <c r="I964" s="9" t="s">
        <v>425</v>
      </c>
      <c r="J964" s="20" t="s">
        <v>116</v>
      </c>
      <c r="K964" s="21"/>
      <c r="L964" s="21"/>
      <c r="M964" s="20" t="s">
        <v>116</v>
      </c>
      <c r="N964" s="20" t="s">
        <v>116</v>
      </c>
      <c r="O964" s="21"/>
      <c r="P964" s="21"/>
      <c r="Q964" s="21"/>
      <c r="R964" s="21"/>
      <c r="S964" s="21"/>
      <c r="T964" s="21"/>
      <c r="U964" s="9" t="s">
        <v>195</v>
      </c>
      <c r="V964" s="9" t="s">
        <v>196</v>
      </c>
    </row>
    <row r="965" ht="14.25" customHeight="1">
      <c r="A965" s="9" t="s">
        <v>1807</v>
      </c>
      <c r="B965" s="9" t="s">
        <v>1806</v>
      </c>
      <c r="C965" s="9" t="str">
        <f t="array" ref="C965">INDEX(Funciones!$G$2:$G$372,MATCH($A965,Funciones!$B$2:$B$372,0))</f>
        <v>Presurizar los cilindros de freno entre 3,7 y 3,9 bar</v>
      </c>
      <c r="D965" s="9" t="s">
        <v>3575</v>
      </c>
      <c r="E965" s="9" t="s">
        <v>1259</v>
      </c>
      <c r="F965" s="9" t="s">
        <v>3322</v>
      </c>
      <c r="G965" s="9" t="s">
        <v>3323</v>
      </c>
      <c r="H965" s="18" t="str">
        <f t="array" ref="H965">_xlfn.XLOOKUP(E:E,'Calificación consecuencia'!B:B,'Calificación consecuencia'!K:K,"No encontrada",2)</f>
        <v>Baja</v>
      </c>
      <c r="I965" s="9" t="s">
        <v>425</v>
      </c>
      <c r="J965" s="20" t="s">
        <v>116</v>
      </c>
      <c r="K965" s="21"/>
      <c r="L965" s="21"/>
      <c r="M965" s="20" t="s">
        <v>116</v>
      </c>
      <c r="N965" s="20" t="s">
        <v>116</v>
      </c>
      <c r="O965" s="21"/>
      <c r="P965" s="21"/>
      <c r="Q965" s="21"/>
      <c r="R965" s="21"/>
      <c r="S965" s="21"/>
      <c r="T965" s="21"/>
      <c r="U965" s="9" t="s">
        <v>195</v>
      </c>
      <c r="V965" s="9" t="s">
        <v>196</v>
      </c>
    </row>
    <row r="966" ht="14.25" customHeight="1">
      <c r="A966" s="9" t="s">
        <v>1807</v>
      </c>
      <c r="B966" s="9" t="s">
        <v>1806</v>
      </c>
      <c r="C966" s="9" t="str">
        <f t="array" ref="C966">INDEX(Funciones!$G$2:$G$372,MATCH($A966,Funciones!$B$2:$B$372,0))</f>
        <v>Presurizar los cilindros de freno entre 3,7 y 3,9 bar</v>
      </c>
      <c r="D966" s="9" t="s">
        <v>3578</v>
      </c>
      <c r="E966" s="9" t="s">
        <v>1265</v>
      </c>
      <c r="F966" s="9" t="s">
        <v>3325</v>
      </c>
      <c r="G966" s="9" t="s">
        <v>3326</v>
      </c>
      <c r="H966" s="18" t="str">
        <f t="array" ref="H966">_xlfn.XLOOKUP(E:E,'Calificación consecuencia'!B:B,'Calificación consecuencia'!K:K,"No encontrada",2)</f>
        <v>Media</v>
      </c>
      <c r="I966" s="9" t="s">
        <v>425</v>
      </c>
      <c r="J966" s="20" t="s">
        <v>116</v>
      </c>
      <c r="K966" s="21"/>
      <c r="L966" s="21"/>
      <c r="M966" s="20" t="s">
        <v>116</v>
      </c>
      <c r="N966" s="20" t="s">
        <v>116</v>
      </c>
      <c r="O966" s="21"/>
      <c r="P966" s="21"/>
      <c r="Q966" s="21"/>
      <c r="R966" s="21"/>
      <c r="S966" s="21"/>
      <c r="T966" s="21"/>
      <c r="U966" s="9" t="s">
        <v>195</v>
      </c>
      <c r="V966" s="9" t="s">
        <v>196</v>
      </c>
    </row>
    <row r="967" ht="14.25" customHeight="1">
      <c r="A967" s="9" t="s">
        <v>1807</v>
      </c>
      <c r="B967" s="9" t="s">
        <v>1806</v>
      </c>
      <c r="C967" s="9" t="str">
        <f t="array" ref="C967">INDEX(Funciones!$G$2:$G$372,MATCH($A967,Funciones!$B$2:$B$372,0))</f>
        <v>Presurizar los cilindros de freno entre 3,7 y 3,9 bar</v>
      </c>
      <c r="D967" s="9" t="s">
        <v>4158</v>
      </c>
      <c r="E967" s="9" t="s">
        <v>1275</v>
      </c>
      <c r="F967" s="9" t="s">
        <v>3330</v>
      </c>
      <c r="G967" s="9" t="s">
        <v>2473</v>
      </c>
      <c r="H967" s="18" t="str">
        <f t="array" ref="H967">_xlfn.XLOOKUP(E:E,'Calificación consecuencia'!B:B,'Calificación consecuencia'!K:K,"No encontrada",2)</f>
        <v>Baja</v>
      </c>
      <c r="I967" s="9" t="s">
        <v>425</v>
      </c>
      <c r="J967" s="20" t="s">
        <v>116</v>
      </c>
      <c r="K967" s="21"/>
      <c r="L967" s="21"/>
      <c r="M967" s="20" t="s">
        <v>116</v>
      </c>
      <c r="N967" s="20" t="s">
        <v>116</v>
      </c>
      <c r="O967" s="21"/>
      <c r="P967" s="21"/>
      <c r="Q967" s="21"/>
      <c r="R967" s="21"/>
      <c r="S967" s="21"/>
      <c r="T967" s="21"/>
      <c r="U967" s="9" t="s">
        <v>195</v>
      </c>
      <c r="V967" s="9" t="s">
        <v>196</v>
      </c>
    </row>
    <row r="968" ht="14.25" customHeight="1">
      <c r="A968" s="27" t="s">
        <v>1815</v>
      </c>
      <c r="B968" s="27" t="s">
        <v>1814</v>
      </c>
      <c r="C968" s="27" t="str">
        <f t="array" ref="C968">INDEX(Funciones!$G$2:$G$372,MATCH($A968,Funciones!$B$2:$B$372,0))</f>
        <v>Inmovilizar la máquina estacionada en pendiente de _____ %</v>
      </c>
      <c r="D968" s="27" t="s">
        <v>4159</v>
      </c>
      <c r="E968" s="27" t="s">
        <v>3327</v>
      </c>
      <c r="F968" s="27" t="s">
        <v>4160</v>
      </c>
      <c r="G968" s="27" t="s">
        <v>4161</v>
      </c>
      <c r="H968" s="18" t="str">
        <f t="array" ref="H968">_xlfn.XLOOKUP(E:E,'Calificación consecuencia'!B:B,'Calificación consecuencia'!K:K,"No encontrada",2)</f>
        <v>Baja</v>
      </c>
      <c r="I968" s="27" t="s">
        <v>425</v>
      </c>
      <c r="J968" s="30" t="s">
        <v>116</v>
      </c>
      <c r="K968" s="21"/>
      <c r="L968" s="21"/>
      <c r="M968" s="30" t="s">
        <v>116</v>
      </c>
      <c r="N968" s="30" t="s">
        <v>116</v>
      </c>
      <c r="O968" s="21"/>
      <c r="P968" s="21"/>
      <c r="Q968" s="21"/>
      <c r="R968" s="21"/>
      <c r="S968" s="21"/>
      <c r="T968" s="21"/>
      <c r="U968" s="27" t="s">
        <v>195</v>
      </c>
      <c r="V968" s="27" t="s">
        <v>196</v>
      </c>
    </row>
    <row r="969" ht="14.25" customHeight="1">
      <c r="A969" s="27" t="s">
        <v>1815</v>
      </c>
      <c r="B969" s="27" t="s">
        <v>1814</v>
      </c>
      <c r="C969" s="27" t="str">
        <f t="array" ref="C969">INDEX(Funciones!$G$2:$G$372,MATCH($A969,Funciones!$B$2:$B$372,0))</f>
        <v>Inmovilizar la máquina estacionada en pendiente de _____ %</v>
      </c>
      <c r="D969" s="27" t="s">
        <v>4159</v>
      </c>
      <c r="E969" s="27" t="s">
        <v>3328</v>
      </c>
      <c r="F969" s="27" t="s">
        <v>4162</v>
      </c>
      <c r="G969" s="27" t="s">
        <v>4163</v>
      </c>
      <c r="H969" s="18" t="str">
        <f t="array" ref="H969">_xlfn.XLOOKUP(E:E,'Calificación consecuencia'!B:B,'Calificación consecuencia'!K:K,"No encontrada",2)</f>
        <v>Media</v>
      </c>
      <c r="I969" s="27" t="s">
        <v>425</v>
      </c>
      <c r="J969" s="30" t="s">
        <v>116</v>
      </c>
      <c r="K969" s="21"/>
      <c r="L969" s="21"/>
      <c r="M969" s="30" t="s">
        <v>116</v>
      </c>
      <c r="N969" s="30" t="s">
        <v>116</v>
      </c>
      <c r="O969" s="21"/>
      <c r="P969" s="21"/>
      <c r="Q969" s="21"/>
      <c r="R969" s="21"/>
      <c r="S969" s="21"/>
      <c r="T969" s="21"/>
      <c r="U969" s="27" t="s">
        <v>195</v>
      </c>
      <c r="V969" s="27" t="s">
        <v>196</v>
      </c>
    </row>
    <row r="970" ht="14.25" customHeight="1">
      <c r="A970" s="27" t="s">
        <v>1815</v>
      </c>
      <c r="B970" s="27" t="s">
        <v>1814</v>
      </c>
      <c r="C970" s="27" t="str">
        <f t="array" ref="C970">INDEX(Funciones!$G$2:$G$372,MATCH($A970,Funciones!$B$2:$B$372,0))</f>
        <v>Inmovilizar la máquina estacionada en pendiente de _____ %</v>
      </c>
      <c r="D970" s="27" t="s">
        <v>4164</v>
      </c>
      <c r="E970" s="27" t="s">
        <v>590</v>
      </c>
      <c r="F970" s="27" t="s">
        <v>4165</v>
      </c>
      <c r="G970" s="27" t="s">
        <v>4166</v>
      </c>
      <c r="H970" s="18" t="str">
        <f t="array" ref="H970">_xlfn.XLOOKUP(E:E,'Calificación consecuencia'!B:B,'Calificación consecuencia'!K:K,"No encontrada",2)</f>
        <v>Baja</v>
      </c>
      <c r="I970" s="27" t="s">
        <v>1351</v>
      </c>
      <c r="J970" s="30" t="s">
        <v>116</v>
      </c>
      <c r="K970" s="21"/>
      <c r="L970" s="21"/>
      <c r="M970" s="30" t="s">
        <v>116</v>
      </c>
      <c r="N970" s="30" t="s">
        <v>116</v>
      </c>
      <c r="O970" s="21"/>
      <c r="P970" s="21"/>
      <c r="Q970" s="21"/>
      <c r="R970" s="21"/>
      <c r="S970" s="21"/>
      <c r="T970" s="21"/>
      <c r="U970" s="27" t="s">
        <v>195</v>
      </c>
      <c r="V970" s="27" t="s">
        <v>196</v>
      </c>
    </row>
    <row r="971" ht="14.25" customHeight="1">
      <c r="A971" s="9" t="s">
        <v>1821</v>
      </c>
      <c r="B971" s="9" t="s">
        <v>1820</v>
      </c>
      <c r="C971" s="9" t="str">
        <f t="array" ref="C971">INDEX(Funciones!$G$2:$G$372,MATCH($A971,Funciones!$B$2:$B$372,0))</f>
        <v>Frenar la locomotora en una distancia máxima de _____ m</v>
      </c>
      <c r="D971" s="9" t="s">
        <v>4167</v>
      </c>
      <c r="E971" s="9" t="s">
        <v>3331</v>
      </c>
      <c r="F971" s="9" t="s">
        <v>4168</v>
      </c>
      <c r="G971" s="9" t="s">
        <v>4169</v>
      </c>
      <c r="H971" s="18" t="str">
        <f t="array" ref="H971">_xlfn.XLOOKUP(E:E,'Calificación consecuencia'!B:B,'Calificación consecuencia'!K:K,"No encontrada",2)</f>
        <v>Media</v>
      </c>
      <c r="I971" s="9" t="s">
        <v>425</v>
      </c>
      <c r="J971" s="20" t="s">
        <v>116</v>
      </c>
      <c r="K971" s="21"/>
      <c r="L971" s="21"/>
      <c r="M971" s="20" t="s">
        <v>116</v>
      </c>
      <c r="N971" s="20" t="s">
        <v>116</v>
      </c>
      <c r="O971" s="21"/>
      <c r="P971" s="21"/>
      <c r="Q971" s="21"/>
      <c r="R971" s="21"/>
      <c r="S971" s="21"/>
      <c r="T971" s="21"/>
      <c r="U971" s="9" t="s">
        <v>195</v>
      </c>
      <c r="V971" s="9" t="s">
        <v>196</v>
      </c>
    </row>
    <row r="972" ht="14.25" customHeight="1">
      <c r="A972" s="9" t="s">
        <v>1821</v>
      </c>
      <c r="B972" s="9" t="s">
        <v>1820</v>
      </c>
      <c r="C972" s="9" t="str">
        <f t="array" ref="C972">INDEX(Funciones!$G$2:$G$372,MATCH($A972,Funciones!$B$2:$B$372,0))</f>
        <v>Frenar la locomotora en una distancia máxima de _____ m</v>
      </c>
      <c r="D972" s="9" t="s">
        <v>4167</v>
      </c>
      <c r="E972" s="9" t="s">
        <v>3332</v>
      </c>
      <c r="F972" s="9" t="s">
        <v>4170</v>
      </c>
      <c r="G972" s="9" t="s">
        <v>4169</v>
      </c>
      <c r="H972" s="18" t="str">
        <f t="array" ref="H972">_xlfn.XLOOKUP(E:E,'Calificación consecuencia'!B:B,'Calificación consecuencia'!K:K,"No encontrada",2)</f>
        <v>Media</v>
      </c>
      <c r="I972" s="9" t="s">
        <v>425</v>
      </c>
      <c r="J972" s="20" t="s">
        <v>116</v>
      </c>
      <c r="K972" s="21"/>
      <c r="L972" s="21"/>
      <c r="M972" s="20" t="s">
        <v>116</v>
      </c>
      <c r="N972" s="20" t="s">
        <v>116</v>
      </c>
      <c r="O972" s="21"/>
      <c r="P972" s="21"/>
      <c r="Q972" s="21"/>
      <c r="R972" s="21"/>
      <c r="S972" s="21"/>
      <c r="T972" s="21"/>
      <c r="U972" s="9" t="s">
        <v>195</v>
      </c>
      <c r="V972" s="9" t="s">
        <v>196</v>
      </c>
    </row>
    <row r="973" ht="14.25" customHeight="1">
      <c r="A973" s="9" t="s">
        <v>1821</v>
      </c>
      <c r="B973" s="9" t="s">
        <v>1820</v>
      </c>
      <c r="C973" s="9" t="str">
        <f t="array" ref="C973">INDEX(Funciones!$G$2:$G$372,MATCH($A973,Funciones!$B$2:$B$372,0))</f>
        <v>Frenar la locomotora en una distancia máxima de _____ m</v>
      </c>
      <c r="D973" s="9" t="s">
        <v>4171</v>
      </c>
      <c r="E973" s="9" t="s">
        <v>3333</v>
      </c>
      <c r="F973" s="9" t="s">
        <v>4172</v>
      </c>
      <c r="G973" s="9" t="s">
        <v>4173</v>
      </c>
      <c r="H973" s="18" t="str">
        <f t="array" ref="H973">_xlfn.XLOOKUP(E:E,'Calificación consecuencia'!B:B,'Calificación consecuencia'!K:K,"No encontrada",2)</f>
        <v>Baja</v>
      </c>
      <c r="I973" s="9" t="s">
        <v>425</v>
      </c>
      <c r="J973" s="20" t="s">
        <v>116</v>
      </c>
      <c r="K973" s="21"/>
      <c r="L973" s="21"/>
      <c r="M973" s="20" t="s">
        <v>116</v>
      </c>
      <c r="N973" s="20" t="s">
        <v>116</v>
      </c>
      <c r="O973" s="21"/>
      <c r="P973" s="21"/>
      <c r="Q973" s="21"/>
      <c r="R973" s="21"/>
      <c r="S973" s="21"/>
      <c r="T973" s="21"/>
      <c r="U973" s="9" t="s">
        <v>195</v>
      </c>
      <c r="V973" s="9" t="s">
        <v>196</v>
      </c>
    </row>
    <row r="974" ht="14.25" customHeight="1">
      <c r="A974" s="9" t="s">
        <v>1821</v>
      </c>
      <c r="B974" s="9" t="s">
        <v>1820</v>
      </c>
      <c r="C974" s="9" t="str">
        <f t="array" ref="C974">INDEX(Funciones!$G$2:$G$372,MATCH($A974,Funciones!$B$2:$B$372,0))</f>
        <v>Frenar la locomotora en una distancia máxima de _____ m</v>
      </c>
      <c r="D974" s="9" t="s">
        <v>4171</v>
      </c>
      <c r="E974" s="9" t="s">
        <v>1259</v>
      </c>
      <c r="F974" s="9" t="s">
        <v>4174</v>
      </c>
      <c r="G974" s="9" t="s">
        <v>3323</v>
      </c>
      <c r="H974" s="18" t="str">
        <f t="array" ref="H974">_xlfn.XLOOKUP(E:E,'Calificación consecuencia'!B:B,'Calificación consecuencia'!K:K,"No encontrada",2)</f>
        <v>Baja</v>
      </c>
      <c r="I974" s="9" t="s">
        <v>425</v>
      </c>
      <c r="J974" s="20" t="s">
        <v>116</v>
      </c>
      <c r="K974" s="21"/>
      <c r="L974" s="21"/>
      <c r="M974" s="20" t="s">
        <v>116</v>
      </c>
      <c r="N974" s="20" t="s">
        <v>116</v>
      </c>
      <c r="O974" s="21"/>
      <c r="P974" s="21"/>
      <c r="Q974" s="21"/>
      <c r="R974" s="21"/>
      <c r="S974" s="21"/>
      <c r="T974" s="21"/>
      <c r="U974" s="9" t="s">
        <v>195</v>
      </c>
      <c r="V974" s="9" t="s">
        <v>196</v>
      </c>
    </row>
    <row r="975" ht="14.25" customHeight="1">
      <c r="A975" s="9" t="s">
        <v>1821</v>
      </c>
      <c r="B975" s="9" t="s">
        <v>1820</v>
      </c>
      <c r="C975" s="9" t="str">
        <f t="array" ref="C975">INDEX(Funciones!$G$2:$G$372,MATCH($A975,Funciones!$B$2:$B$372,0))</f>
        <v>Frenar la locomotora en una distancia máxima de _____ m</v>
      </c>
      <c r="D975" s="9" t="s">
        <v>4175</v>
      </c>
      <c r="E975" s="9" t="s">
        <v>3337</v>
      </c>
      <c r="F975" s="9" t="s">
        <v>4176</v>
      </c>
      <c r="G975" s="9" t="s">
        <v>4177</v>
      </c>
      <c r="H975" s="18" t="str">
        <f t="array" ref="H975">_xlfn.XLOOKUP(E:E,'Calificación consecuencia'!B:B,'Calificación consecuencia'!K:K,"No encontrada",2)</f>
        <v>Media</v>
      </c>
      <c r="I975" s="9" t="s">
        <v>425</v>
      </c>
      <c r="J975" s="20" t="s">
        <v>116</v>
      </c>
      <c r="K975" s="21"/>
      <c r="L975" s="21"/>
      <c r="M975" s="20" t="s">
        <v>116</v>
      </c>
      <c r="N975" s="20" t="s">
        <v>116</v>
      </c>
      <c r="O975" s="21"/>
      <c r="P975" s="21"/>
      <c r="Q975" s="21"/>
      <c r="R975" s="21"/>
      <c r="S975" s="21"/>
      <c r="T975" s="21"/>
      <c r="U975" s="9" t="s">
        <v>195</v>
      </c>
      <c r="V975" s="9" t="s">
        <v>196</v>
      </c>
    </row>
    <row r="976" ht="14.25" customHeight="1">
      <c r="A976" s="27" t="s">
        <v>1829</v>
      </c>
      <c r="B976" s="27" t="s">
        <v>1828</v>
      </c>
      <c r="C976" s="27" t="str">
        <f t="array" ref="C976">INDEX(Funciones!$G$2:$G$372,MATCH($A976,Funciones!$B$2:$B$372,0))</f>
        <v>Frenar el tren de trabajo en una distancia máxima de _____ m</v>
      </c>
      <c r="D976" s="27" t="s">
        <v>4178</v>
      </c>
      <c r="E976" s="27" t="s">
        <v>3338</v>
      </c>
      <c r="F976" s="27" t="s">
        <v>4179</v>
      </c>
      <c r="G976" s="27" t="s">
        <v>4180</v>
      </c>
      <c r="H976" s="18" t="str">
        <f t="array" ref="H976">_xlfn.XLOOKUP(E:E,'Calificación consecuencia'!B:B,'Calificación consecuencia'!K:K,"No encontrada",2)</f>
        <v>Media</v>
      </c>
      <c r="I976" s="27" t="s">
        <v>425</v>
      </c>
      <c r="J976" s="30" t="s">
        <v>116</v>
      </c>
      <c r="K976" s="21"/>
      <c r="L976" s="21"/>
      <c r="M976" s="30" t="s">
        <v>116</v>
      </c>
      <c r="N976" s="30" t="s">
        <v>116</v>
      </c>
      <c r="O976" s="21"/>
      <c r="P976" s="21"/>
      <c r="Q976" s="21"/>
      <c r="R976" s="21"/>
      <c r="S976" s="21"/>
      <c r="T976" s="21"/>
      <c r="U976" s="27" t="s">
        <v>195</v>
      </c>
      <c r="V976" s="27" t="s">
        <v>196</v>
      </c>
    </row>
    <row r="977" ht="14.25" customHeight="1">
      <c r="A977" s="27" t="s">
        <v>1829</v>
      </c>
      <c r="B977" s="27" t="s">
        <v>1828</v>
      </c>
      <c r="C977" s="27" t="str">
        <f t="array" ref="C977">INDEX(Funciones!$G$2:$G$372,MATCH($A977,Funciones!$B$2:$B$372,0))</f>
        <v>Frenar el tren de trabajo en una distancia máxima de _____ m</v>
      </c>
      <c r="D977" s="27" t="s">
        <v>4178</v>
      </c>
      <c r="E977" s="27" t="s">
        <v>3339</v>
      </c>
      <c r="F977" s="27" t="s">
        <v>4181</v>
      </c>
      <c r="G977" s="27" t="s">
        <v>857</v>
      </c>
      <c r="H977" s="18" t="str">
        <f t="array" ref="H977">_xlfn.XLOOKUP(E:E,'Calificación consecuencia'!B:B,'Calificación consecuencia'!K:K,"No encontrada",2)</f>
        <v>Media</v>
      </c>
      <c r="I977" s="27" t="s">
        <v>425</v>
      </c>
      <c r="J977" s="30" t="s">
        <v>116</v>
      </c>
      <c r="K977" s="21"/>
      <c r="L977" s="21"/>
      <c r="M977" s="30" t="s">
        <v>116</v>
      </c>
      <c r="N977" s="30" t="s">
        <v>116</v>
      </c>
      <c r="O977" s="21"/>
      <c r="P977" s="21"/>
      <c r="Q977" s="21"/>
      <c r="R977" s="21"/>
      <c r="S977" s="21"/>
      <c r="T977" s="21"/>
      <c r="U977" s="27" t="s">
        <v>195</v>
      </c>
      <c r="V977" s="27" t="s">
        <v>196</v>
      </c>
    </row>
    <row r="978" ht="14.25" customHeight="1">
      <c r="A978" s="27" t="s">
        <v>1829</v>
      </c>
      <c r="B978" s="27" t="s">
        <v>1828</v>
      </c>
      <c r="C978" s="27" t="str">
        <f t="array" ref="C978">INDEX(Funciones!$G$2:$G$372,MATCH($A978,Funciones!$B$2:$B$372,0))</f>
        <v>Frenar el tren de trabajo en una distancia máxima de _____ m</v>
      </c>
      <c r="D978" s="27" t="s">
        <v>4182</v>
      </c>
      <c r="E978" s="27" t="s">
        <v>3342</v>
      </c>
      <c r="F978" s="27" t="s">
        <v>4183</v>
      </c>
      <c r="G978" s="27" t="s">
        <v>4184</v>
      </c>
      <c r="H978" s="18" t="str">
        <f t="array" ref="H978">_xlfn.XLOOKUP(E:E,'Calificación consecuencia'!B:B,'Calificación consecuencia'!K:K,"No encontrada",2)</f>
        <v>Baja</v>
      </c>
      <c r="I978" s="27" t="s">
        <v>425</v>
      </c>
      <c r="J978" s="30" t="s">
        <v>116</v>
      </c>
      <c r="K978" s="21"/>
      <c r="L978" s="21"/>
      <c r="M978" s="30" t="s">
        <v>116</v>
      </c>
      <c r="N978" s="30" t="s">
        <v>116</v>
      </c>
      <c r="O978" s="21"/>
      <c r="P978" s="21"/>
      <c r="Q978" s="21"/>
      <c r="R978" s="21"/>
      <c r="S978" s="21"/>
      <c r="T978" s="21"/>
      <c r="U978" s="27" t="s">
        <v>195</v>
      </c>
      <c r="V978" s="27" t="s">
        <v>196</v>
      </c>
    </row>
    <row r="979" ht="14.25" customHeight="1">
      <c r="A979" s="27" t="s">
        <v>1829</v>
      </c>
      <c r="B979" s="27" t="s">
        <v>1828</v>
      </c>
      <c r="C979" s="27" t="str">
        <f t="array" ref="C979">INDEX(Funciones!$G$2:$G$372,MATCH($A979,Funciones!$B$2:$B$372,0))</f>
        <v>Frenar el tren de trabajo en una distancia máxima de _____ m</v>
      </c>
      <c r="D979" s="27" t="s">
        <v>4182</v>
      </c>
      <c r="E979" s="27" t="s">
        <v>3343</v>
      </c>
      <c r="F979" s="27" t="s">
        <v>4185</v>
      </c>
      <c r="G979" s="27" t="s">
        <v>4186</v>
      </c>
      <c r="H979" s="18" t="str">
        <f t="array" ref="H979">_xlfn.XLOOKUP(E:E,'Calificación consecuencia'!B:B,'Calificación consecuencia'!K:K,"No encontrada",2)</f>
        <v>Media</v>
      </c>
      <c r="I979" s="27" t="s">
        <v>425</v>
      </c>
      <c r="J979" s="30" t="s">
        <v>116</v>
      </c>
      <c r="K979" s="21"/>
      <c r="L979" s="21"/>
      <c r="M979" s="30" t="s">
        <v>116</v>
      </c>
      <c r="N979" s="30" t="s">
        <v>116</v>
      </c>
      <c r="O979" s="21"/>
      <c r="P979" s="21"/>
      <c r="Q979" s="21"/>
      <c r="R979" s="21"/>
      <c r="S979" s="21"/>
      <c r="T979" s="21"/>
      <c r="U979" s="27" t="s">
        <v>195</v>
      </c>
      <c r="V979" s="27" t="s">
        <v>196</v>
      </c>
    </row>
    <row r="980" ht="14.25" customHeight="1">
      <c r="A980" s="9" t="s">
        <v>1834</v>
      </c>
      <c r="B980" s="9" t="s">
        <v>1833</v>
      </c>
      <c r="C980" s="9" t="str">
        <f t="array" ref="C980">INDEX(Funciones!$G$2:$G$372,MATCH($A980,Funciones!$B$2:$B$372,0))</f>
        <v>Transmitir la fuerza a zapatas con juego de _____ mm</v>
      </c>
      <c r="D980" s="9" t="s">
        <v>4219</v>
      </c>
      <c r="E980" s="9" t="s">
        <v>1744</v>
      </c>
      <c r="F980" s="9" t="s">
        <v>3581</v>
      </c>
      <c r="G980" s="9" t="s">
        <v>3582</v>
      </c>
      <c r="H980" s="18" t="str">
        <f t="array" ref="H980">_xlfn.XLOOKUP(E:E,'Calificación consecuencia'!B:B,'Calificación consecuencia'!K:K,"No encontrada",2)</f>
        <v>Baja</v>
      </c>
      <c r="I980" s="9" t="s">
        <v>425</v>
      </c>
      <c r="J980" s="20" t="s">
        <v>116</v>
      </c>
      <c r="K980" s="21"/>
      <c r="L980" s="21"/>
      <c r="M980" s="20" t="s">
        <v>116</v>
      </c>
      <c r="N980" s="20" t="s">
        <v>116</v>
      </c>
      <c r="O980" s="21"/>
      <c r="P980" s="21"/>
      <c r="Q980" s="21"/>
      <c r="R980" s="21"/>
      <c r="S980" s="21"/>
      <c r="T980" s="21"/>
      <c r="U980" s="9" t="s">
        <v>195</v>
      </c>
      <c r="V980" s="9" t="s">
        <v>196</v>
      </c>
    </row>
    <row r="981" ht="14.25" customHeight="1">
      <c r="A981" s="9" t="s">
        <v>1834</v>
      </c>
      <c r="B981" s="9" t="s">
        <v>1833</v>
      </c>
      <c r="C981" s="9" t="str">
        <f t="array" ref="C981">INDEX(Funciones!$G$2:$G$372,MATCH($A981,Funciones!$B$2:$B$372,0))</f>
        <v>Transmitir la fuerza a zapatas con juego de _____ mm</v>
      </c>
      <c r="D981" s="9" t="s">
        <v>4220</v>
      </c>
      <c r="E981" s="9" t="s">
        <v>1964</v>
      </c>
      <c r="F981" s="9" t="s">
        <v>3709</v>
      </c>
      <c r="G981" s="9" t="s">
        <v>3588</v>
      </c>
      <c r="H981" s="18" t="str">
        <f t="array" ref="H981">_xlfn.XLOOKUP(E:E,'Calificación consecuencia'!B:B,'Calificación consecuencia'!K:K,"No encontrada",2)</f>
        <v>Baja</v>
      </c>
      <c r="I981" s="9" t="s">
        <v>1351</v>
      </c>
      <c r="J981" s="20" t="s">
        <v>116</v>
      </c>
      <c r="K981" s="21"/>
      <c r="L981" s="21"/>
      <c r="M981" s="20" t="s">
        <v>116</v>
      </c>
      <c r="N981" s="20" t="s">
        <v>116</v>
      </c>
      <c r="O981" s="21"/>
      <c r="P981" s="21"/>
      <c r="Q981" s="21"/>
      <c r="R981" s="21"/>
      <c r="S981" s="21"/>
      <c r="T981" s="21"/>
      <c r="U981" s="9" t="s">
        <v>195</v>
      </c>
      <c r="V981" s="9" t="s">
        <v>196</v>
      </c>
    </row>
    <row r="982" ht="14.25" customHeight="1">
      <c r="A982" s="9" t="s">
        <v>1834</v>
      </c>
      <c r="B982" s="9" t="s">
        <v>1833</v>
      </c>
      <c r="C982" s="9" t="str">
        <f t="array" ref="C982">INDEX(Funciones!$G$2:$G$372,MATCH($A982,Funciones!$B$2:$B$372,0))</f>
        <v>Transmitir la fuerza a zapatas con juego de _____ mm</v>
      </c>
      <c r="D982" s="9" t="s">
        <v>4220</v>
      </c>
      <c r="E982" s="9" t="s">
        <v>1749</v>
      </c>
      <c r="F982" s="9" t="s">
        <v>3717</v>
      </c>
      <c r="G982" s="9" t="s">
        <v>3585</v>
      </c>
      <c r="H982" s="18" t="str">
        <f t="array" ref="H982">_xlfn.XLOOKUP(E:E,'Calificación consecuencia'!B:B,'Calificación consecuencia'!K:K,"No encontrada",2)</f>
        <v>Baja</v>
      </c>
      <c r="I982" s="9" t="s">
        <v>425</v>
      </c>
      <c r="J982" s="20" t="s">
        <v>116</v>
      </c>
      <c r="K982" s="21"/>
      <c r="L982" s="21"/>
      <c r="M982" s="20" t="s">
        <v>116</v>
      </c>
      <c r="N982" s="20" t="s">
        <v>116</v>
      </c>
      <c r="O982" s="21"/>
      <c r="P982" s="21"/>
      <c r="Q982" s="21"/>
      <c r="R982" s="21"/>
      <c r="S982" s="21"/>
      <c r="T982" s="21"/>
      <c r="U982" s="9" t="s">
        <v>195</v>
      </c>
      <c r="V982" s="9" t="s">
        <v>196</v>
      </c>
    </row>
    <row r="983" ht="14.25" customHeight="1">
      <c r="A983" s="27" t="s">
        <v>1838</v>
      </c>
      <c r="B983" s="27" t="s">
        <v>1837</v>
      </c>
      <c r="C983" s="27" t="str">
        <f t="array" ref="C983">INDEX(Funciones!$G$2:$G$372,MATCH($A983,Funciones!$B$2:$B$372,0))</f>
        <v>Entregar potencia mecánica de _____ kW</v>
      </c>
      <c r="D983" s="27" t="s">
        <v>4083</v>
      </c>
      <c r="E983" s="27" t="s">
        <v>1339</v>
      </c>
      <c r="F983" s="27" t="s">
        <v>3995</v>
      </c>
      <c r="G983" s="27" t="s">
        <v>3374</v>
      </c>
      <c r="H983" s="18" t="str">
        <f t="array" ref="H983">_xlfn.XLOOKUP(E:E,'Calificación consecuencia'!B:B,'Calificación consecuencia'!K:K,"No encontrada",2)</f>
        <v>Media</v>
      </c>
      <c r="I983" s="27" t="s">
        <v>1800</v>
      </c>
      <c r="J983" s="30" t="s">
        <v>116</v>
      </c>
      <c r="K983" s="21"/>
      <c r="L983" s="21"/>
      <c r="M983" s="29" t="s">
        <v>120</v>
      </c>
      <c r="N983" s="21"/>
      <c r="O983" s="30" t="s">
        <v>116</v>
      </c>
      <c r="P983" s="30" t="s">
        <v>116</v>
      </c>
      <c r="Q983" s="21"/>
      <c r="R983" s="21"/>
      <c r="S983" s="21"/>
      <c r="T983" s="21"/>
      <c r="U983" s="27" t="s">
        <v>345</v>
      </c>
      <c r="V983" s="27" t="s">
        <v>196</v>
      </c>
    </row>
    <row r="984" ht="14.25" customHeight="1">
      <c r="A984" s="27" t="s">
        <v>1838</v>
      </c>
      <c r="B984" s="27" t="s">
        <v>1837</v>
      </c>
      <c r="C984" s="27" t="str">
        <f t="array" ref="C984">INDEX(Funciones!$G$2:$G$372,MATCH($A984,Funciones!$B$2:$B$372,0))</f>
        <v>Entregar potencia mecánica de _____ kW</v>
      </c>
      <c r="D984" s="27" t="s">
        <v>4083</v>
      </c>
      <c r="E984" s="27" t="s">
        <v>1786</v>
      </c>
      <c r="F984" s="27" t="s">
        <v>3996</v>
      </c>
      <c r="G984" s="27" t="s">
        <v>3378</v>
      </c>
      <c r="H984" s="18" t="str">
        <f t="array" ref="H984">_xlfn.XLOOKUP(E:E,'Calificación consecuencia'!B:B,'Calificación consecuencia'!K:K,"No encontrada",2)</f>
        <v>Baja</v>
      </c>
      <c r="I984" s="27" t="s">
        <v>2106</v>
      </c>
      <c r="J984" s="30" t="s">
        <v>116</v>
      </c>
      <c r="K984" s="21"/>
      <c r="L984" s="21"/>
      <c r="M984" s="29" t="s">
        <v>120</v>
      </c>
      <c r="N984" s="21"/>
      <c r="O984" s="29" t="s">
        <v>120</v>
      </c>
      <c r="P984" s="21"/>
      <c r="Q984" s="21"/>
      <c r="R984" s="21"/>
      <c r="S984" s="29" t="s">
        <v>120</v>
      </c>
      <c r="T984" s="21"/>
      <c r="U984" s="27" t="s">
        <v>1680</v>
      </c>
      <c r="V984" s="27" t="s">
        <v>1408</v>
      </c>
    </row>
    <row r="985" ht="14.25" customHeight="1">
      <c r="A985" s="27" t="s">
        <v>1838</v>
      </c>
      <c r="B985" s="27" t="s">
        <v>1837</v>
      </c>
      <c r="C985" s="27" t="str">
        <f t="array" ref="C985">INDEX(Funciones!$G$2:$G$372,MATCH($A985,Funciones!$B$2:$B$372,0))</f>
        <v>Entregar potencia mecánica de _____ kW</v>
      </c>
      <c r="D985" s="27" t="s">
        <v>4084</v>
      </c>
      <c r="E985" s="27" t="s">
        <v>1350</v>
      </c>
      <c r="F985" s="27" t="s">
        <v>3998</v>
      </c>
      <c r="G985" s="27" t="s">
        <v>3382</v>
      </c>
      <c r="H985" s="18" t="str">
        <f t="array" ref="H985">_xlfn.XLOOKUP(E:E,'Calificación consecuencia'!B:B,'Calificación consecuencia'!K:K,"No encontrada",2)</f>
        <v>Baja</v>
      </c>
      <c r="I985" s="27" t="s">
        <v>2106</v>
      </c>
      <c r="J985" s="30" t="s">
        <v>116</v>
      </c>
      <c r="K985" s="21"/>
      <c r="L985" s="21"/>
      <c r="M985" s="29" t="s">
        <v>120</v>
      </c>
      <c r="N985" s="21"/>
      <c r="O985" s="29" t="s">
        <v>120</v>
      </c>
      <c r="P985" s="21"/>
      <c r="Q985" s="21"/>
      <c r="R985" s="21"/>
      <c r="S985" s="29" t="s">
        <v>120</v>
      </c>
      <c r="T985" s="21"/>
      <c r="U985" s="27" t="s">
        <v>1680</v>
      </c>
      <c r="V985" s="27" t="s">
        <v>1408</v>
      </c>
    </row>
    <row r="986" ht="14.25" customHeight="1">
      <c r="A986" s="27" t="s">
        <v>1838</v>
      </c>
      <c r="B986" s="27" t="s">
        <v>1837</v>
      </c>
      <c r="C986" s="27" t="str">
        <f t="array" ref="C986">INDEX(Funciones!$G$2:$G$372,MATCH($A986,Funciones!$B$2:$B$372,0))</f>
        <v>Entregar potencia mecánica de _____ kW</v>
      </c>
      <c r="D986" s="27" t="s">
        <v>4084</v>
      </c>
      <c r="E986" s="27" t="s">
        <v>1794</v>
      </c>
      <c r="F986" s="27" t="s">
        <v>3999</v>
      </c>
      <c r="G986" s="27" t="s">
        <v>3614</v>
      </c>
      <c r="H986" s="18" t="str">
        <f t="array" ref="H986">_xlfn.XLOOKUP(E:E,'Calificación consecuencia'!B:B,'Calificación consecuencia'!K:K,"No encontrada",2)</f>
        <v>Baja</v>
      </c>
      <c r="I986" s="27" t="s">
        <v>1800</v>
      </c>
      <c r="J986" s="30" t="s">
        <v>116</v>
      </c>
      <c r="K986" s="21"/>
      <c r="L986" s="21"/>
      <c r="M986" s="29" t="s">
        <v>120</v>
      </c>
      <c r="N986" s="21"/>
      <c r="O986" s="30" t="s">
        <v>116</v>
      </c>
      <c r="P986" s="30" t="s">
        <v>116</v>
      </c>
      <c r="Q986" s="21"/>
      <c r="R986" s="21"/>
      <c r="S986" s="21"/>
      <c r="T986" s="21"/>
      <c r="U986" s="27" t="s">
        <v>345</v>
      </c>
      <c r="V986" s="27" t="s">
        <v>196</v>
      </c>
    </row>
    <row r="987" ht="14.25" customHeight="1">
      <c r="A987" s="27" t="s">
        <v>1838</v>
      </c>
      <c r="B987" s="27" t="s">
        <v>1837</v>
      </c>
      <c r="C987" s="27" t="str">
        <f t="array" ref="C987">INDEX(Funciones!$G$2:$G$372,MATCH($A987,Funciones!$B$2:$B$372,0))</f>
        <v>Entregar potencia mecánica de _____ kW</v>
      </c>
      <c r="D987" s="27" t="s">
        <v>4084</v>
      </c>
      <c r="E987" s="27" t="s">
        <v>2376</v>
      </c>
      <c r="F987" s="27" t="s">
        <v>4000</v>
      </c>
      <c r="G987" s="27" t="s">
        <v>1493</v>
      </c>
      <c r="H987" s="18" t="str">
        <f t="array" ref="H987">_xlfn.XLOOKUP(E:E,'Calificación consecuencia'!B:B,'Calificación consecuencia'!K:K,"No encontrada",2)</f>
        <v>Baja</v>
      </c>
      <c r="I987" s="27" t="s">
        <v>2106</v>
      </c>
      <c r="J987" s="30" t="s">
        <v>116</v>
      </c>
      <c r="K987" s="21"/>
      <c r="L987" s="21"/>
      <c r="M987" s="29" t="s">
        <v>120</v>
      </c>
      <c r="N987" s="21"/>
      <c r="O987" s="29" t="s">
        <v>120</v>
      </c>
      <c r="P987" s="21"/>
      <c r="Q987" s="21"/>
      <c r="R987" s="21"/>
      <c r="S987" s="29" t="s">
        <v>120</v>
      </c>
      <c r="T987" s="21"/>
      <c r="U987" s="27" t="s">
        <v>1680</v>
      </c>
      <c r="V987" s="27" t="s">
        <v>1408</v>
      </c>
    </row>
    <row r="988" ht="14.25" customHeight="1">
      <c r="A988" s="9" t="s">
        <v>1846</v>
      </c>
      <c r="B988" s="9" t="s">
        <v>1845</v>
      </c>
      <c r="C988" s="9" t="str">
        <f t="array" ref="C988">INDEX(Funciones!$G$2:$G$372,MATCH($A988,Funciones!$B$2:$B$372,0))</f>
        <v>Transportar material de vía hasta _____ t</v>
      </c>
      <c r="D988" s="9" t="s">
        <v>4242</v>
      </c>
      <c r="E988" s="9" t="s">
        <v>2780</v>
      </c>
      <c r="F988" s="9" t="s">
        <v>4243</v>
      </c>
      <c r="G988" s="9" t="s">
        <v>4034</v>
      </c>
      <c r="H988" s="18" t="str">
        <f t="array" ref="H988">_xlfn.XLOOKUP(E:E,'Calificación consecuencia'!B:B,'Calificación consecuencia'!K:K,"No encontrada",2)</f>
        <v>Baja</v>
      </c>
      <c r="I988" s="9" t="s">
        <v>425</v>
      </c>
      <c r="J988" s="20" t="s">
        <v>116</v>
      </c>
      <c r="K988" s="21"/>
      <c r="L988" s="21"/>
      <c r="M988" s="20" t="s">
        <v>116</v>
      </c>
      <c r="N988" s="20" t="s">
        <v>116</v>
      </c>
      <c r="O988" s="21"/>
      <c r="P988" s="21"/>
      <c r="Q988" s="21"/>
      <c r="R988" s="21"/>
      <c r="S988" s="21"/>
      <c r="T988" s="21"/>
      <c r="U988" s="9" t="s">
        <v>195</v>
      </c>
      <c r="V988" s="9" t="s">
        <v>196</v>
      </c>
    </row>
    <row r="989" ht="14.25" customHeight="1">
      <c r="A989" s="9" t="s">
        <v>1846</v>
      </c>
      <c r="B989" s="9" t="s">
        <v>1845</v>
      </c>
      <c r="C989" s="9" t="str">
        <f t="array" ref="C989">INDEX(Funciones!$G$2:$G$372,MATCH($A989,Funciones!$B$2:$B$372,0))</f>
        <v>Transportar material de vía hasta _____ t</v>
      </c>
      <c r="D989" s="9" t="s">
        <v>4242</v>
      </c>
      <c r="E989" s="9" t="s">
        <v>3427</v>
      </c>
      <c r="F989" s="9" t="s">
        <v>4244</v>
      </c>
      <c r="G989" s="9" t="s">
        <v>4245</v>
      </c>
      <c r="H989" s="18" t="str">
        <f t="array" ref="H989">_xlfn.XLOOKUP(E:E,'Calificación consecuencia'!B:B,'Calificación consecuencia'!K:K,"No encontrada",2)</f>
        <v>Media</v>
      </c>
      <c r="I989" s="9" t="s">
        <v>425</v>
      </c>
      <c r="J989" s="20" t="s">
        <v>116</v>
      </c>
      <c r="K989" s="21"/>
      <c r="L989" s="21"/>
      <c r="M989" s="20" t="s">
        <v>116</v>
      </c>
      <c r="N989" s="20" t="s">
        <v>116</v>
      </c>
      <c r="O989" s="21"/>
      <c r="P989" s="21"/>
      <c r="Q989" s="21"/>
      <c r="R989" s="21"/>
      <c r="S989" s="21"/>
      <c r="T989" s="21"/>
      <c r="U989" s="9" t="s">
        <v>195</v>
      </c>
      <c r="V989" s="9" t="s">
        <v>196</v>
      </c>
    </row>
    <row r="990" ht="14.25" customHeight="1">
      <c r="A990" s="9" t="s">
        <v>1846</v>
      </c>
      <c r="B990" s="9" t="s">
        <v>1845</v>
      </c>
      <c r="C990" s="9" t="str">
        <f t="array" ref="C990">INDEX(Funciones!$G$2:$G$372,MATCH($A990,Funciones!$B$2:$B$372,0))</f>
        <v>Transportar material de vía hasta _____ t</v>
      </c>
      <c r="D990" s="9" t="s">
        <v>4246</v>
      </c>
      <c r="E990" s="9" t="s">
        <v>3428</v>
      </c>
      <c r="F990" s="9" t="s">
        <v>4247</v>
      </c>
      <c r="G990" s="9" t="s">
        <v>4248</v>
      </c>
      <c r="H990" s="18" t="str">
        <f t="array" ref="H990">_xlfn.XLOOKUP(E:E,'Calificación consecuencia'!B:B,'Calificación consecuencia'!K:K,"No encontrada",2)</f>
        <v>Baja</v>
      </c>
      <c r="I990" s="9" t="s">
        <v>1351</v>
      </c>
      <c r="J990" s="20" t="s">
        <v>116</v>
      </c>
      <c r="K990" s="21"/>
      <c r="L990" s="21"/>
      <c r="M990" s="20" t="s">
        <v>116</v>
      </c>
      <c r="N990" s="20" t="s">
        <v>116</v>
      </c>
      <c r="O990" s="21"/>
      <c r="P990" s="21"/>
      <c r="Q990" s="21"/>
      <c r="R990" s="21"/>
      <c r="S990" s="21"/>
      <c r="T990" s="21"/>
      <c r="U990" s="9" t="s">
        <v>195</v>
      </c>
      <c r="V990" s="9" t="s">
        <v>196</v>
      </c>
    </row>
    <row r="991" ht="14.25" customHeight="1">
      <c r="A991" s="27" t="s">
        <v>1852</v>
      </c>
      <c r="B991" s="27" t="s">
        <v>1851</v>
      </c>
      <c r="C991" s="27" t="str">
        <f t="array" ref="C991">INDEX(Funciones!$G$2:$G$372,MATCH($A991,Funciones!$B$2:$B$372,0))</f>
        <v>Soportar la carga por eje hasta _____ t</v>
      </c>
      <c r="D991" s="27" t="s">
        <v>4087</v>
      </c>
      <c r="E991" s="27" t="s">
        <v>1609</v>
      </c>
      <c r="F991" s="27" t="s">
        <v>4088</v>
      </c>
      <c r="G991" s="27" t="s">
        <v>3498</v>
      </c>
      <c r="H991" s="18" t="str">
        <f t="array" ref="H991">_xlfn.XLOOKUP(E:E,'Calificación consecuencia'!B:B,'Calificación consecuencia'!K:K,"No encontrada",2)</f>
        <v>Baja</v>
      </c>
      <c r="I991" s="27" t="s">
        <v>425</v>
      </c>
      <c r="J991" s="29" t="s">
        <v>120</v>
      </c>
      <c r="K991" s="30" t="s">
        <v>116</v>
      </c>
      <c r="L991" s="21"/>
      <c r="M991" s="21"/>
      <c r="N991" s="21"/>
      <c r="O991" s="21"/>
      <c r="P991" s="21"/>
      <c r="Q991" s="21"/>
      <c r="R991" s="21"/>
      <c r="S991" s="21"/>
      <c r="T991" s="21"/>
      <c r="U991" s="27" t="s">
        <v>439</v>
      </c>
      <c r="V991" s="27" t="s">
        <v>440</v>
      </c>
    </row>
    <row r="992" ht="14.25" customHeight="1">
      <c r="A992" s="27" t="s">
        <v>1852</v>
      </c>
      <c r="B992" s="27" t="s">
        <v>1851</v>
      </c>
      <c r="C992" s="27" t="str">
        <f t="array" ref="C992">INDEX(Funciones!$G$2:$G$372,MATCH($A992,Funciones!$B$2:$B$372,0))</f>
        <v>Soportar la carga por eje hasta _____ t</v>
      </c>
      <c r="D992" s="27" t="s">
        <v>4087</v>
      </c>
      <c r="E992" s="27" t="s">
        <v>1615</v>
      </c>
      <c r="F992" s="27" t="s">
        <v>4089</v>
      </c>
      <c r="G992" s="27" t="s">
        <v>3501</v>
      </c>
      <c r="H992" s="18" t="str">
        <f t="array" ref="H992">_xlfn.XLOOKUP(E:E,'Calificación consecuencia'!B:B,'Calificación consecuencia'!K:K,"No encontrada",2)</f>
        <v>Baja</v>
      </c>
      <c r="I992" s="27" t="s">
        <v>425</v>
      </c>
      <c r="J992" s="29" t="s">
        <v>120</v>
      </c>
      <c r="K992" s="30" t="s">
        <v>116</v>
      </c>
      <c r="L992" s="21"/>
      <c r="M992" s="21"/>
      <c r="N992" s="21"/>
      <c r="O992" s="21"/>
      <c r="P992" s="21"/>
      <c r="Q992" s="21"/>
      <c r="R992" s="21"/>
      <c r="S992" s="21"/>
      <c r="T992" s="21"/>
      <c r="U992" s="27" t="s">
        <v>439</v>
      </c>
      <c r="V992" s="27" t="s">
        <v>440</v>
      </c>
    </row>
    <row r="993" ht="14.25" customHeight="1">
      <c r="A993" s="27" t="s">
        <v>1852</v>
      </c>
      <c r="B993" s="27" t="s">
        <v>1851</v>
      </c>
      <c r="C993" s="27" t="str">
        <f t="array" ref="C993">INDEX(Funciones!$G$2:$G$372,MATCH($A993,Funciones!$B$2:$B$372,0))</f>
        <v>Soportar la carga por eje hasta _____ t</v>
      </c>
      <c r="D993" s="27" t="s">
        <v>4090</v>
      </c>
      <c r="E993" s="27" t="s">
        <v>1622</v>
      </c>
      <c r="F993" s="27" t="s">
        <v>4091</v>
      </c>
      <c r="G993" s="27" t="s">
        <v>3498</v>
      </c>
      <c r="H993" s="18" t="str">
        <f t="array" ref="H993">_xlfn.XLOOKUP(E:E,'Calificación consecuencia'!B:B,'Calificación consecuencia'!K:K,"No encontrada",2)</f>
        <v>Baja</v>
      </c>
      <c r="I993" s="27" t="s">
        <v>1800</v>
      </c>
      <c r="J993" s="29" t="s">
        <v>120</v>
      </c>
      <c r="K993" s="30" t="s">
        <v>116</v>
      </c>
      <c r="L993" s="21"/>
      <c r="M993" s="21"/>
      <c r="N993" s="21"/>
      <c r="O993" s="21"/>
      <c r="P993" s="21"/>
      <c r="Q993" s="21"/>
      <c r="R993" s="21"/>
      <c r="S993" s="21"/>
      <c r="T993" s="21"/>
      <c r="U993" s="27" t="s">
        <v>439</v>
      </c>
      <c r="V993" s="27" t="s">
        <v>440</v>
      </c>
    </row>
    <row r="994" ht="14.25" customHeight="1">
      <c r="A994" s="27" t="s">
        <v>1852</v>
      </c>
      <c r="B994" s="27" t="s">
        <v>1851</v>
      </c>
      <c r="C994" s="27" t="str">
        <f t="array" ref="C994">INDEX(Funciones!$G$2:$G$372,MATCH($A994,Funciones!$B$2:$B$372,0))</f>
        <v>Soportar la carga por eje hasta _____ t</v>
      </c>
      <c r="D994" s="27" t="s">
        <v>4090</v>
      </c>
      <c r="E994" s="27" t="s">
        <v>1625</v>
      </c>
      <c r="F994" s="27" t="s">
        <v>4092</v>
      </c>
      <c r="G994" s="27" t="s">
        <v>3513</v>
      </c>
      <c r="H994" s="18" t="str">
        <f t="array" ref="H994">_xlfn.XLOOKUP(E:E,'Calificación consecuencia'!B:B,'Calificación consecuencia'!K:K,"No encontrada",2)</f>
        <v>Media</v>
      </c>
      <c r="I994" s="27" t="s">
        <v>1351</v>
      </c>
      <c r="J994" s="29" t="s">
        <v>120</v>
      </c>
      <c r="K994" s="30" t="s">
        <v>116</v>
      </c>
      <c r="L994" s="21"/>
      <c r="M994" s="21"/>
      <c r="N994" s="21"/>
      <c r="O994" s="21"/>
      <c r="P994" s="21"/>
      <c r="Q994" s="21"/>
      <c r="R994" s="21"/>
      <c r="S994" s="21"/>
      <c r="T994" s="21"/>
      <c r="U994" s="27" t="s">
        <v>439</v>
      </c>
      <c r="V994" s="27" t="s">
        <v>440</v>
      </c>
    </row>
    <row r="995" ht="14.25" customHeight="1">
      <c r="A995" s="9" t="s">
        <v>1857</v>
      </c>
      <c r="B995" s="9" t="s">
        <v>1851</v>
      </c>
      <c r="C995" s="9" t="str">
        <f t="array" ref="C995">INDEX(Funciones!$G$2:$G$372,MATCH($A995,Funciones!$B$2:$B$372,0))</f>
        <v>Impedir el remonte de pestaña con cota qR ≥ 6,5 mm</v>
      </c>
      <c r="D995" s="9" t="s">
        <v>3220</v>
      </c>
      <c r="E995" s="9" t="s">
        <v>1127</v>
      </c>
      <c r="F995" s="9" t="s">
        <v>3221</v>
      </c>
      <c r="G995" s="9" t="s">
        <v>3222</v>
      </c>
      <c r="H995" s="18" t="str">
        <f t="array" ref="H995">_xlfn.XLOOKUP(E:E,'Calificación consecuencia'!B:B,'Calificación consecuencia'!K:K,"No encontrada",2)</f>
        <v>Baja</v>
      </c>
      <c r="I995" s="9" t="s">
        <v>425</v>
      </c>
      <c r="J995" s="22" t="s">
        <v>120</v>
      </c>
      <c r="K995" s="20" t="s">
        <v>116</v>
      </c>
      <c r="L995" s="21"/>
      <c r="M995" s="21"/>
      <c r="N995" s="21"/>
      <c r="O995" s="21"/>
      <c r="P995" s="21"/>
      <c r="Q995" s="21"/>
      <c r="R995" s="21"/>
      <c r="S995" s="21"/>
      <c r="T995" s="21"/>
      <c r="U995" s="9" t="s">
        <v>439</v>
      </c>
      <c r="V995" s="9" t="s">
        <v>440</v>
      </c>
    </row>
    <row r="996" ht="14.25" customHeight="1">
      <c r="A996" s="9" t="s">
        <v>1857</v>
      </c>
      <c r="B996" s="9" t="s">
        <v>1851</v>
      </c>
      <c r="C996" s="9" t="str">
        <f t="array" ref="C996">INDEX(Funciones!$G$2:$G$372,MATCH($A996,Funciones!$B$2:$B$372,0))</f>
        <v>Impedir el remonte de pestaña con cota qR ≥ 6,5 mm</v>
      </c>
      <c r="D996" s="9" t="s">
        <v>3230</v>
      </c>
      <c r="E996" s="9" t="s">
        <v>1134</v>
      </c>
      <c r="F996" s="9" t="s">
        <v>3231</v>
      </c>
      <c r="G996" s="9" t="s">
        <v>3232</v>
      </c>
      <c r="H996" s="18" t="str">
        <f t="array" ref="H996">_xlfn.XLOOKUP(E:E,'Calificación consecuencia'!B:B,'Calificación consecuencia'!K:K,"No encontrada",2)</f>
        <v>Media</v>
      </c>
      <c r="I996" s="9" t="s">
        <v>1800</v>
      </c>
      <c r="J996" s="22" t="s">
        <v>120</v>
      </c>
      <c r="K996" s="20" t="s">
        <v>116</v>
      </c>
      <c r="L996" s="21"/>
      <c r="M996" s="21"/>
      <c r="N996" s="21"/>
      <c r="O996" s="21"/>
      <c r="P996" s="21"/>
      <c r="Q996" s="21"/>
      <c r="R996" s="21"/>
      <c r="S996" s="21"/>
      <c r="T996" s="21"/>
      <c r="U996" s="9" t="s">
        <v>439</v>
      </c>
      <c r="V996" s="9" t="s">
        <v>440</v>
      </c>
    </row>
    <row r="997" ht="14.25" customHeight="1">
      <c r="A997" s="9" t="s">
        <v>1857</v>
      </c>
      <c r="B997" s="9" t="s">
        <v>1851</v>
      </c>
      <c r="C997" s="9" t="str">
        <f t="array" ref="C997">INDEX(Funciones!$G$2:$G$372,MATCH($A997,Funciones!$B$2:$B$372,0))</f>
        <v>Impedir el remonte de pestaña con cota qR ≥ 6,5 mm</v>
      </c>
      <c r="D997" s="9" t="s">
        <v>3230</v>
      </c>
      <c r="E997" s="9" t="s">
        <v>1141</v>
      </c>
      <c r="F997" s="9" t="s">
        <v>3250</v>
      </c>
      <c r="G997" s="9" t="s">
        <v>3251</v>
      </c>
      <c r="H997" s="18" t="str">
        <f t="array" ref="H997">_xlfn.XLOOKUP(E:E,'Calificación consecuencia'!B:B,'Calificación consecuencia'!K:K,"No encontrada",2)</f>
        <v>Media</v>
      </c>
      <c r="I997" s="9" t="s">
        <v>425</v>
      </c>
      <c r="J997" s="22" t="s">
        <v>120</v>
      </c>
      <c r="K997" s="20" t="s">
        <v>116</v>
      </c>
      <c r="L997" s="21"/>
      <c r="M997" s="21"/>
      <c r="N997" s="21"/>
      <c r="O997" s="21"/>
      <c r="P997" s="21"/>
      <c r="Q997" s="21"/>
      <c r="R997" s="21"/>
      <c r="S997" s="21"/>
      <c r="T997" s="21"/>
      <c r="U997" s="9" t="s">
        <v>439</v>
      </c>
      <c r="V997" s="9" t="s">
        <v>440</v>
      </c>
    </row>
    <row r="998" ht="14.25" customHeight="1">
      <c r="A998" s="9" t="s">
        <v>1857</v>
      </c>
      <c r="B998" s="9" t="s">
        <v>1851</v>
      </c>
      <c r="C998" s="9" t="str">
        <f t="array" ref="C998">INDEX(Funciones!$G$2:$G$372,MATCH($A998,Funciones!$B$2:$B$372,0))</f>
        <v>Impedir el remonte de pestaña con cota qR ≥ 6,5 mm</v>
      </c>
      <c r="D998" s="9" t="s">
        <v>3230</v>
      </c>
      <c r="E998" s="9" t="s">
        <v>1147</v>
      </c>
      <c r="F998" s="9" t="s">
        <v>3271</v>
      </c>
      <c r="G998" s="9" t="s">
        <v>3272</v>
      </c>
      <c r="H998" s="18" t="str">
        <f t="array" ref="H998">_xlfn.XLOOKUP(E:E,'Calificación consecuencia'!B:B,'Calificación consecuencia'!K:K,"No encontrada",2)</f>
        <v>Media</v>
      </c>
      <c r="I998" s="9" t="s">
        <v>1800</v>
      </c>
      <c r="J998" s="22" t="s">
        <v>120</v>
      </c>
      <c r="K998" s="20" t="s">
        <v>116</v>
      </c>
      <c r="L998" s="21"/>
      <c r="M998" s="21"/>
      <c r="N998" s="21"/>
      <c r="O998" s="21"/>
      <c r="P998" s="21"/>
      <c r="Q998" s="21"/>
      <c r="R998" s="21"/>
      <c r="S998" s="21"/>
      <c r="T998" s="21"/>
      <c r="U998" s="9" t="s">
        <v>439</v>
      </c>
      <c r="V998" s="9" t="s">
        <v>440</v>
      </c>
    </row>
    <row r="999" ht="14.25" customHeight="1">
      <c r="A999" s="27" t="s">
        <v>1859</v>
      </c>
      <c r="B999" s="27" t="s">
        <v>1851</v>
      </c>
      <c r="C999" s="27" t="str">
        <f t="array" ref="C999">INDEX(Funciones!$G$2:$G$372,MATCH($A999,Funciones!$B$2:$B$372,0))</f>
        <v>Mantener la distancia entre ruedas de 1.357 a 1.363 mm</v>
      </c>
      <c r="D999" s="27" t="s">
        <v>3523</v>
      </c>
      <c r="E999" s="27" t="s">
        <v>1644</v>
      </c>
      <c r="F999" s="27" t="s">
        <v>3524</v>
      </c>
      <c r="G999" s="27" t="s">
        <v>3525</v>
      </c>
      <c r="H999" s="18" t="str">
        <f t="array" ref="H999">_xlfn.XLOOKUP(E:E,'Calificación consecuencia'!B:B,'Calificación consecuencia'!K:K,"No encontrada",2)</f>
        <v>Baja</v>
      </c>
      <c r="I999" s="27" t="s">
        <v>425</v>
      </c>
      <c r="J999" s="29" t="s">
        <v>120</v>
      </c>
      <c r="K999" s="30" t="s">
        <v>116</v>
      </c>
      <c r="L999" s="21"/>
      <c r="M999" s="21"/>
      <c r="N999" s="21"/>
      <c r="O999" s="21"/>
      <c r="P999" s="21"/>
      <c r="Q999" s="21"/>
      <c r="R999" s="21"/>
      <c r="S999" s="21"/>
      <c r="T999" s="21"/>
      <c r="U999" s="27" t="s">
        <v>439</v>
      </c>
      <c r="V999" s="27" t="s">
        <v>440</v>
      </c>
    </row>
    <row r="1000" ht="14.25" customHeight="1">
      <c r="A1000" s="27" t="s">
        <v>1859</v>
      </c>
      <c r="B1000" s="27" t="s">
        <v>1851</v>
      </c>
      <c r="C1000" s="27" t="str">
        <f t="array" ref="C1000">INDEX(Funciones!$G$2:$G$372,MATCH($A1000,Funciones!$B$2:$B$372,0))</f>
        <v>Mantener la distancia entre ruedas de 1.357 a 1.363 mm</v>
      </c>
      <c r="D1000" s="27" t="s">
        <v>3526</v>
      </c>
      <c r="E1000" s="27" t="s">
        <v>1650</v>
      </c>
      <c r="F1000" s="27" t="s">
        <v>3527</v>
      </c>
      <c r="G1000" s="27" t="s">
        <v>3528</v>
      </c>
      <c r="H1000" s="18" t="str">
        <f t="array" ref="H1000">_xlfn.XLOOKUP(E:E,'Calificación consecuencia'!B:B,'Calificación consecuencia'!K:K,"No encontrada",2)</f>
        <v>Baja</v>
      </c>
      <c r="I1000" s="27" t="s">
        <v>1351</v>
      </c>
      <c r="J1000" s="29" t="s">
        <v>120</v>
      </c>
      <c r="K1000" s="30" t="s">
        <v>116</v>
      </c>
      <c r="L1000" s="21"/>
      <c r="M1000" s="21"/>
      <c r="N1000" s="21"/>
      <c r="O1000" s="21"/>
      <c r="P1000" s="21"/>
      <c r="Q1000" s="21"/>
      <c r="R1000" s="21"/>
      <c r="S1000" s="21"/>
      <c r="T1000" s="21"/>
      <c r="U1000" s="27" t="s">
        <v>439</v>
      </c>
      <c r="V1000" s="27" t="s">
        <v>440</v>
      </c>
    </row>
    <row r="1001" ht="14.25" customHeight="1">
      <c r="A1001" s="27" t="s">
        <v>1859</v>
      </c>
      <c r="B1001" s="27" t="s">
        <v>1851</v>
      </c>
      <c r="C1001" s="27" t="str">
        <f t="array" ref="C1001">INDEX(Funciones!$G$2:$G$372,MATCH($A1001,Funciones!$B$2:$B$372,0))</f>
        <v>Mantener la distancia entre ruedas de 1.357 a 1.363 mm</v>
      </c>
      <c r="D1001" s="27" t="s">
        <v>3529</v>
      </c>
      <c r="E1001" s="27" t="s">
        <v>1655</v>
      </c>
      <c r="F1001" s="27" t="s">
        <v>3530</v>
      </c>
      <c r="G1001" s="27" t="s">
        <v>3531</v>
      </c>
      <c r="H1001" s="18" t="str">
        <f t="array" ref="H1001">_xlfn.XLOOKUP(E:E,'Calificación consecuencia'!B:B,'Calificación consecuencia'!K:K,"No encontrada",2)</f>
        <v>Baja</v>
      </c>
      <c r="I1001" s="27" t="s">
        <v>1800</v>
      </c>
      <c r="J1001" s="29" t="s">
        <v>120</v>
      </c>
      <c r="K1001" s="30" t="s">
        <v>116</v>
      </c>
      <c r="L1001" s="21"/>
      <c r="M1001" s="21"/>
      <c r="N1001" s="21"/>
      <c r="O1001" s="21"/>
      <c r="P1001" s="21"/>
      <c r="Q1001" s="21"/>
      <c r="R1001" s="21"/>
      <c r="S1001" s="21"/>
      <c r="T1001" s="21"/>
      <c r="U1001" s="27" t="s">
        <v>439</v>
      </c>
      <c r="V1001" s="27" t="s">
        <v>440</v>
      </c>
    </row>
    <row r="1002" ht="14.25" customHeight="1">
      <c r="A1002" s="9" t="s">
        <v>1862</v>
      </c>
      <c r="B1002" s="9" t="s">
        <v>1851</v>
      </c>
      <c r="C1002" s="9" t="str">
        <f t="array" ref="C1002">INDEX(Funciones!$G$2:$G$372,MATCH($A1002,Funciones!$B$2:$B$372,0))</f>
        <v>Guiar el eje con pestaña de _____ mm</v>
      </c>
      <c r="D1002" s="9" t="s">
        <v>4093</v>
      </c>
      <c r="E1002" s="9" t="s">
        <v>1127</v>
      </c>
      <c r="F1002" s="9" t="s">
        <v>4094</v>
      </c>
      <c r="G1002" s="9" t="s">
        <v>3222</v>
      </c>
      <c r="H1002" s="18" t="str">
        <f t="array" ref="H1002">_xlfn.XLOOKUP(E:E,'Calificación consecuencia'!B:B,'Calificación consecuencia'!K:K,"No encontrada",2)</f>
        <v>Baja</v>
      </c>
      <c r="I1002" s="9" t="s">
        <v>425</v>
      </c>
      <c r="J1002" s="22" t="s">
        <v>120</v>
      </c>
      <c r="K1002" s="20" t="s">
        <v>116</v>
      </c>
      <c r="L1002" s="21"/>
      <c r="M1002" s="21"/>
      <c r="N1002" s="21"/>
      <c r="O1002" s="21"/>
      <c r="P1002" s="21"/>
      <c r="Q1002" s="21"/>
      <c r="R1002" s="21"/>
      <c r="S1002" s="21"/>
      <c r="T1002" s="21"/>
      <c r="U1002" s="9" t="s">
        <v>439</v>
      </c>
      <c r="V1002" s="9" t="s">
        <v>440</v>
      </c>
    </row>
    <row r="1003" ht="14.25" customHeight="1">
      <c r="A1003" s="9" t="s">
        <v>1862</v>
      </c>
      <c r="B1003" s="9" t="s">
        <v>1851</v>
      </c>
      <c r="C1003" s="9" t="str">
        <f t="array" ref="C1003">INDEX(Funciones!$G$2:$G$372,MATCH($A1003,Funciones!$B$2:$B$372,0))</f>
        <v>Guiar el eje con pestaña de _____ mm</v>
      </c>
      <c r="D1003" s="9" t="s">
        <v>4095</v>
      </c>
      <c r="E1003" s="9" t="s">
        <v>3154</v>
      </c>
      <c r="F1003" s="9" t="s">
        <v>4096</v>
      </c>
      <c r="G1003" s="9" t="s">
        <v>3232</v>
      </c>
      <c r="H1003" s="18" t="str">
        <f t="array" ref="H1003">_xlfn.XLOOKUP(E:E,'Calificación consecuencia'!B:B,'Calificación consecuencia'!K:K,"No encontrada",2)</f>
        <v>Media</v>
      </c>
      <c r="I1003" s="9" t="s">
        <v>1800</v>
      </c>
      <c r="J1003" s="22" t="s">
        <v>120</v>
      </c>
      <c r="K1003" s="20" t="s">
        <v>116</v>
      </c>
      <c r="L1003" s="21"/>
      <c r="M1003" s="21"/>
      <c r="N1003" s="21"/>
      <c r="O1003" s="21"/>
      <c r="P1003" s="21"/>
      <c r="Q1003" s="21"/>
      <c r="R1003" s="21"/>
      <c r="S1003" s="21"/>
      <c r="T1003" s="21"/>
      <c r="U1003" s="9" t="s">
        <v>439</v>
      </c>
      <c r="V1003" s="9" t="s">
        <v>440</v>
      </c>
    </row>
    <row r="1004" ht="14.25" customHeight="1">
      <c r="A1004" s="9" t="s">
        <v>1862</v>
      </c>
      <c r="B1004" s="9" t="s">
        <v>1851</v>
      </c>
      <c r="C1004" s="9" t="str">
        <f t="array" ref="C1004">INDEX(Funciones!$G$2:$G$372,MATCH($A1004,Funciones!$B$2:$B$372,0))</f>
        <v>Guiar el eje con pestaña de _____ mm</v>
      </c>
      <c r="D1004" s="9" t="s">
        <v>4095</v>
      </c>
      <c r="E1004" s="9" t="s">
        <v>1141</v>
      </c>
      <c r="F1004" s="9" t="s">
        <v>4097</v>
      </c>
      <c r="G1004" s="9" t="s">
        <v>3251</v>
      </c>
      <c r="H1004" s="18" t="str">
        <f t="array" ref="H1004">_xlfn.XLOOKUP(E:E,'Calificación consecuencia'!B:B,'Calificación consecuencia'!K:K,"No encontrada",2)</f>
        <v>Media</v>
      </c>
      <c r="I1004" s="9" t="s">
        <v>425</v>
      </c>
      <c r="J1004" s="22" t="s">
        <v>120</v>
      </c>
      <c r="K1004" s="20" t="s">
        <v>116</v>
      </c>
      <c r="L1004" s="21"/>
      <c r="M1004" s="21"/>
      <c r="N1004" s="21"/>
      <c r="O1004" s="21"/>
      <c r="P1004" s="21"/>
      <c r="Q1004" s="21"/>
      <c r="R1004" s="21"/>
      <c r="S1004" s="21"/>
      <c r="T1004" s="21"/>
      <c r="U1004" s="9" t="s">
        <v>439</v>
      </c>
      <c r="V1004" s="9" t="s">
        <v>440</v>
      </c>
    </row>
    <row r="1005" ht="14.25" customHeight="1">
      <c r="A1005" s="27" t="s">
        <v>1864</v>
      </c>
      <c r="B1005" s="27" t="s">
        <v>1863</v>
      </c>
      <c r="C1005" s="27" t="str">
        <f t="array" ref="C1005">INDEX(Funciones!$G$2:$G$372,MATCH($A1005,Funciones!$B$2:$B$372,0))</f>
        <v>Acoplar vehículos con tracción de _____ kN</v>
      </c>
      <c r="D1005" s="27" t="s">
        <v>4102</v>
      </c>
      <c r="E1005" s="27" t="s">
        <v>3185</v>
      </c>
      <c r="F1005" s="27" t="s">
        <v>4103</v>
      </c>
      <c r="G1005" s="27" t="s">
        <v>4104</v>
      </c>
      <c r="H1005" s="18" t="str">
        <f t="array" ref="H1005">_xlfn.XLOOKUP(E:E,'Calificación consecuencia'!B:B,'Calificación consecuencia'!K:K,"No encontrada",2)</f>
        <v>Media</v>
      </c>
      <c r="I1005" s="27" t="s">
        <v>425</v>
      </c>
      <c r="J1005" s="30" t="s">
        <v>116</v>
      </c>
      <c r="K1005" s="21"/>
      <c r="L1005" s="21"/>
      <c r="M1005" s="30" t="s">
        <v>116</v>
      </c>
      <c r="N1005" s="29" t="s">
        <v>120</v>
      </c>
      <c r="O1005" s="21"/>
      <c r="P1005" s="21"/>
      <c r="Q1005" s="21"/>
      <c r="R1005" s="21"/>
      <c r="S1005" s="21"/>
      <c r="T1005" s="21"/>
      <c r="U1005" s="27" t="s">
        <v>230</v>
      </c>
      <c r="V1005" s="27" t="s">
        <v>230</v>
      </c>
    </row>
    <row r="1006" ht="14.25" customHeight="1">
      <c r="A1006" s="27" t="s">
        <v>1864</v>
      </c>
      <c r="B1006" s="27" t="s">
        <v>1863</v>
      </c>
      <c r="C1006" s="27" t="str">
        <f t="array" ref="C1006">INDEX(Funciones!$G$2:$G$372,MATCH($A1006,Funciones!$B$2:$B$372,0))</f>
        <v>Acoplar vehículos con tracción de _____ kN</v>
      </c>
      <c r="D1006" s="27" t="s">
        <v>4102</v>
      </c>
      <c r="E1006" s="27" t="s">
        <v>3190</v>
      </c>
      <c r="F1006" s="27" t="s">
        <v>4105</v>
      </c>
      <c r="G1006" s="27" t="s">
        <v>4106</v>
      </c>
      <c r="H1006" s="18" t="str">
        <f t="array" ref="H1006">_xlfn.XLOOKUP(E:E,'Calificación consecuencia'!B:B,'Calificación consecuencia'!K:K,"No encontrada",2)</f>
        <v>Media</v>
      </c>
      <c r="I1006" s="27" t="s">
        <v>425</v>
      </c>
      <c r="J1006" s="30" t="s">
        <v>116</v>
      </c>
      <c r="K1006" s="21"/>
      <c r="L1006" s="21"/>
      <c r="M1006" s="30" t="s">
        <v>116</v>
      </c>
      <c r="N1006" s="30" t="s">
        <v>116</v>
      </c>
      <c r="O1006" s="21"/>
      <c r="P1006" s="21"/>
      <c r="Q1006" s="21"/>
      <c r="R1006" s="21"/>
      <c r="S1006" s="21"/>
      <c r="T1006" s="21"/>
      <c r="U1006" s="27" t="s">
        <v>195</v>
      </c>
      <c r="V1006" s="27" t="s">
        <v>196</v>
      </c>
    </row>
    <row r="1007" ht="14.25" customHeight="1">
      <c r="A1007" s="27" t="s">
        <v>1864</v>
      </c>
      <c r="B1007" s="27" t="s">
        <v>1863</v>
      </c>
      <c r="C1007" s="27" t="str">
        <f t="array" ref="C1007">INDEX(Funciones!$G$2:$G$372,MATCH($A1007,Funciones!$B$2:$B$372,0))</f>
        <v>Acoplar vehículos con tracción de _____ kN</v>
      </c>
      <c r="D1007" s="27" t="s">
        <v>4102</v>
      </c>
      <c r="E1007" s="27" t="s">
        <v>3196</v>
      </c>
      <c r="F1007" s="27" t="s">
        <v>4107</v>
      </c>
      <c r="G1007" s="27" t="s">
        <v>4108</v>
      </c>
      <c r="H1007" s="18" t="str">
        <f t="array" ref="H1007">_xlfn.XLOOKUP(E:E,'Calificación consecuencia'!B:B,'Calificación consecuencia'!K:K,"No encontrada",2)</f>
        <v>Media</v>
      </c>
      <c r="I1007" s="27" t="s">
        <v>425</v>
      </c>
      <c r="J1007" s="30" t="s">
        <v>116</v>
      </c>
      <c r="K1007" s="21"/>
      <c r="L1007" s="21"/>
      <c r="M1007" s="30" t="s">
        <v>116</v>
      </c>
      <c r="N1007" s="30" t="s">
        <v>116</v>
      </c>
      <c r="O1007" s="21"/>
      <c r="P1007" s="21"/>
      <c r="Q1007" s="21"/>
      <c r="R1007" s="21"/>
      <c r="S1007" s="21"/>
      <c r="T1007" s="21"/>
      <c r="U1007" s="27" t="s">
        <v>195</v>
      </c>
      <c r="V1007" s="27" t="s">
        <v>196</v>
      </c>
    </row>
    <row r="1008" ht="14.25" customHeight="1">
      <c r="A1008" s="27" t="s">
        <v>1864</v>
      </c>
      <c r="B1008" s="27" t="s">
        <v>1863</v>
      </c>
      <c r="C1008" s="27" t="str">
        <f t="array" ref="C1008">INDEX(Funciones!$G$2:$G$372,MATCH($A1008,Funciones!$B$2:$B$372,0))</f>
        <v>Acoplar vehículos con tracción de _____ kN</v>
      </c>
      <c r="D1008" s="27" t="s">
        <v>4109</v>
      </c>
      <c r="E1008" s="27" t="s">
        <v>3201</v>
      </c>
      <c r="F1008" s="27" t="s">
        <v>4110</v>
      </c>
      <c r="G1008" s="27" t="s">
        <v>4111</v>
      </c>
      <c r="H1008" s="18" t="str">
        <f t="array" ref="H1008">_xlfn.XLOOKUP(E:E,'Calificación consecuencia'!B:B,'Calificación consecuencia'!K:K,"No encontrada",2)</f>
        <v>Baja</v>
      </c>
      <c r="I1008" s="27" t="s">
        <v>425</v>
      </c>
      <c r="J1008" s="30" t="s">
        <v>116</v>
      </c>
      <c r="K1008" s="21"/>
      <c r="L1008" s="21"/>
      <c r="M1008" s="30" t="s">
        <v>116</v>
      </c>
      <c r="N1008" s="30" t="s">
        <v>116</v>
      </c>
      <c r="O1008" s="21"/>
      <c r="P1008" s="21"/>
      <c r="Q1008" s="21"/>
      <c r="R1008" s="21"/>
      <c r="S1008" s="21"/>
      <c r="T1008" s="21"/>
      <c r="U1008" s="27" t="s">
        <v>195</v>
      </c>
      <c r="V1008" s="27" t="s">
        <v>196</v>
      </c>
    </row>
    <row r="1009" ht="14.25" customHeight="1">
      <c r="A1009" s="9" t="s">
        <v>1867</v>
      </c>
      <c r="B1009" s="9" t="s">
        <v>1863</v>
      </c>
      <c r="C1009" s="9" t="str">
        <f t="array" ref="C1009">INDEX(Funciones!$G$2:$G$372,MATCH($A1009,Funciones!$B$2:$B$372,0))</f>
        <v>Mantener la altura del enganche entre _____ y _____ mm</v>
      </c>
      <c r="D1009" s="9" t="s">
        <v>4112</v>
      </c>
      <c r="E1009" s="9" t="s">
        <v>3210</v>
      </c>
      <c r="F1009" s="9" t="s">
        <v>4113</v>
      </c>
      <c r="G1009" s="9" t="s">
        <v>4114</v>
      </c>
      <c r="H1009" s="18" t="str">
        <f t="array" ref="H1009">_xlfn.XLOOKUP(E:E,'Calificación consecuencia'!B:B,'Calificación consecuencia'!K:K,"No encontrada",2)</f>
        <v>Baja</v>
      </c>
      <c r="I1009" s="9" t="s">
        <v>1351</v>
      </c>
      <c r="J1009" s="20" t="s">
        <v>116</v>
      </c>
      <c r="K1009" s="21"/>
      <c r="L1009" s="21"/>
      <c r="M1009" s="20" t="s">
        <v>116</v>
      </c>
      <c r="N1009" s="20" t="s">
        <v>116</v>
      </c>
      <c r="O1009" s="21"/>
      <c r="P1009" s="21"/>
      <c r="Q1009" s="21"/>
      <c r="R1009" s="21"/>
      <c r="S1009" s="21"/>
      <c r="T1009" s="21"/>
      <c r="U1009" s="9" t="s">
        <v>195</v>
      </c>
      <c r="V1009" s="9" t="s">
        <v>196</v>
      </c>
    </row>
    <row r="1010" ht="14.25" customHeight="1">
      <c r="A1010" s="9" t="s">
        <v>1867</v>
      </c>
      <c r="B1010" s="9" t="s">
        <v>1863</v>
      </c>
      <c r="C1010" s="9" t="str">
        <f t="array" ref="C1010">INDEX(Funciones!$G$2:$G$372,MATCH($A1010,Funciones!$B$2:$B$372,0))</f>
        <v>Mantener la altura del enganche entre _____ y _____ mm</v>
      </c>
      <c r="D1010" s="9" t="s">
        <v>4115</v>
      </c>
      <c r="E1010" s="9" t="s">
        <v>3217</v>
      </c>
      <c r="F1010" s="9" t="s">
        <v>4116</v>
      </c>
      <c r="G1010" s="9" t="s">
        <v>4117</v>
      </c>
      <c r="H1010" s="18" t="str">
        <f t="array" ref="H1010">_xlfn.XLOOKUP(E:E,'Calificación consecuencia'!B:B,'Calificación consecuencia'!K:K,"No encontrada",2)</f>
        <v>Baja</v>
      </c>
      <c r="I1010" s="9" t="s">
        <v>1800</v>
      </c>
      <c r="J1010" s="20" t="s">
        <v>116</v>
      </c>
      <c r="K1010" s="21"/>
      <c r="L1010" s="21"/>
      <c r="M1010" s="22" t="s">
        <v>120</v>
      </c>
      <c r="N1010" s="21"/>
      <c r="O1010" s="20" t="s">
        <v>116</v>
      </c>
      <c r="P1010" s="20" t="s">
        <v>116</v>
      </c>
      <c r="Q1010" s="21"/>
      <c r="R1010" s="21"/>
      <c r="S1010" s="21"/>
      <c r="T1010" s="21"/>
      <c r="U1010" s="9" t="s">
        <v>345</v>
      </c>
      <c r="V1010" s="9" t="s">
        <v>196</v>
      </c>
    </row>
    <row r="1011" ht="14.25" customHeight="1">
      <c r="A1011" s="9" t="s">
        <v>1867</v>
      </c>
      <c r="B1011" s="9" t="s">
        <v>1863</v>
      </c>
      <c r="C1011" s="9" t="str">
        <f t="array" ref="C1011">INDEX(Funciones!$G$2:$G$372,MATCH($A1011,Funciones!$B$2:$B$372,0))</f>
        <v>Mantener la altura del enganche entre _____ y _____ mm</v>
      </c>
      <c r="D1011" s="9" t="s">
        <v>4118</v>
      </c>
      <c r="E1011" s="9" t="s">
        <v>3225</v>
      </c>
      <c r="F1011" s="9" t="s">
        <v>4119</v>
      </c>
      <c r="G1011" s="9" t="s">
        <v>4120</v>
      </c>
      <c r="H1011" s="18" t="str">
        <f t="array" ref="H1011">_xlfn.XLOOKUP(E:E,'Calificación consecuencia'!B:B,'Calificación consecuencia'!K:K,"No encontrada",2)</f>
        <v>Media</v>
      </c>
      <c r="I1011" s="9" t="s">
        <v>1800</v>
      </c>
      <c r="J1011" s="20" t="s">
        <v>116</v>
      </c>
      <c r="K1011" s="21"/>
      <c r="L1011" s="21"/>
      <c r="M1011" s="22" t="s">
        <v>120</v>
      </c>
      <c r="N1011" s="21"/>
      <c r="O1011" s="20" t="s">
        <v>116</v>
      </c>
      <c r="P1011" s="22" t="s">
        <v>120</v>
      </c>
      <c r="Q1011" s="22" t="s">
        <v>120</v>
      </c>
      <c r="R1011" s="22" t="s">
        <v>120</v>
      </c>
      <c r="S1011" s="21"/>
      <c r="T1011" s="21"/>
      <c r="U1011" s="9" t="s">
        <v>230</v>
      </c>
      <c r="V1011" s="9" t="s">
        <v>230</v>
      </c>
    </row>
    <row r="1012" ht="14.25" customHeight="1">
      <c r="A1012" s="27" t="s">
        <v>1872</v>
      </c>
      <c r="B1012" s="27" t="s">
        <v>1871</v>
      </c>
      <c r="C1012" s="27" t="str">
        <f t="array" ref="C1012">INDEX(Funciones!$G$2:$G$372,MATCH($A1012,Funciones!$B$2:$B$372,0))</f>
        <v>Circular por la vía hasta 50 km/h</v>
      </c>
      <c r="D1012" s="27" t="s">
        <v>4381</v>
      </c>
      <c r="E1012" s="27" t="s">
        <v>3619</v>
      </c>
      <c r="F1012" s="27" t="s">
        <v>4382</v>
      </c>
      <c r="G1012" s="27" t="s">
        <v>4383</v>
      </c>
      <c r="H1012" s="18" t="str">
        <f t="array" ref="H1012">_xlfn.XLOOKUP(E:E,'Calificación consecuencia'!B:B,'Calificación consecuencia'!K:K,"No encontrada",2)</f>
        <v>Baja</v>
      </c>
      <c r="I1012" s="27" t="s">
        <v>339</v>
      </c>
      <c r="J1012" s="30" t="s">
        <v>116</v>
      </c>
      <c r="K1012" s="21"/>
      <c r="L1012" s="21"/>
      <c r="M1012" s="29" t="s">
        <v>120</v>
      </c>
      <c r="N1012" s="21"/>
      <c r="O1012" s="30" t="s">
        <v>116</v>
      </c>
      <c r="P1012" s="30" t="s">
        <v>116</v>
      </c>
      <c r="Q1012" s="21"/>
      <c r="R1012" s="21"/>
      <c r="S1012" s="21"/>
      <c r="T1012" s="21"/>
      <c r="U1012" s="27" t="s">
        <v>345</v>
      </c>
      <c r="V1012" s="27" t="s">
        <v>196</v>
      </c>
    </row>
    <row r="1013" ht="14.25" customHeight="1">
      <c r="A1013" s="27" t="s">
        <v>1872</v>
      </c>
      <c r="B1013" s="27" t="s">
        <v>1871</v>
      </c>
      <c r="C1013" s="27" t="str">
        <f t="array" ref="C1013">INDEX(Funciones!$G$2:$G$372,MATCH($A1013,Funciones!$B$2:$B$372,0))</f>
        <v>Circular por la vía hasta 50 km/h</v>
      </c>
      <c r="D1013" s="27" t="s">
        <v>4381</v>
      </c>
      <c r="E1013" s="27" t="s">
        <v>3621</v>
      </c>
      <c r="F1013" s="27" t="s">
        <v>4384</v>
      </c>
      <c r="G1013" s="27" t="s">
        <v>4385</v>
      </c>
      <c r="H1013" s="18" t="str">
        <f t="array" ref="H1013">_xlfn.XLOOKUP(E:E,'Calificación consecuencia'!B:B,'Calificación consecuencia'!K:K,"No encontrada",2)</f>
        <v>Baja</v>
      </c>
      <c r="I1013" s="27" t="s">
        <v>1449</v>
      </c>
      <c r="J1013" s="30" t="s">
        <v>116</v>
      </c>
      <c r="K1013" s="21"/>
      <c r="L1013" s="21"/>
      <c r="M1013" s="29" t="s">
        <v>120</v>
      </c>
      <c r="N1013" s="21"/>
      <c r="O1013" s="30" t="s">
        <v>116</v>
      </c>
      <c r="P1013" s="30" t="s">
        <v>116</v>
      </c>
      <c r="Q1013" s="21"/>
      <c r="R1013" s="21"/>
      <c r="S1013" s="21"/>
      <c r="T1013" s="21"/>
      <c r="U1013" s="27" t="s">
        <v>345</v>
      </c>
      <c r="V1013" s="27" t="s">
        <v>196</v>
      </c>
    </row>
    <row r="1014" ht="14.25" customHeight="1">
      <c r="A1014" s="27" t="s">
        <v>1872</v>
      </c>
      <c r="B1014" s="27" t="s">
        <v>1871</v>
      </c>
      <c r="C1014" s="27" t="str">
        <f t="array" ref="C1014">INDEX(Funciones!$G$2:$G$372,MATCH($A1014,Funciones!$B$2:$B$372,0))</f>
        <v>Circular por la vía hasta 50 km/h</v>
      </c>
      <c r="D1014" s="27" t="s">
        <v>4386</v>
      </c>
      <c r="E1014" s="27" t="s">
        <v>1794</v>
      </c>
      <c r="F1014" s="27" t="s">
        <v>4387</v>
      </c>
      <c r="G1014" s="27" t="s">
        <v>3614</v>
      </c>
      <c r="H1014" s="18" t="str">
        <f t="array" ref="H1014">_xlfn.XLOOKUP(E:E,'Calificación consecuencia'!B:B,'Calificación consecuencia'!K:K,"No encontrada",2)</f>
        <v>Baja</v>
      </c>
      <c r="I1014" s="27" t="s">
        <v>1800</v>
      </c>
      <c r="J1014" s="30" t="s">
        <v>116</v>
      </c>
      <c r="K1014" s="21"/>
      <c r="L1014" s="21"/>
      <c r="M1014" s="29" t="s">
        <v>120</v>
      </c>
      <c r="N1014" s="21"/>
      <c r="O1014" s="30" t="s">
        <v>116</v>
      </c>
      <c r="P1014" s="30" t="s">
        <v>116</v>
      </c>
      <c r="Q1014" s="21"/>
      <c r="R1014" s="21"/>
      <c r="S1014" s="21"/>
      <c r="T1014" s="21"/>
      <c r="U1014" s="27" t="s">
        <v>345</v>
      </c>
      <c r="V1014" s="27" t="s">
        <v>196</v>
      </c>
    </row>
    <row r="1015" ht="14.25" customHeight="1">
      <c r="A1015" s="27" t="s">
        <v>1872</v>
      </c>
      <c r="B1015" s="27" t="s">
        <v>1871</v>
      </c>
      <c r="C1015" s="27" t="str">
        <f t="array" ref="C1015">INDEX(Funciones!$G$2:$G$372,MATCH($A1015,Funciones!$B$2:$B$372,0))</f>
        <v>Circular por la vía hasta 50 km/h</v>
      </c>
      <c r="D1015" s="27" t="s">
        <v>4386</v>
      </c>
      <c r="E1015" s="27" t="s">
        <v>2011</v>
      </c>
      <c r="F1015" s="27" t="s">
        <v>4388</v>
      </c>
      <c r="G1015" s="27" t="s">
        <v>3630</v>
      </c>
      <c r="H1015" s="18" t="str">
        <f t="array" ref="H1015">_xlfn.XLOOKUP(E:E,'Calificación consecuencia'!B:B,'Calificación consecuencia'!K:K,"No encontrada",2)</f>
        <v>Media</v>
      </c>
      <c r="I1015" s="27" t="s">
        <v>1800</v>
      </c>
      <c r="J1015" s="30" t="s">
        <v>116</v>
      </c>
      <c r="K1015" s="21"/>
      <c r="L1015" s="21"/>
      <c r="M1015" s="29" t="s">
        <v>120</v>
      </c>
      <c r="N1015" s="21"/>
      <c r="O1015" s="30" t="s">
        <v>116</v>
      </c>
      <c r="P1015" s="30" t="s">
        <v>116</v>
      </c>
      <c r="Q1015" s="21"/>
      <c r="R1015" s="21"/>
      <c r="S1015" s="21"/>
      <c r="T1015" s="21"/>
      <c r="U1015" s="27" t="s">
        <v>345</v>
      </c>
      <c r="V1015" s="27" t="s">
        <v>196</v>
      </c>
    </row>
    <row r="1016" ht="14.25" customHeight="1">
      <c r="A1016" s="27" t="s">
        <v>1872</v>
      </c>
      <c r="B1016" s="27" t="s">
        <v>1871</v>
      </c>
      <c r="C1016" s="27" t="str">
        <f t="array" ref="C1016">INDEX(Funciones!$G$2:$G$372,MATCH($A1016,Funciones!$B$2:$B$372,0))</f>
        <v>Circular por la vía hasta 50 km/h</v>
      </c>
      <c r="D1016" s="27" t="s">
        <v>4386</v>
      </c>
      <c r="E1016" s="27" t="s">
        <v>3624</v>
      </c>
      <c r="F1016" s="27" t="s">
        <v>4389</v>
      </c>
      <c r="G1016" s="27" t="s">
        <v>4390</v>
      </c>
      <c r="H1016" s="18" t="str">
        <f t="array" ref="H1016">_xlfn.XLOOKUP(E:E,'Calificación consecuencia'!B:B,'Calificación consecuencia'!K:K,"No encontrada",2)</f>
        <v>Baja</v>
      </c>
      <c r="I1016" s="27" t="s">
        <v>2106</v>
      </c>
      <c r="J1016" s="30" t="s">
        <v>116</v>
      </c>
      <c r="K1016" s="21"/>
      <c r="L1016" s="21"/>
      <c r="M1016" s="29" t="s">
        <v>120</v>
      </c>
      <c r="N1016" s="21"/>
      <c r="O1016" s="29" t="s">
        <v>120</v>
      </c>
      <c r="P1016" s="21"/>
      <c r="Q1016" s="21"/>
      <c r="R1016" s="21"/>
      <c r="S1016" s="29" t="s">
        <v>120</v>
      </c>
      <c r="T1016" s="21"/>
      <c r="U1016" s="27" t="s">
        <v>1680</v>
      </c>
      <c r="V1016" s="27" t="s">
        <v>1408</v>
      </c>
    </row>
    <row r="1017" ht="14.25" customHeight="1">
      <c r="A1017" s="9" t="s">
        <v>1881</v>
      </c>
      <c r="B1017" s="9" t="s">
        <v>1880</v>
      </c>
      <c r="C1017" s="9" t="str">
        <f t="array" ref="C1017">INDEX(Funciones!$G$2:$G$372,MATCH($A1017,Funciones!$B$2:$B$372,0))</f>
        <v>Suministrar caudal de aceite de _____ L/min</v>
      </c>
      <c r="D1017" s="9" t="s">
        <v>4391</v>
      </c>
      <c r="E1017" s="9" t="s">
        <v>854</v>
      </c>
      <c r="F1017" s="9" t="s">
        <v>2165</v>
      </c>
      <c r="G1017" s="9" t="s">
        <v>2166</v>
      </c>
      <c r="H1017" s="18" t="str">
        <f t="array" ref="H1017">_xlfn.XLOOKUP(E:E,'Calificación consecuencia'!B:B,'Calificación consecuencia'!K:K,"No encontrada",2)</f>
        <v>Media</v>
      </c>
      <c r="I1017" s="9" t="s">
        <v>1800</v>
      </c>
      <c r="J1017" s="20" t="s">
        <v>116</v>
      </c>
      <c r="K1017" s="21"/>
      <c r="L1017" s="21"/>
      <c r="M1017" s="22" t="s">
        <v>120</v>
      </c>
      <c r="N1017" s="21"/>
      <c r="O1017" s="20" t="s">
        <v>116</v>
      </c>
      <c r="P1017" s="20" t="s">
        <v>116</v>
      </c>
      <c r="Q1017" s="21"/>
      <c r="R1017" s="21"/>
      <c r="S1017" s="21"/>
      <c r="T1017" s="21"/>
      <c r="U1017" s="9" t="s">
        <v>345</v>
      </c>
      <c r="V1017" s="9" t="s">
        <v>196</v>
      </c>
    </row>
    <row r="1018" ht="14.25" customHeight="1">
      <c r="A1018" s="9" t="s">
        <v>1881</v>
      </c>
      <c r="B1018" s="9" t="s">
        <v>1880</v>
      </c>
      <c r="C1018" s="9" t="str">
        <f t="array" ref="C1018">INDEX(Funciones!$G$2:$G$372,MATCH($A1018,Funciones!$B$2:$B$372,0))</f>
        <v>Suministrar caudal de aceite de _____ L/min</v>
      </c>
      <c r="D1018" s="9" t="s">
        <v>4391</v>
      </c>
      <c r="E1018" s="9" t="s">
        <v>855</v>
      </c>
      <c r="F1018" s="9" t="s">
        <v>2194</v>
      </c>
      <c r="G1018" s="9" t="s">
        <v>2195</v>
      </c>
      <c r="H1018" s="18" t="str">
        <f t="array" ref="H1018">_xlfn.XLOOKUP(E:E,'Calificación consecuencia'!B:B,'Calificación consecuencia'!K:K,"No encontrada",2)</f>
        <v>Baja</v>
      </c>
      <c r="I1018" s="9" t="s">
        <v>1800</v>
      </c>
      <c r="J1018" s="20" t="s">
        <v>116</v>
      </c>
      <c r="K1018" s="21"/>
      <c r="L1018" s="21"/>
      <c r="M1018" s="22" t="s">
        <v>120</v>
      </c>
      <c r="N1018" s="21"/>
      <c r="O1018" s="20" t="s">
        <v>116</v>
      </c>
      <c r="P1018" s="20" t="s">
        <v>116</v>
      </c>
      <c r="Q1018" s="21"/>
      <c r="R1018" s="21"/>
      <c r="S1018" s="21"/>
      <c r="T1018" s="21"/>
      <c r="U1018" s="9" t="s">
        <v>345</v>
      </c>
      <c r="V1018" s="9" t="s">
        <v>196</v>
      </c>
    </row>
    <row r="1019" ht="14.25" customHeight="1">
      <c r="A1019" s="9" t="s">
        <v>1881</v>
      </c>
      <c r="B1019" s="9" t="s">
        <v>1880</v>
      </c>
      <c r="C1019" s="9" t="str">
        <f t="array" ref="C1019">INDEX(Funciones!$G$2:$G$372,MATCH($A1019,Funciones!$B$2:$B$372,0))</f>
        <v>Suministrar caudal de aceite de _____ L/min</v>
      </c>
      <c r="D1019" s="9" t="s">
        <v>4391</v>
      </c>
      <c r="E1019" s="9" t="s">
        <v>865</v>
      </c>
      <c r="F1019" s="9" t="s">
        <v>2222</v>
      </c>
      <c r="G1019" s="9" t="s">
        <v>2225</v>
      </c>
      <c r="H1019" s="18" t="str">
        <f t="array" ref="H1019">_xlfn.XLOOKUP(E:E,'Calificación consecuencia'!B:B,'Calificación consecuencia'!K:K,"No encontrada",2)</f>
        <v>Baja</v>
      </c>
      <c r="I1019" s="9" t="s">
        <v>2106</v>
      </c>
      <c r="J1019" s="20" t="s">
        <v>116</v>
      </c>
      <c r="K1019" s="21"/>
      <c r="L1019" s="21"/>
      <c r="M1019" s="22" t="s">
        <v>120</v>
      </c>
      <c r="N1019" s="21"/>
      <c r="O1019" s="22" t="s">
        <v>120</v>
      </c>
      <c r="P1019" s="21"/>
      <c r="Q1019" s="21"/>
      <c r="R1019" s="21"/>
      <c r="S1019" s="22" t="s">
        <v>120</v>
      </c>
      <c r="T1019" s="21"/>
      <c r="U1019" s="9" t="s">
        <v>1680</v>
      </c>
      <c r="V1019" s="9" t="s">
        <v>1408</v>
      </c>
    </row>
    <row r="1020" ht="14.25" customHeight="1">
      <c r="A1020" s="9" t="s">
        <v>1881</v>
      </c>
      <c r="B1020" s="9" t="s">
        <v>1880</v>
      </c>
      <c r="C1020" s="9" t="str">
        <f t="array" ref="C1020">INDEX(Funciones!$G$2:$G$372,MATCH($A1020,Funciones!$B$2:$B$372,0))</f>
        <v>Suministrar caudal de aceite de _____ L/min</v>
      </c>
      <c r="D1020" s="9" t="s">
        <v>4392</v>
      </c>
      <c r="E1020" s="9" t="s">
        <v>874</v>
      </c>
      <c r="F1020" s="9" t="s">
        <v>2254</v>
      </c>
      <c r="G1020" s="9" t="s">
        <v>2255</v>
      </c>
      <c r="H1020" s="18" t="str">
        <f t="array" ref="H1020">_xlfn.XLOOKUP(E:E,'Calificación consecuencia'!B:B,'Calificación consecuencia'!K:K,"No encontrada",2)</f>
        <v>Baja</v>
      </c>
      <c r="I1020" s="9" t="s">
        <v>1800</v>
      </c>
      <c r="J1020" s="20" t="s">
        <v>116</v>
      </c>
      <c r="K1020" s="21"/>
      <c r="L1020" s="21"/>
      <c r="M1020" s="22" t="s">
        <v>120</v>
      </c>
      <c r="N1020" s="21"/>
      <c r="O1020" s="20" t="s">
        <v>116</v>
      </c>
      <c r="P1020" s="20" t="s">
        <v>116</v>
      </c>
      <c r="Q1020" s="21"/>
      <c r="R1020" s="21"/>
      <c r="S1020" s="21"/>
      <c r="T1020" s="21"/>
      <c r="U1020" s="9" t="s">
        <v>345</v>
      </c>
      <c r="V1020" s="9" t="s">
        <v>196</v>
      </c>
    </row>
    <row r="1021" ht="14.25" customHeight="1">
      <c r="A1021" s="9" t="s">
        <v>1881</v>
      </c>
      <c r="B1021" s="9" t="s">
        <v>1880</v>
      </c>
      <c r="C1021" s="9" t="str">
        <f t="array" ref="C1021">INDEX(Funciones!$G$2:$G$372,MATCH($A1021,Funciones!$B$2:$B$372,0))</f>
        <v>Suministrar caudal de aceite de _____ L/min</v>
      </c>
      <c r="D1021" s="9" t="s">
        <v>4392</v>
      </c>
      <c r="E1021" s="9" t="s">
        <v>882</v>
      </c>
      <c r="F1021" s="9" t="s">
        <v>2270</v>
      </c>
      <c r="G1021" s="9" t="s">
        <v>2271</v>
      </c>
      <c r="H1021" s="18" t="str">
        <f t="array" ref="H1021">_xlfn.XLOOKUP(E:E,'Calificación consecuencia'!B:B,'Calificación consecuencia'!K:K,"No encontrada",2)</f>
        <v>Baja</v>
      </c>
      <c r="I1021" s="9" t="s">
        <v>2106</v>
      </c>
      <c r="J1021" s="20" t="s">
        <v>116</v>
      </c>
      <c r="K1021" s="21"/>
      <c r="L1021" s="21"/>
      <c r="M1021" s="22" t="s">
        <v>120</v>
      </c>
      <c r="N1021" s="21"/>
      <c r="O1021" s="22" t="s">
        <v>120</v>
      </c>
      <c r="P1021" s="21"/>
      <c r="Q1021" s="21"/>
      <c r="R1021" s="21"/>
      <c r="S1021" s="22" t="s">
        <v>120</v>
      </c>
      <c r="T1021" s="21"/>
      <c r="U1021" s="9" t="s">
        <v>1680</v>
      </c>
      <c r="V1021" s="9" t="s">
        <v>1408</v>
      </c>
    </row>
    <row r="1022" ht="14.25" customHeight="1">
      <c r="A1022" s="9" t="s">
        <v>1881</v>
      </c>
      <c r="B1022" s="9" t="s">
        <v>1880</v>
      </c>
      <c r="C1022" s="9" t="str">
        <f t="array" ref="C1022">INDEX(Funciones!$G$2:$G$372,MATCH($A1022,Funciones!$B$2:$B$372,0))</f>
        <v>Suministrar caudal de aceite de _____ L/min</v>
      </c>
      <c r="D1022" s="9" t="s">
        <v>4392</v>
      </c>
      <c r="E1022" s="9" t="s">
        <v>887</v>
      </c>
      <c r="F1022" s="9" t="s">
        <v>2296</v>
      </c>
      <c r="G1022" s="9" t="s">
        <v>2225</v>
      </c>
      <c r="H1022" s="18" t="str">
        <f t="array" ref="H1022">_xlfn.XLOOKUP(E:E,'Calificación consecuencia'!B:B,'Calificación consecuencia'!K:K,"No encontrada",2)</f>
        <v>Baja</v>
      </c>
      <c r="I1022" s="9" t="s">
        <v>2106</v>
      </c>
      <c r="J1022" s="20" t="s">
        <v>116</v>
      </c>
      <c r="K1022" s="21"/>
      <c r="L1022" s="21"/>
      <c r="M1022" s="22" t="s">
        <v>120</v>
      </c>
      <c r="N1022" s="21"/>
      <c r="O1022" s="22" t="s">
        <v>120</v>
      </c>
      <c r="P1022" s="21"/>
      <c r="Q1022" s="21"/>
      <c r="R1022" s="21"/>
      <c r="S1022" s="22" t="s">
        <v>120</v>
      </c>
      <c r="T1022" s="21"/>
      <c r="U1022" s="9" t="s">
        <v>1680</v>
      </c>
      <c r="V1022" s="9" t="s">
        <v>1408</v>
      </c>
    </row>
    <row r="1023" ht="14.25" customHeight="1">
      <c r="A1023" s="9" t="s">
        <v>1881</v>
      </c>
      <c r="B1023" s="9" t="s">
        <v>1880</v>
      </c>
      <c r="C1023" s="9" t="str">
        <f t="array" ref="C1023">INDEX(Funciones!$G$2:$G$372,MATCH($A1023,Funciones!$B$2:$B$372,0))</f>
        <v>Suministrar caudal de aceite de _____ L/min</v>
      </c>
      <c r="D1023" s="9" t="s">
        <v>4392</v>
      </c>
      <c r="E1023" s="9" t="s">
        <v>898</v>
      </c>
      <c r="F1023" s="9" t="s">
        <v>2322</v>
      </c>
      <c r="G1023" s="9" t="s">
        <v>2323</v>
      </c>
      <c r="H1023" s="18" t="str">
        <f t="array" ref="H1023">_xlfn.XLOOKUP(E:E,'Calificación consecuencia'!B:B,'Calificación consecuencia'!K:K,"No encontrada",2)</f>
        <v>Media</v>
      </c>
      <c r="I1023" s="9" t="s">
        <v>1800</v>
      </c>
      <c r="J1023" s="20" t="s">
        <v>116</v>
      </c>
      <c r="K1023" s="21"/>
      <c r="L1023" s="21"/>
      <c r="M1023" s="22" t="s">
        <v>120</v>
      </c>
      <c r="N1023" s="21"/>
      <c r="O1023" s="20" t="s">
        <v>116</v>
      </c>
      <c r="P1023" s="20" t="s">
        <v>116</v>
      </c>
      <c r="Q1023" s="21"/>
      <c r="R1023" s="21"/>
      <c r="S1023" s="21"/>
      <c r="T1023" s="21"/>
      <c r="U1023" s="9" t="s">
        <v>345</v>
      </c>
      <c r="V1023" s="9" t="s">
        <v>196</v>
      </c>
    </row>
    <row r="1024" ht="14.25" customHeight="1">
      <c r="A1024" s="9" t="s">
        <v>1881</v>
      </c>
      <c r="B1024" s="9" t="s">
        <v>1880</v>
      </c>
      <c r="C1024" s="9" t="str">
        <f t="array" ref="C1024">INDEX(Funciones!$G$2:$G$372,MATCH($A1024,Funciones!$B$2:$B$372,0))</f>
        <v>Suministrar caudal de aceite de _____ L/min</v>
      </c>
      <c r="D1024" s="9" t="s">
        <v>4392</v>
      </c>
      <c r="E1024" s="9" t="s">
        <v>902</v>
      </c>
      <c r="F1024" s="9" t="s">
        <v>2351</v>
      </c>
      <c r="G1024" s="9" t="s">
        <v>2353</v>
      </c>
      <c r="H1024" s="18" t="str">
        <f t="array" ref="H1024">_xlfn.XLOOKUP(E:E,'Calificación consecuencia'!B:B,'Calificación consecuencia'!K:K,"No encontrada",2)</f>
        <v>Baja</v>
      </c>
      <c r="I1024" s="9" t="s">
        <v>2106</v>
      </c>
      <c r="J1024" s="20" t="s">
        <v>116</v>
      </c>
      <c r="K1024" s="21"/>
      <c r="L1024" s="21"/>
      <c r="M1024" s="22" t="s">
        <v>120</v>
      </c>
      <c r="N1024" s="21"/>
      <c r="O1024" s="22" t="s">
        <v>120</v>
      </c>
      <c r="P1024" s="21"/>
      <c r="Q1024" s="21"/>
      <c r="R1024" s="21"/>
      <c r="S1024" s="22" t="s">
        <v>120</v>
      </c>
      <c r="T1024" s="21"/>
      <c r="U1024" s="9" t="s">
        <v>1680</v>
      </c>
      <c r="V1024" s="9" t="s">
        <v>1408</v>
      </c>
    </row>
    <row r="1025" ht="14.25" customHeight="1">
      <c r="A1025" s="27" t="s">
        <v>1886</v>
      </c>
      <c r="B1025" s="27" t="s">
        <v>1880</v>
      </c>
      <c r="C1025" s="27" t="str">
        <f t="array" ref="C1025">INDEX(Funciones!$G$2:$G$372,MATCH($A1025,Funciones!$B$2:$B$372,0))</f>
        <v>Generar presión hidráulica hasta _____ bar</v>
      </c>
      <c r="D1025" s="27" t="s">
        <v>4393</v>
      </c>
      <c r="E1025" s="27" t="s">
        <v>910</v>
      </c>
      <c r="F1025" s="27" t="s">
        <v>2386</v>
      </c>
      <c r="G1025" s="27" t="s">
        <v>2389</v>
      </c>
      <c r="H1025" s="18" t="str">
        <f t="array" ref="H1025">_xlfn.XLOOKUP(E:E,'Calificación consecuencia'!B:B,'Calificación consecuencia'!K:K,"No encontrada",2)</f>
        <v>Baja</v>
      </c>
      <c r="I1025" s="27" t="s">
        <v>2106</v>
      </c>
      <c r="J1025" s="30" t="s">
        <v>116</v>
      </c>
      <c r="K1025" s="21"/>
      <c r="L1025" s="21"/>
      <c r="M1025" s="29" t="s">
        <v>120</v>
      </c>
      <c r="N1025" s="21"/>
      <c r="O1025" s="29" t="s">
        <v>120</v>
      </c>
      <c r="P1025" s="21"/>
      <c r="Q1025" s="21"/>
      <c r="R1025" s="21"/>
      <c r="S1025" s="29" t="s">
        <v>120</v>
      </c>
      <c r="T1025" s="21"/>
      <c r="U1025" s="27" t="s">
        <v>1680</v>
      </c>
      <c r="V1025" s="27" t="s">
        <v>1408</v>
      </c>
    </row>
    <row r="1026" ht="14.25" customHeight="1">
      <c r="A1026" s="27" t="s">
        <v>1886</v>
      </c>
      <c r="B1026" s="27" t="s">
        <v>1880</v>
      </c>
      <c r="C1026" s="27" t="str">
        <f t="array" ref="C1026">INDEX(Funciones!$G$2:$G$372,MATCH($A1026,Funciones!$B$2:$B$372,0))</f>
        <v>Generar presión hidráulica hasta _____ bar</v>
      </c>
      <c r="D1026" s="27" t="s">
        <v>4393</v>
      </c>
      <c r="E1026" s="27" t="s">
        <v>854</v>
      </c>
      <c r="F1026" s="27" t="s">
        <v>2408</v>
      </c>
      <c r="G1026" s="27" t="s">
        <v>2166</v>
      </c>
      <c r="H1026" s="18" t="str">
        <f t="array" ref="H1026">_xlfn.XLOOKUP(E:E,'Calificación consecuencia'!B:B,'Calificación consecuencia'!K:K,"No encontrada",2)</f>
        <v>Media</v>
      </c>
      <c r="I1026" s="27" t="s">
        <v>1800</v>
      </c>
      <c r="J1026" s="30" t="s">
        <v>116</v>
      </c>
      <c r="K1026" s="21"/>
      <c r="L1026" s="21"/>
      <c r="M1026" s="29" t="s">
        <v>120</v>
      </c>
      <c r="N1026" s="21"/>
      <c r="O1026" s="30" t="s">
        <v>116</v>
      </c>
      <c r="P1026" s="30" t="s">
        <v>116</v>
      </c>
      <c r="Q1026" s="21"/>
      <c r="R1026" s="21"/>
      <c r="S1026" s="21"/>
      <c r="T1026" s="21"/>
      <c r="U1026" s="27" t="s">
        <v>345</v>
      </c>
      <c r="V1026" s="27" t="s">
        <v>196</v>
      </c>
    </row>
    <row r="1027" ht="14.25" customHeight="1">
      <c r="A1027" s="27" t="s">
        <v>1886</v>
      </c>
      <c r="B1027" s="27" t="s">
        <v>1880</v>
      </c>
      <c r="C1027" s="27" t="str">
        <f t="array" ref="C1027">INDEX(Funciones!$G$2:$G$372,MATCH($A1027,Funciones!$B$2:$B$372,0))</f>
        <v>Generar presión hidráulica hasta _____ bar</v>
      </c>
      <c r="D1027" s="27" t="s">
        <v>4393</v>
      </c>
      <c r="E1027" s="27" t="s">
        <v>930</v>
      </c>
      <c r="F1027" s="27" t="s">
        <v>2418</v>
      </c>
      <c r="G1027" s="27" t="s">
        <v>2419</v>
      </c>
      <c r="H1027" s="18" t="str">
        <f t="array" ref="H1027">_xlfn.XLOOKUP(E:E,'Calificación consecuencia'!B:B,'Calificación consecuencia'!K:K,"No encontrada",2)</f>
        <v>Baja</v>
      </c>
      <c r="I1027" s="27" t="s">
        <v>2106</v>
      </c>
      <c r="J1027" s="30" t="s">
        <v>116</v>
      </c>
      <c r="K1027" s="21"/>
      <c r="L1027" s="21"/>
      <c r="M1027" s="29" t="s">
        <v>120</v>
      </c>
      <c r="N1027" s="21"/>
      <c r="O1027" s="29" t="s">
        <v>120</v>
      </c>
      <c r="P1027" s="21"/>
      <c r="Q1027" s="21"/>
      <c r="R1027" s="21"/>
      <c r="S1027" s="29" t="s">
        <v>120</v>
      </c>
      <c r="T1027" s="21"/>
      <c r="U1027" s="27" t="s">
        <v>1680</v>
      </c>
      <c r="V1027" s="27" t="s">
        <v>1408</v>
      </c>
    </row>
    <row r="1028" ht="14.25" customHeight="1">
      <c r="A1028" s="27" t="s">
        <v>1886</v>
      </c>
      <c r="B1028" s="27" t="s">
        <v>1880</v>
      </c>
      <c r="C1028" s="27" t="str">
        <f t="array" ref="C1028">INDEX(Funciones!$G$2:$G$372,MATCH($A1028,Funciones!$B$2:$B$372,0))</f>
        <v>Generar presión hidráulica hasta _____ bar</v>
      </c>
      <c r="D1028" s="27" t="s">
        <v>4394</v>
      </c>
      <c r="E1028" s="27" t="s">
        <v>874</v>
      </c>
      <c r="F1028" s="27" t="s">
        <v>2426</v>
      </c>
      <c r="G1028" s="27" t="s">
        <v>2255</v>
      </c>
      <c r="H1028" s="18" t="str">
        <f t="array" ref="H1028">_xlfn.XLOOKUP(E:E,'Calificación consecuencia'!B:B,'Calificación consecuencia'!K:K,"No encontrada",2)</f>
        <v>Baja</v>
      </c>
      <c r="I1028" s="27" t="s">
        <v>1800</v>
      </c>
      <c r="J1028" s="30" t="s">
        <v>116</v>
      </c>
      <c r="K1028" s="21"/>
      <c r="L1028" s="21"/>
      <c r="M1028" s="29" t="s">
        <v>120</v>
      </c>
      <c r="N1028" s="21"/>
      <c r="O1028" s="30" t="s">
        <v>116</v>
      </c>
      <c r="P1028" s="30" t="s">
        <v>116</v>
      </c>
      <c r="Q1028" s="21"/>
      <c r="R1028" s="21"/>
      <c r="S1028" s="21"/>
      <c r="T1028" s="21"/>
      <c r="U1028" s="27" t="s">
        <v>345</v>
      </c>
      <c r="V1028" s="27" t="s">
        <v>196</v>
      </c>
    </row>
    <row r="1029" ht="14.25" customHeight="1">
      <c r="A1029" s="27" t="s">
        <v>1886</v>
      </c>
      <c r="B1029" s="27" t="s">
        <v>1880</v>
      </c>
      <c r="C1029" s="27" t="str">
        <f t="array" ref="C1029">INDEX(Funciones!$G$2:$G$372,MATCH($A1029,Funciones!$B$2:$B$372,0))</f>
        <v>Generar presión hidráulica hasta _____ bar</v>
      </c>
      <c r="D1029" s="27" t="s">
        <v>4394</v>
      </c>
      <c r="E1029" s="27" t="s">
        <v>948</v>
      </c>
      <c r="F1029" s="27" t="s">
        <v>2447</v>
      </c>
      <c r="G1029" s="27" t="s">
        <v>2448</v>
      </c>
      <c r="H1029" s="18" t="str">
        <f t="array" ref="H1029">_xlfn.XLOOKUP(E:E,'Calificación consecuencia'!B:B,'Calificación consecuencia'!K:K,"No encontrada",2)</f>
        <v>Baja</v>
      </c>
      <c r="I1029" s="27" t="s">
        <v>2106</v>
      </c>
      <c r="J1029" s="30" t="s">
        <v>116</v>
      </c>
      <c r="K1029" s="21"/>
      <c r="L1029" s="21"/>
      <c r="M1029" s="29" t="s">
        <v>120</v>
      </c>
      <c r="N1029" s="21"/>
      <c r="O1029" s="29" t="s">
        <v>120</v>
      </c>
      <c r="P1029" s="21"/>
      <c r="Q1029" s="21"/>
      <c r="R1029" s="21"/>
      <c r="S1029" s="29" t="s">
        <v>120</v>
      </c>
      <c r="T1029" s="21"/>
      <c r="U1029" s="27" t="s">
        <v>1680</v>
      </c>
      <c r="V1029" s="27" t="s">
        <v>1408</v>
      </c>
    </row>
    <row r="1030" ht="14.25" customHeight="1">
      <c r="A1030" s="27" t="s">
        <v>1886</v>
      </c>
      <c r="B1030" s="27" t="s">
        <v>1880</v>
      </c>
      <c r="C1030" s="27" t="str">
        <f t="array" ref="C1030">INDEX(Funciones!$G$2:$G$372,MATCH($A1030,Funciones!$B$2:$B$372,0))</f>
        <v>Generar presión hidráulica hasta _____ bar</v>
      </c>
      <c r="D1030" s="27" t="s">
        <v>4394</v>
      </c>
      <c r="E1030" s="27" t="s">
        <v>955</v>
      </c>
      <c r="F1030" s="27" t="s">
        <v>2471</v>
      </c>
      <c r="G1030" s="27" t="s">
        <v>2473</v>
      </c>
      <c r="H1030" s="18" t="str">
        <f t="array" ref="H1030">_xlfn.XLOOKUP(E:E,'Calificación consecuencia'!B:B,'Calificación consecuencia'!K:K,"No encontrada",2)</f>
        <v>Baja</v>
      </c>
      <c r="I1030" s="27" t="s">
        <v>2106</v>
      </c>
      <c r="J1030" s="30" t="s">
        <v>116</v>
      </c>
      <c r="K1030" s="21"/>
      <c r="L1030" s="21"/>
      <c r="M1030" s="29" t="s">
        <v>120</v>
      </c>
      <c r="N1030" s="21"/>
      <c r="O1030" s="29" t="s">
        <v>120</v>
      </c>
      <c r="P1030" s="21"/>
      <c r="Q1030" s="21"/>
      <c r="R1030" s="21"/>
      <c r="S1030" s="29" t="s">
        <v>120</v>
      </c>
      <c r="T1030" s="21"/>
      <c r="U1030" s="27" t="s">
        <v>1680</v>
      </c>
      <c r="V1030" s="27" t="s">
        <v>1408</v>
      </c>
    </row>
    <row r="1031" ht="14.25" customHeight="1">
      <c r="A1031" s="27" t="s">
        <v>1886</v>
      </c>
      <c r="B1031" s="27" t="s">
        <v>1880</v>
      </c>
      <c r="C1031" s="27" t="str">
        <f t="array" ref="C1031">INDEX(Funciones!$G$2:$G$372,MATCH($A1031,Funciones!$B$2:$B$372,0))</f>
        <v>Generar presión hidráulica hasta _____ bar</v>
      </c>
      <c r="D1031" s="27" t="s">
        <v>4395</v>
      </c>
      <c r="E1031" s="27" t="s">
        <v>966</v>
      </c>
      <c r="F1031" s="27" t="s">
        <v>2495</v>
      </c>
      <c r="G1031" s="27" t="s">
        <v>2498</v>
      </c>
      <c r="H1031" s="18" t="str">
        <f t="array" ref="H1031">_xlfn.XLOOKUP(E:E,'Calificación consecuencia'!B:B,'Calificación consecuencia'!K:K,"No encontrada",2)</f>
        <v>Baja</v>
      </c>
      <c r="I1031" s="27" t="s">
        <v>2106</v>
      </c>
      <c r="J1031" s="30" t="s">
        <v>116</v>
      </c>
      <c r="K1031" s="21"/>
      <c r="L1031" s="21"/>
      <c r="M1031" s="29" t="s">
        <v>120</v>
      </c>
      <c r="N1031" s="21"/>
      <c r="O1031" s="29" t="s">
        <v>120</v>
      </c>
      <c r="P1031" s="21"/>
      <c r="Q1031" s="21"/>
      <c r="R1031" s="21"/>
      <c r="S1031" s="29" t="s">
        <v>120</v>
      </c>
      <c r="T1031" s="21"/>
      <c r="U1031" s="27" t="s">
        <v>1680</v>
      </c>
      <c r="V1031" s="27" t="s">
        <v>1408</v>
      </c>
    </row>
    <row r="1032" ht="14.25" customHeight="1">
      <c r="A1032" s="9" t="s">
        <v>1891</v>
      </c>
      <c r="B1032" s="9" t="s">
        <v>1890</v>
      </c>
      <c r="C1032" s="9" t="str">
        <f t="array" ref="C1032">INDEX(Funciones!$G$2:$G$372,MATCH($A1032,Funciones!$B$2:$B$372,0))</f>
        <v>Soportar la carga sobre carril hasta _____ t</v>
      </c>
      <c r="D1032" s="9" t="s">
        <v>4396</v>
      </c>
      <c r="E1032" s="9" t="s">
        <v>3631</v>
      </c>
      <c r="F1032" s="9" t="s">
        <v>4397</v>
      </c>
      <c r="G1032" s="9" t="s">
        <v>4398</v>
      </c>
      <c r="H1032" s="18" t="str">
        <f t="array" ref="H1032">_xlfn.XLOOKUP(E:E,'Calificación consecuencia'!B:B,'Calificación consecuencia'!K:K,"No encontrada",2)</f>
        <v>Baja</v>
      </c>
      <c r="I1032" s="9" t="s">
        <v>425</v>
      </c>
      <c r="J1032" s="22" t="s">
        <v>120</v>
      </c>
      <c r="K1032" s="20" t="s">
        <v>116</v>
      </c>
      <c r="L1032" s="21"/>
      <c r="M1032" s="21"/>
      <c r="N1032" s="21"/>
      <c r="O1032" s="21"/>
      <c r="P1032" s="21"/>
      <c r="Q1032" s="21"/>
      <c r="R1032" s="21"/>
      <c r="S1032" s="21"/>
      <c r="T1032" s="21"/>
      <c r="U1032" s="9" t="s">
        <v>439</v>
      </c>
      <c r="V1032" s="9" t="s">
        <v>440</v>
      </c>
    </row>
    <row r="1033" ht="14.25" customHeight="1">
      <c r="A1033" s="9" t="s">
        <v>1891</v>
      </c>
      <c r="B1033" s="9" t="s">
        <v>1890</v>
      </c>
      <c r="C1033" s="9" t="str">
        <f t="array" ref="C1033">INDEX(Funciones!$G$2:$G$372,MATCH($A1033,Funciones!$B$2:$B$372,0))</f>
        <v>Soportar la carga sobre carril hasta _____ t</v>
      </c>
      <c r="D1033" s="9" t="s">
        <v>4399</v>
      </c>
      <c r="E1033" s="9" t="s">
        <v>3635</v>
      </c>
      <c r="F1033" s="9" t="s">
        <v>4400</v>
      </c>
      <c r="G1033" s="9" t="s">
        <v>4401</v>
      </c>
      <c r="H1033" s="18" t="str">
        <f t="array" ref="H1033">_xlfn.XLOOKUP(E:E,'Calificación consecuencia'!B:B,'Calificación consecuencia'!K:K,"No encontrada",2)</f>
        <v>Media</v>
      </c>
      <c r="I1033" s="9" t="s">
        <v>1351</v>
      </c>
      <c r="J1033" s="22" t="s">
        <v>120</v>
      </c>
      <c r="K1033" s="20" t="s">
        <v>116</v>
      </c>
      <c r="L1033" s="21"/>
      <c r="M1033" s="21"/>
      <c r="N1033" s="21"/>
      <c r="O1033" s="21"/>
      <c r="P1033" s="21"/>
      <c r="Q1033" s="21"/>
      <c r="R1033" s="21"/>
      <c r="S1033" s="21"/>
      <c r="T1033" s="21"/>
      <c r="U1033" s="9" t="s">
        <v>439</v>
      </c>
      <c r="V1033" s="9" t="s">
        <v>440</v>
      </c>
    </row>
    <row r="1034" ht="14.25" customHeight="1">
      <c r="A1034" s="27" t="s">
        <v>1902</v>
      </c>
      <c r="B1034" s="27" t="s">
        <v>1890</v>
      </c>
      <c r="C1034" s="27" t="str">
        <f t="array" ref="C1034">INDEX(Funciones!$G$2:$G$372,MATCH($A1034,Funciones!$B$2:$B$372,0))</f>
        <v>Guiar el vehículo bivial en trocha de 1.435 mm</v>
      </c>
      <c r="D1034" s="27" t="s">
        <v>4402</v>
      </c>
      <c r="E1034" s="27" t="s">
        <v>3636</v>
      </c>
      <c r="F1034" s="27" t="s">
        <v>4403</v>
      </c>
      <c r="G1034" s="27" t="s">
        <v>4404</v>
      </c>
      <c r="H1034" s="18" t="str">
        <f t="array" ref="H1034">_xlfn.XLOOKUP(E:E,'Calificación consecuencia'!B:B,'Calificación consecuencia'!K:K,"No encontrada",2)</f>
        <v>Baja</v>
      </c>
      <c r="I1034" s="27" t="s">
        <v>425</v>
      </c>
      <c r="J1034" s="30" t="s">
        <v>116</v>
      </c>
      <c r="K1034" s="21"/>
      <c r="L1034" s="21"/>
      <c r="M1034" s="30" t="s">
        <v>116</v>
      </c>
      <c r="N1034" s="30" t="s">
        <v>116</v>
      </c>
      <c r="O1034" s="21"/>
      <c r="P1034" s="21"/>
      <c r="Q1034" s="21"/>
      <c r="R1034" s="21"/>
      <c r="S1034" s="21"/>
      <c r="T1034" s="21"/>
      <c r="U1034" s="27" t="s">
        <v>195</v>
      </c>
      <c r="V1034" s="27" t="s">
        <v>196</v>
      </c>
    </row>
    <row r="1035" ht="14.25" customHeight="1">
      <c r="A1035" s="27" t="s">
        <v>1902</v>
      </c>
      <c r="B1035" s="27" t="s">
        <v>1890</v>
      </c>
      <c r="C1035" s="27" t="str">
        <f t="array" ref="C1035">INDEX(Funciones!$G$2:$G$372,MATCH($A1035,Funciones!$B$2:$B$372,0))</f>
        <v>Guiar el vehículo bivial en trocha de 1.435 mm</v>
      </c>
      <c r="D1035" s="27" t="s">
        <v>4405</v>
      </c>
      <c r="E1035" s="27" t="s">
        <v>3637</v>
      </c>
      <c r="F1035" s="27" t="s">
        <v>4406</v>
      </c>
      <c r="G1035" s="27" t="s">
        <v>4407</v>
      </c>
      <c r="H1035" s="18" t="str">
        <f t="array" ref="H1035">_xlfn.XLOOKUP(E:E,'Calificación consecuencia'!B:B,'Calificación consecuencia'!K:K,"No encontrada",2)</f>
        <v>Media</v>
      </c>
      <c r="I1035" s="27" t="s">
        <v>1351</v>
      </c>
      <c r="J1035" s="30" t="s">
        <v>116</v>
      </c>
      <c r="K1035" s="21"/>
      <c r="L1035" s="21"/>
      <c r="M1035" s="30" t="s">
        <v>116</v>
      </c>
      <c r="N1035" s="29" t="s">
        <v>120</v>
      </c>
      <c r="O1035" s="21"/>
      <c r="P1035" s="21"/>
      <c r="Q1035" s="21"/>
      <c r="R1035" s="21"/>
      <c r="S1035" s="21"/>
      <c r="T1035" s="21"/>
      <c r="U1035" s="27" t="s">
        <v>230</v>
      </c>
      <c r="V1035" s="27" t="s">
        <v>230</v>
      </c>
    </row>
    <row r="1036" ht="14.25" customHeight="1">
      <c r="A1036" s="27" t="s">
        <v>1902</v>
      </c>
      <c r="B1036" s="27" t="s">
        <v>1890</v>
      </c>
      <c r="C1036" s="27" t="str">
        <f t="array" ref="C1036">INDEX(Funciones!$G$2:$G$372,MATCH($A1036,Funciones!$B$2:$B$372,0))</f>
        <v>Guiar el vehículo bivial en trocha de 1.435 mm</v>
      </c>
      <c r="D1036" s="27" t="s">
        <v>4408</v>
      </c>
      <c r="E1036" s="27" t="s">
        <v>3638</v>
      </c>
      <c r="F1036" s="27" t="s">
        <v>4409</v>
      </c>
      <c r="G1036" s="27" t="s">
        <v>4410</v>
      </c>
      <c r="H1036" s="18" t="str">
        <f t="array" ref="H1036">_xlfn.XLOOKUP(E:E,'Calificación consecuencia'!B:B,'Calificación consecuencia'!K:K,"No encontrada",2)</f>
        <v>Media</v>
      </c>
      <c r="I1036" s="27" t="s">
        <v>1351</v>
      </c>
      <c r="J1036" s="30" t="s">
        <v>116</v>
      </c>
      <c r="K1036" s="21"/>
      <c r="L1036" s="21"/>
      <c r="M1036" s="30" t="s">
        <v>116</v>
      </c>
      <c r="N1036" s="30" t="s">
        <v>116</v>
      </c>
      <c r="O1036" s="21"/>
      <c r="P1036" s="21"/>
      <c r="Q1036" s="21"/>
      <c r="R1036" s="21"/>
      <c r="S1036" s="21"/>
      <c r="T1036" s="21"/>
      <c r="U1036" s="27" t="s">
        <v>195</v>
      </c>
      <c r="V1036" s="27" t="s">
        <v>196</v>
      </c>
    </row>
    <row r="1037" ht="14.25" customHeight="1">
      <c r="A1037" s="9" t="s">
        <v>1909</v>
      </c>
      <c r="B1037" s="9" t="s">
        <v>1908</v>
      </c>
      <c r="C1037" s="9" t="str">
        <f t="array" ref="C1037">INDEX(Funciones!$G$2:$G$372,MATCH($A1037,Funciones!$B$2:$B$372,0))</f>
        <v>Entregar potencia mecánica de _____ kW</v>
      </c>
      <c r="D1037" s="9" t="s">
        <v>4083</v>
      </c>
      <c r="E1037" s="9" t="s">
        <v>1339</v>
      </c>
      <c r="F1037" s="9" t="s">
        <v>3995</v>
      </c>
      <c r="G1037" s="9" t="s">
        <v>3374</v>
      </c>
      <c r="H1037" s="18" t="str">
        <f t="array" ref="H1037">_xlfn.XLOOKUP(E:E,'Calificación consecuencia'!B:B,'Calificación consecuencia'!K:K,"No encontrada",2)</f>
        <v>Media</v>
      </c>
      <c r="I1037" s="9" t="s">
        <v>1800</v>
      </c>
      <c r="J1037" s="20" t="s">
        <v>116</v>
      </c>
      <c r="K1037" s="21"/>
      <c r="L1037" s="21"/>
      <c r="M1037" s="22" t="s">
        <v>120</v>
      </c>
      <c r="N1037" s="21"/>
      <c r="O1037" s="20" t="s">
        <v>116</v>
      </c>
      <c r="P1037" s="20" t="s">
        <v>116</v>
      </c>
      <c r="Q1037" s="21"/>
      <c r="R1037" s="21"/>
      <c r="S1037" s="21"/>
      <c r="T1037" s="21"/>
      <c r="U1037" s="9" t="s">
        <v>345</v>
      </c>
      <c r="V1037" s="9" t="s">
        <v>196</v>
      </c>
    </row>
    <row r="1038" ht="14.25" customHeight="1">
      <c r="A1038" s="9" t="s">
        <v>1909</v>
      </c>
      <c r="B1038" s="9" t="s">
        <v>1908</v>
      </c>
      <c r="C1038" s="9" t="str">
        <f t="array" ref="C1038">INDEX(Funciones!$G$2:$G$372,MATCH($A1038,Funciones!$B$2:$B$372,0))</f>
        <v>Entregar potencia mecánica de _____ kW</v>
      </c>
      <c r="D1038" s="9" t="s">
        <v>4083</v>
      </c>
      <c r="E1038" s="9" t="s">
        <v>1786</v>
      </c>
      <c r="F1038" s="9" t="s">
        <v>3996</v>
      </c>
      <c r="G1038" s="9" t="s">
        <v>3378</v>
      </c>
      <c r="H1038" s="18" t="str">
        <f t="array" ref="H1038">_xlfn.XLOOKUP(E:E,'Calificación consecuencia'!B:B,'Calificación consecuencia'!K:K,"No encontrada",2)</f>
        <v>Baja</v>
      </c>
      <c r="I1038" s="9" t="s">
        <v>2106</v>
      </c>
      <c r="J1038" s="20" t="s">
        <v>116</v>
      </c>
      <c r="K1038" s="21"/>
      <c r="L1038" s="21"/>
      <c r="M1038" s="22" t="s">
        <v>120</v>
      </c>
      <c r="N1038" s="21"/>
      <c r="O1038" s="22" t="s">
        <v>120</v>
      </c>
      <c r="P1038" s="21"/>
      <c r="Q1038" s="21"/>
      <c r="R1038" s="21"/>
      <c r="S1038" s="22" t="s">
        <v>120</v>
      </c>
      <c r="T1038" s="21"/>
      <c r="U1038" s="9" t="s">
        <v>1680</v>
      </c>
      <c r="V1038" s="9" t="s">
        <v>1408</v>
      </c>
    </row>
    <row r="1039" ht="14.25" customHeight="1">
      <c r="A1039" s="9" t="s">
        <v>1909</v>
      </c>
      <c r="B1039" s="9" t="s">
        <v>1908</v>
      </c>
      <c r="C1039" s="9" t="str">
        <f t="array" ref="C1039">INDEX(Funciones!$G$2:$G$372,MATCH($A1039,Funciones!$B$2:$B$372,0))</f>
        <v>Entregar potencia mecánica de _____ kW</v>
      </c>
      <c r="D1039" s="9" t="s">
        <v>4084</v>
      </c>
      <c r="E1039" s="9" t="s">
        <v>1350</v>
      </c>
      <c r="F1039" s="9" t="s">
        <v>3998</v>
      </c>
      <c r="G1039" s="9" t="s">
        <v>3382</v>
      </c>
      <c r="H1039" s="18" t="str">
        <f t="array" ref="H1039">_xlfn.XLOOKUP(E:E,'Calificación consecuencia'!B:B,'Calificación consecuencia'!K:K,"No encontrada",2)</f>
        <v>Baja</v>
      </c>
      <c r="I1039" s="9" t="s">
        <v>2106</v>
      </c>
      <c r="J1039" s="20" t="s">
        <v>116</v>
      </c>
      <c r="K1039" s="21"/>
      <c r="L1039" s="21"/>
      <c r="M1039" s="22" t="s">
        <v>120</v>
      </c>
      <c r="N1039" s="21"/>
      <c r="O1039" s="22" t="s">
        <v>120</v>
      </c>
      <c r="P1039" s="21"/>
      <c r="Q1039" s="21"/>
      <c r="R1039" s="21"/>
      <c r="S1039" s="22" t="s">
        <v>120</v>
      </c>
      <c r="T1039" s="21"/>
      <c r="U1039" s="9" t="s">
        <v>1680</v>
      </c>
      <c r="V1039" s="9" t="s">
        <v>1408</v>
      </c>
    </row>
    <row r="1040" ht="14.25" customHeight="1">
      <c r="A1040" s="9" t="s">
        <v>1909</v>
      </c>
      <c r="B1040" s="9" t="s">
        <v>1908</v>
      </c>
      <c r="C1040" s="9" t="str">
        <f t="array" ref="C1040">INDEX(Funciones!$G$2:$G$372,MATCH($A1040,Funciones!$B$2:$B$372,0))</f>
        <v>Entregar potencia mecánica de _____ kW</v>
      </c>
      <c r="D1040" s="9" t="s">
        <v>4084</v>
      </c>
      <c r="E1040" s="9" t="s">
        <v>1794</v>
      </c>
      <c r="F1040" s="9" t="s">
        <v>3999</v>
      </c>
      <c r="G1040" s="9" t="s">
        <v>3614</v>
      </c>
      <c r="H1040" s="18" t="str">
        <f t="array" ref="H1040">_xlfn.XLOOKUP(E:E,'Calificación consecuencia'!B:B,'Calificación consecuencia'!K:K,"No encontrada",2)</f>
        <v>Baja</v>
      </c>
      <c r="I1040" s="9" t="s">
        <v>1800</v>
      </c>
      <c r="J1040" s="20" t="s">
        <v>116</v>
      </c>
      <c r="K1040" s="21"/>
      <c r="L1040" s="21"/>
      <c r="M1040" s="22" t="s">
        <v>120</v>
      </c>
      <c r="N1040" s="21"/>
      <c r="O1040" s="20" t="s">
        <v>116</v>
      </c>
      <c r="P1040" s="20" t="s">
        <v>116</v>
      </c>
      <c r="Q1040" s="21"/>
      <c r="R1040" s="21"/>
      <c r="S1040" s="21"/>
      <c r="T1040" s="21"/>
      <c r="U1040" s="9" t="s">
        <v>345</v>
      </c>
      <c r="V1040" s="9" t="s">
        <v>196</v>
      </c>
    </row>
    <row r="1041" ht="14.25" customHeight="1">
      <c r="A1041" s="9" t="s">
        <v>1909</v>
      </c>
      <c r="B1041" s="9" t="s">
        <v>1908</v>
      </c>
      <c r="C1041" s="9" t="str">
        <f t="array" ref="C1041">INDEX(Funciones!$G$2:$G$372,MATCH($A1041,Funciones!$B$2:$B$372,0))</f>
        <v>Entregar potencia mecánica de _____ kW</v>
      </c>
      <c r="D1041" s="9" t="s">
        <v>4084</v>
      </c>
      <c r="E1041" s="9" t="s">
        <v>2376</v>
      </c>
      <c r="F1041" s="9" t="s">
        <v>4000</v>
      </c>
      <c r="G1041" s="9" t="s">
        <v>1493</v>
      </c>
      <c r="H1041" s="18" t="str">
        <f t="array" ref="H1041">_xlfn.XLOOKUP(E:E,'Calificación consecuencia'!B:B,'Calificación consecuencia'!K:K,"No encontrada",2)</f>
        <v>Baja</v>
      </c>
      <c r="I1041" s="9" t="s">
        <v>2106</v>
      </c>
      <c r="J1041" s="20" t="s">
        <v>116</v>
      </c>
      <c r="K1041" s="21"/>
      <c r="L1041" s="21"/>
      <c r="M1041" s="22" t="s">
        <v>120</v>
      </c>
      <c r="N1041" s="21"/>
      <c r="O1041" s="22" t="s">
        <v>120</v>
      </c>
      <c r="P1041" s="21"/>
      <c r="Q1041" s="21"/>
      <c r="R1041" s="21"/>
      <c r="S1041" s="22" t="s">
        <v>120</v>
      </c>
      <c r="T1041" s="21"/>
      <c r="U1041" s="9" t="s">
        <v>1680</v>
      </c>
      <c r="V1041" s="9" t="s">
        <v>1408</v>
      </c>
    </row>
    <row r="1042" ht="14.25" customHeight="1">
      <c r="A1042" s="27" t="s">
        <v>1917</v>
      </c>
      <c r="B1042" s="27" t="s">
        <v>1916</v>
      </c>
      <c r="C1042" s="27" t="str">
        <f t="array" ref="C1042">INDEX(Funciones!$G$2:$G$372,MATCH($A1042,Funciones!$B$2:$B$372,0))</f>
        <v>Circular por la vía hasta 50 km/h</v>
      </c>
      <c r="D1042" s="27" t="s">
        <v>4381</v>
      </c>
      <c r="E1042" s="27" t="s">
        <v>3619</v>
      </c>
      <c r="F1042" s="27" t="s">
        <v>4382</v>
      </c>
      <c r="G1042" s="27" t="s">
        <v>4383</v>
      </c>
      <c r="H1042" s="18" t="str">
        <f t="array" ref="H1042">_xlfn.XLOOKUP(E:E,'Calificación consecuencia'!B:B,'Calificación consecuencia'!K:K,"No encontrada",2)</f>
        <v>Baja</v>
      </c>
      <c r="I1042" s="27" t="s">
        <v>339</v>
      </c>
      <c r="J1042" s="30" t="s">
        <v>116</v>
      </c>
      <c r="K1042" s="21"/>
      <c r="L1042" s="21"/>
      <c r="M1042" s="29" t="s">
        <v>120</v>
      </c>
      <c r="N1042" s="21"/>
      <c r="O1042" s="30" t="s">
        <v>116</v>
      </c>
      <c r="P1042" s="30" t="s">
        <v>116</v>
      </c>
      <c r="Q1042" s="21"/>
      <c r="R1042" s="21"/>
      <c r="S1042" s="21"/>
      <c r="T1042" s="21"/>
      <c r="U1042" s="27" t="s">
        <v>345</v>
      </c>
      <c r="V1042" s="27" t="s">
        <v>196</v>
      </c>
    </row>
    <row r="1043" ht="14.25" customHeight="1">
      <c r="A1043" s="27" t="s">
        <v>1917</v>
      </c>
      <c r="B1043" s="27" t="s">
        <v>1916</v>
      </c>
      <c r="C1043" s="27" t="str">
        <f t="array" ref="C1043">INDEX(Funciones!$G$2:$G$372,MATCH($A1043,Funciones!$B$2:$B$372,0))</f>
        <v>Circular por la vía hasta 50 km/h</v>
      </c>
      <c r="D1043" s="27" t="s">
        <v>4381</v>
      </c>
      <c r="E1043" s="27" t="s">
        <v>3621</v>
      </c>
      <c r="F1043" s="27" t="s">
        <v>4384</v>
      </c>
      <c r="G1043" s="27" t="s">
        <v>4385</v>
      </c>
      <c r="H1043" s="18" t="str">
        <f t="array" ref="H1043">_xlfn.XLOOKUP(E:E,'Calificación consecuencia'!B:B,'Calificación consecuencia'!K:K,"No encontrada",2)</f>
        <v>Baja</v>
      </c>
      <c r="I1043" s="27" t="s">
        <v>1449</v>
      </c>
      <c r="J1043" s="30" t="s">
        <v>116</v>
      </c>
      <c r="K1043" s="21"/>
      <c r="L1043" s="21"/>
      <c r="M1043" s="29" t="s">
        <v>120</v>
      </c>
      <c r="N1043" s="21"/>
      <c r="O1043" s="30" t="s">
        <v>116</v>
      </c>
      <c r="P1043" s="30" t="s">
        <v>116</v>
      </c>
      <c r="Q1043" s="21"/>
      <c r="R1043" s="21"/>
      <c r="S1043" s="21"/>
      <c r="T1043" s="21"/>
      <c r="U1043" s="27" t="s">
        <v>345</v>
      </c>
      <c r="V1043" s="27" t="s">
        <v>196</v>
      </c>
    </row>
    <row r="1044" ht="14.25" customHeight="1">
      <c r="A1044" s="27" t="s">
        <v>1917</v>
      </c>
      <c r="B1044" s="27" t="s">
        <v>1916</v>
      </c>
      <c r="C1044" s="27" t="str">
        <f t="array" ref="C1044">INDEX(Funciones!$G$2:$G$372,MATCH($A1044,Funciones!$B$2:$B$372,0))</f>
        <v>Circular por la vía hasta 50 km/h</v>
      </c>
      <c r="D1044" s="27" t="s">
        <v>4386</v>
      </c>
      <c r="E1044" s="27" t="s">
        <v>1794</v>
      </c>
      <c r="F1044" s="27" t="s">
        <v>4387</v>
      </c>
      <c r="G1044" s="27" t="s">
        <v>3614</v>
      </c>
      <c r="H1044" s="18" t="str">
        <f t="array" ref="H1044">_xlfn.XLOOKUP(E:E,'Calificación consecuencia'!B:B,'Calificación consecuencia'!K:K,"No encontrada",2)</f>
        <v>Baja</v>
      </c>
      <c r="I1044" s="27" t="s">
        <v>1800</v>
      </c>
      <c r="J1044" s="30" t="s">
        <v>116</v>
      </c>
      <c r="K1044" s="21"/>
      <c r="L1044" s="21"/>
      <c r="M1044" s="29" t="s">
        <v>120</v>
      </c>
      <c r="N1044" s="21"/>
      <c r="O1044" s="30" t="s">
        <v>116</v>
      </c>
      <c r="P1044" s="30" t="s">
        <v>116</v>
      </c>
      <c r="Q1044" s="21"/>
      <c r="R1044" s="21"/>
      <c r="S1044" s="21"/>
      <c r="T1044" s="21"/>
      <c r="U1044" s="27" t="s">
        <v>345</v>
      </c>
      <c r="V1044" s="27" t="s">
        <v>196</v>
      </c>
    </row>
    <row r="1045" ht="14.25" customHeight="1">
      <c r="A1045" s="27" t="s">
        <v>1917</v>
      </c>
      <c r="B1045" s="27" t="s">
        <v>1916</v>
      </c>
      <c r="C1045" s="27" t="str">
        <f t="array" ref="C1045">INDEX(Funciones!$G$2:$G$372,MATCH($A1045,Funciones!$B$2:$B$372,0))</f>
        <v>Circular por la vía hasta 50 km/h</v>
      </c>
      <c r="D1045" s="27" t="s">
        <v>4386</v>
      </c>
      <c r="E1045" s="27" t="s">
        <v>2011</v>
      </c>
      <c r="F1045" s="27" t="s">
        <v>4388</v>
      </c>
      <c r="G1045" s="27" t="s">
        <v>3630</v>
      </c>
      <c r="H1045" s="18" t="str">
        <f t="array" ref="H1045">_xlfn.XLOOKUP(E:E,'Calificación consecuencia'!B:B,'Calificación consecuencia'!K:K,"No encontrada",2)</f>
        <v>Media</v>
      </c>
      <c r="I1045" s="27" t="s">
        <v>1800</v>
      </c>
      <c r="J1045" s="30" t="s">
        <v>116</v>
      </c>
      <c r="K1045" s="21"/>
      <c r="L1045" s="21"/>
      <c r="M1045" s="29" t="s">
        <v>120</v>
      </c>
      <c r="N1045" s="21"/>
      <c r="O1045" s="30" t="s">
        <v>116</v>
      </c>
      <c r="P1045" s="30" t="s">
        <v>116</v>
      </c>
      <c r="Q1045" s="21"/>
      <c r="R1045" s="21"/>
      <c r="S1045" s="21"/>
      <c r="T1045" s="21"/>
      <c r="U1045" s="27" t="s">
        <v>345</v>
      </c>
      <c r="V1045" s="27" t="s">
        <v>196</v>
      </c>
    </row>
    <row r="1046" ht="14.25" customHeight="1">
      <c r="A1046" s="27" t="s">
        <v>1917</v>
      </c>
      <c r="B1046" s="27" t="s">
        <v>1916</v>
      </c>
      <c r="C1046" s="27" t="str">
        <f t="array" ref="C1046">INDEX(Funciones!$G$2:$G$372,MATCH($A1046,Funciones!$B$2:$B$372,0))</f>
        <v>Circular por la vía hasta 50 km/h</v>
      </c>
      <c r="D1046" s="27" t="s">
        <v>4386</v>
      </c>
      <c r="E1046" s="27" t="s">
        <v>3624</v>
      </c>
      <c r="F1046" s="27" t="s">
        <v>4389</v>
      </c>
      <c r="G1046" s="27" t="s">
        <v>4390</v>
      </c>
      <c r="H1046" s="18" t="str">
        <f t="array" ref="H1046">_xlfn.XLOOKUP(E:E,'Calificación consecuencia'!B:B,'Calificación consecuencia'!K:K,"No encontrada",2)</f>
        <v>Baja</v>
      </c>
      <c r="I1046" s="27" t="s">
        <v>2106</v>
      </c>
      <c r="J1046" s="30" t="s">
        <v>116</v>
      </c>
      <c r="K1046" s="21"/>
      <c r="L1046" s="21"/>
      <c r="M1046" s="29" t="s">
        <v>120</v>
      </c>
      <c r="N1046" s="21"/>
      <c r="O1046" s="29" t="s">
        <v>120</v>
      </c>
      <c r="P1046" s="21"/>
      <c r="Q1046" s="21"/>
      <c r="R1046" s="21"/>
      <c r="S1046" s="29" t="s">
        <v>120</v>
      </c>
      <c r="T1046" s="21"/>
      <c r="U1046" s="27" t="s">
        <v>1680</v>
      </c>
      <c r="V1046" s="27" t="s">
        <v>1408</v>
      </c>
    </row>
    <row r="1047" ht="14.25" customHeight="1">
      <c r="A1047" s="9" t="s">
        <v>1922</v>
      </c>
      <c r="B1047" s="9" t="s">
        <v>1921</v>
      </c>
      <c r="C1047" s="9" t="str">
        <f t="array" ref="C1047">INDEX(Funciones!$G$2:$G$372,MATCH($A1047,Funciones!$B$2:$B$372,0))</f>
        <v>Comprimir el aire a una presión de _____ bar</v>
      </c>
      <c r="D1047" s="9" t="s">
        <v>3403</v>
      </c>
      <c r="E1047" s="9" t="s">
        <v>999</v>
      </c>
      <c r="F1047" s="9" t="s">
        <v>2657</v>
      </c>
      <c r="G1047" s="9" t="s">
        <v>2658</v>
      </c>
      <c r="H1047" s="18" t="str">
        <f t="array" ref="H1047">_xlfn.XLOOKUP(E:E,'Calificación consecuencia'!B:B,'Calificación consecuencia'!K:K,"No encontrada",2)</f>
        <v>Media</v>
      </c>
      <c r="I1047" s="9" t="s">
        <v>1800</v>
      </c>
      <c r="J1047" s="20" t="s">
        <v>116</v>
      </c>
      <c r="K1047" s="21"/>
      <c r="L1047" s="21"/>
      <c r="M1047" s="20" t="s">
        <v>116</v>
      </c>
      <c r="N1047" s="20" t="s">
        <v>116</v>
      </c>
      <c r="O1047" s="21"/>
      <c r="P1047" s="21"/>
      <c r="Q1047" s="21"/>
      <c r="R1047" s="21"/>
      <c r="S1047" s="21"/>
      <c r="T1047" s="21"/>
      <c r="U1047" s="9" t="s">
        <v>195</v>
      </c>
      <c r="V1047" s="9" t="s">
        <v>196</v>
      </c>
    </row>
    <row r="1048" ht="14.25" customHeight="1">
      <c r="A1048" s="9" t="s">
        <v>1922</v>
      </c>
      <c r="B1048" s="9" t="s">
        <v>1921</v>
      </c>
      <c r="C1048" s="9" t="str">
        <f t="array" ref="C1048">INDEX(Funciones!$G$2:$G$372,MATCH($A1048,Funciones!$B$2:$B$372,0))</f>
        <v>Comprimir el aire a una presión de _____ bar</v>
      </c>
      <c r="D1048" s="9" t="s">
        <v>3403</v>
      </c>
      <c r="E1048" s="9" t="s">
        <v>1005</v>
      </c>
      <c r="F1048" s="9" t="s">
        <v>2677</v>
      </c>
      <c r="G1048" s="9" t="s">
        <v>2679</v>
      </c>
      <c r="H1048" s="18" t="str">
        <f t="array" ref="H1048">_xlfn.XLOOKUP(E:E,'Calificación consecuencia'!B:B,'Calificación consecuencia'!K:K,"No encontrada",2)</f>
        <v>Baja</v>
      </c>
      <c r="I1048" s="9" t="s">
        <v>2694</v>
      </c>
      <c r="J1048" s="20" t="s">
        <v>116</v>
      </c>
      <c r="K1048" s="21"/>
      <c r="L1048" s="21"/>
      <c r="M1048" s="20" t="s">
        <v>116</v>
      </c>
      <c r="N1048" s="20" t="s">
        <v>116</v>
      </c>
      <c r="O1048" s="21"/>
      <c r="P1048" s="21"/>
      <c r="Q1048" s="21"/>
      <c r="R1048" s="21"/>
      <c r="S1048" s="21"/>
      <c r="T1048" s="21"/>
      <c r="U1048" s="9" t="s">
        <v>195</v>
      </c>
      <c r="V1048" s="9" t="s">
        <v>196</v>
      </c>
    </row>
    <row r="1049" ht="14.25" customHeight="1">
      <c r="A1049" s="9" t="s">
        <v>1922</v>
      </c>
      <c r="B1049" s="9" t="s">
        <v>1921</v>
      </c>
      <c r="C1049" s="9" t="str">
        <f t="array" ref="C1049">INDEX(Funciones!$G$2:$G$372,MATCH($A1049,Funciones!$B$2:$B$372,0))</f>
        <v>Comprimir el aire a una presión de _____ bar</v>
      </c>
      <c r="D1049" s="9" t="s">
        <v>3403</v>
      </c>
      <c r="E1049" s="9" t="s">
        <v>1017</v>
      </c>
      <c r="F1049" s="9" t="s">
        <v>2709</v>
      </c>
      <c r="G1049" s="9" t="s">
        <v>2710</v>
      </c>
      <c r="H1049" s="18" t="str">
        <f t="array" ref="H1049">_xlfn.XLOOKUP(E:E,'Calificación consecuencia'!B:B,'Calificación consecuencia'!K:K,"No encontrada",2)</f>
        <v>Media</v>
      </c>
      <c r="I1049" s="9" t="s">
        <v>1800</v>
      </c>
      <c r="J1049" s="20" t="s">
        <v>116</v>
      </c>
      <c r="K1049" s="21"/>
      <c r="L1049" s="21"/>
      <c r="M1049" s="20" t="s">
        <v>116</v>
      </c>
      <c r="N1049" s="20" t="s">
        <v>116</v>
      </c>
      <c r="O1049" s="21"/>
      <c r="P1049" s="21"/>
      <c r="Q1049" s="21"/>
      <c r="R1049" s="21"/>
      <c r="S1049" s="21"/>
      <c r="T1049" s="21"/>
      <c r="U1049" s="9" t="s">
        <v>195</v>
      </c>
      <c r="V1049" s="9" t="s">
        <v>196</v>
      </c>
    </row>
    <row r="1050" ht="14.25" customHeight="1">
      <c r="A1050" s="9" t="s">
        <v>1922</v>
      </c>
      <c r="B1050" s="9" t="s">
        <v>1921</v>
      </c>
      <c r="C1050" s="9" t="str">
        <f t="array" ref="C1050">INDEX(Funciones!$G$2:$G$372,MATCH($A1050,Funciones!$B$2:$B$372,0))</f>
        <v>Comprimir el aire a una presión de _____ bar</v>
      </c>
      <c r="D1050" s="9" t="s">
        <v>3404</v>
      </c>
      <c r="E1050" s="9" t="s">
        <v>727</v>
      </c>
      <c r="F1050" s="9" t="s">
        <v>3405</v>
      </c>
      <c r="G1050" s="9" t="s">
        <v>1792</v>
      </c>
      <c r="H1050" s="18" t="str">
        <f t="array" ref="H1050">_xlfn.XLOOKUP(E:E,'Calificación consecuencia'!B:B,'Calificación consecuencia'!K:K,"No encontrada",2)</f>
        <v>Baja</v>
      </c>
      <c r="I1050" s="9" t="s">
        <v>1800</v>
      </c>
      <c r="J1050" s="20" t="s">
        <v>116</v>
      </c>
      <c r="K1050" s="21"/>
      <c r="L1050" s="21"/>
      <c r="M1050" s="22" t="s">
        <v>120</v>
      </c>
      <c r="N1050" s="21"/>
      <c r="O1050" s="20" t="s">
        <v>116</v>
      </c>
      <c r="P1050" s="20" t="s">
        <v>116</v>
      </c>
      <c r="Q1050" s="21"/>
      <c r="R1050" s="21"/>
      <c r="S1050" s="21"/>
      <c r="T1050" s="21"/>
      <c r="U1050" s="9" t="s">
        <v>345</v>
      </c>
      <c r="V1050" s="9" t="s">
        <v>196</v>
      </c>
    </row>
    <row r="1051" ht="14.25" customHeight="1">
      <c r="A1051" s="9" t="s">
        <v>1922</v>
      </c>
      <c r="B1051" s="9" t="s">
        <v>1921</v>
      </c>
      <c r="C1051" s="9" t="str">
        <f t="array" ref="C1051">INDEX(Funciones!$G$2:$G$372,MATCH($A1051,Funciones!$B$2:$B$372,0))</f>
        <v>Comprimir el aire a una presión de _____ bar</v>
      </c>
      <c r="D1051" s="9" t="s">
        <v>3404</v>
      </c>
      <c r="E1051" s="9" t="s">
        <v>1036</v>
      </c>
      <c r="F1051" s="9" t="s">
        <v>3406</v>
      </c>
      <c r="G1051" s="9" t="s">
        <v>2810</v>
      </c>
      <c r="H1051" s="18" t="str">
        <f t="array" ref="H1051">_xlfn.XLOOKUP(E:E,'Calificación consecuencia'!B:B,'Calificación consecuencia'!K:K,"No encontrada",2)</f>
        <v>Baja</v>
      </c>
      <c r="I1051" s="9" t="s">
        <v>2106</v>
      </c>
      <c r="J1051" s="20" t="s">
        <v>116</v>
      </c>
      <c r="K1051" s="21"/>
      <c r="L1051" s="21"/>
      <c r="M1051" s="22" t="s">
        <v>120</v>
      </c>
      <c r="N1051" s="21"/>
      <c r="O1051" s="20" t="s">
        <v>116</v>
      </c>
      <c r="P1051" s="20" t="s">
        <v>116</v>
      </c>
      <c r="Q1051" s="21"/>
      <c r="R1051" s="21"/>
      <c r="S1051" s="21"/>
      <c r="T1051" s="21"/>
      <c r="U1051" s="9" t="s">
        <v>345</v>
      </c>
      <c r="V1051" s="9" t="s">
        <v>196</v>
      </c>
    </row>
    <row r="1052" ht="14.25" customHeight="1">
      <c r="A1052" s="9" t="s">
        <v>1922</v>
      </c>
      <c r="B1052" s="9" t="s">
        <v>1921</v>
      </c>
      <c r="C1052" s="9" t="str">
        <f t="array" ref="C1052">INDEX(Funciones!$G$2:$G$372,MATCH($A1052,Funciones!$B$2:$B$372,0))</f>
        <v>Comprimir el aire a una presión de _____ bar</v>
      </c>
      <c r="D1052" s="9" t="s">
        <v>3409</v>
      </c>
      <c r="E1052" s="9" t="s">
        <v>1421</v>
      </c>
      <c r="F1052" s="9" t="s">
        <v>3410</v>
      </c>
      <c r="G1052" s="9" t="s">
        <v>2841</v>
      </c>
      <c r="H1052" s="18" t="str">
        <f t="array" ref="H1052">_xlfn.XLOOKUP(E:E,'Calificación consecuencia'!B:B,'Calificación consecuencia'!K:K,"No encontrada",2)</f>
        <v>Baja</v>
      </c>
      <c r="I1052" s="9" t="s">
        <v>2106</v>
      </c>
      <c r="J1052" s="20" t="s">
        <v>116</v>
      </c>
      <c r="K1052" s="21"/>
      <c r="L1052" s="21"/>
      <c r="M1052" s="22" t="s">
        <v>120</v>
      </c>
      <c r="N1052" s="21"/>
      <c r="O1052" s="22" t="s">
        <v>120</v>
      </c>
      <c r="P1052" s="21"/>
      <c r="Q1052" s="21"/>
      <c r="R1052" s="21"/>
      <c r="S1052" s="22" t="s">
        <v>120</v>
      </c>
      <c r="T1052" s="21"/>
      <c r="U1052" s="9" t="s">
        <v>1680</v>
      </c>
      <c r="V1052" s="9" t="s">
        <v>1408</v>
      </c>
    </row>
    <row r="1053" ht="14.25" customHeight="1">
      <c r="A1053" s="9" t="s">
        <v>1922</v>
      </c>
      <c r="B1053" s="9" t="s">
        <v>1921</v>
      </c>
      <c r="C1053" s="9" t="str">
        <f t="array" ref="C1053">INDEX(Funciones!$G$2:$G$372,MATCH($A1053,Funciones!$B$2:$B$372,0))</f>
        <v>Comprimir el aire a una presión de _____ bar</v>
      </c>
      <c r="D1053" s="9" t="s">
        <v>3409</v>
      </c>
      <c r="E1053" s="9" t="s">
        <v>1426</v>
      </c>
      <c r="F1053" s="9" t="s">
        <v>3411</v>
      </c>
      <c r="G1053" s="9" t="s">
        <v>1888</v>
      </c>
      <c r="H1053" s="18" t="str">
        <f t="array" ref="H1053">_xlfn.XLOOKUP(E:E,'Calificación consecuencia'!B:B,'Calificación consecuencia'!K:K,"No encontrada",2)</f>
        <v>Baja</v>
      </c>
      <c r="I1053" s="9" t="s">
        <v>2106</v>
      </c>
      <c r="J1053" s="20" t="s">
        <v>116</v>
      </c>
      <c r="K1053" s="21"/>
      <c r="L1053" s="21"/>
      <c r="M1053" s="22" t="s">
        <v>120</v>
      </c>
      <c r="N1053" s="21"/>
      <c r="O1053" s="22" t="s">
        <v>120</v>
      </c>
      <c r="P1053" s="21"/>
      <c r="Q1053" s="21"/>
      <c r="R1053" s="21"/>
      <c r="S1053" s="22" t="s">
        <v>120</v>
      </c>
      <c r="T1053" s="21"/>
      <c r="U1053" s="9" t="s">
        <v>1680</v>
      </c>
      <c r="V1053" s="9" t="s">
        <v>1408</v>
      </c>
    </row>
    <row r="1054" ht="14.25" customHeight="1">
      <c r="A1054" s="27" t="s">
        <v>1926</v>
      </c>
      <c r="B1054" s="27" t="s">
        <v>1921</v>
      </c>
      <c r="C1054" s="27" t="str">
        <f t="array" ref="C1054">INDEX(Funciones!$G$2:$G$372,MATCH($A1054,Funciones!$B$2:$B$372,0))</f>
        <v>Suministrar caudal de aire de _____ L/min</v>
      </c>
      <c r="D1054" s="27" t="s">
        <v>4123</v>
      </c>
      <c r="E1054" s="27" t="s">
        <v>999</v>
      </c>
      <c r="F1054" s="27" t="s">
        <v>2657</v>
      </c>
      <c r="G1054" s="27" t="s">
        <v>2658</v>
      </c>
      <c r="H1054" s="18" t="str">
        <f t="array" ref="H1054">_xlfn.XLOOKUP(E:E,'Calificación consecuencia'!B:B,'Calificación consecuencia'!K:K,"No encontrada",2)</f>
        <v>Media</v>
      </c>
      <c r="I1054" s="27" t="s">
        <v>1800</v>
      </c>
      <c r="J1054" s="30" t="s">
        <v>116</v>
      </c>
      <c r="K1054" s="21"/>
      <c r="L1054" s="21"/>
      <c r="M1054" s="30" t="s">
        <v>116</v>
      </c>
      <c r="N1054" s="30" t="s">
        <v>116</v>
      </c>
      <c r="O1054" s="21"/>
      <c r="P1054" s="21"/>
      <c r="Q1054" s="21"/>
      <c r="R1054" s="21"/>
      <c r="S1054" s="21"/>
      <c r="T1054" s="21"/>
      <c r="U1054" s="27" t="s">
        <v>195</v>
      </c>
      <c r="V1054" s="27" t="s">
        <v>196</v>
      </c>
    </row>
    <row r="1055" ht="14.25" customHeight="1">
      <c r="A1055" s="27" t="s">
        <v>1926</v>
      </c>
      <c r="B1055" s="27" t="s">
        <v>1921</v>
      </c>
      <c r="C1055" s="27" t="str">
        <f t="array" ref="C1055">INDEX(Funciones!$G$2:$G$372,MATCH($A1055,Funciones!$B$2:$B$372,0))</f>
        <v>Suministrar caudal de aire de _____ L/min</v>
      </c>
      <c r="D1055" s="27" t="s">
        <v>4123</v>
      </c>
      <c r="E1055" s="27" t="s">
        <v>1005</v>
      </c>
      <c r="F1055" s="27" t="s">
        <v>2677</v>
      </c>
      <c r="G1055" s="27" t="s">
        <v>2679</v>
      </c>
      <c r="H1055" s="18" t="str">
        <f t="array" ref="H1055">_xlfn.XLOOKUP(E:E,'Calificación consecuencia'!B:B,'Calificación consecuencia'!K:K,"No encontrada",2)</f>
        <v>Baja</v>
      </c>
      <c r="I1055" s="27" t="s">
        <v>2694</v>
      </c>
      <c r="J1055" s="30" t="s">
        <v>116</v>
      </c>
      <c r="K1055" s="21"/>
      <c r="L1055" s="21"/>
      <c r="M1055" s="30" t="s">
        <v>116</v>
      </c>
      <c r="N1055" s="30" t="s">
        <v>116</v>
      </c>
      <c r="O1055" s="21"/>
      <c r="P1055" s="21"/>
      <c r="Q1055" s="21"/>
      <c r="R1055" s="21"/>
      <c r="S1055" s="21"/>
      <c r="T1055" s="21"/>
      <c r="U1055" s="27" t="s">
        <v>195</v>
      </c>
      <c r="V1055" s="27" t="s">
        <v>196</v>
      </c>
    </row>
    <row r="1056" ht="14.25" customHeight="1">
      <c r="A1056" s="27" t="s">
        <v>1926</v>
      </c>
      <c r="B1056" s="27" t="s">
        <v>1921</v>
      </c>
      <c r="C1056" s="27" t="str">
        <f t="array" ref="C1056">INDEX(Funciones!$G$2:$G$372,MATCH($A1056,Funciones!$B$2:$B$372,0))</f>
        <v>Suministrar caudal de aire de _____ L/min</v>
      </c>
      <c r="D1056" s="27" t="s">
        <v>4123</v>
      </c>
      <c r="E1056" s="27" t="s">
        <v>1017</v>
      </c>
      <c r="F1056" s="27" t="s">
        <v>2709</v>
      </c>
      <c r="G1056" s="27" t="s">
        <v>2710</v>
      </c>
      <c r="H1056" s="18" t="str">
        <f t="array" ref="H1056">_xlfn.XLOOKUP(E:E,'Calificación consecuencia'!B:B,'Calificación consecuencia'!K:K,"No encontrada",2)</f>
        <v>Media</v>
      </c>
      <c r="I1056" s="27" t="s">
        <v>1800</v>
      </c>
      <c r="J1056" s="30" t="s">
        <v>116</v>
      </c>
      <c r="K1056" s="21"/>
      <c r="L1056" s="21"/>
      <c r="M1056" s="30" t="s">
        <v>116</v>
      </c>
      <c r="N1056" s="30" t="s">
        <v>116</v>
      </c>
      <c r="O1056" s="21"/>
      <c r="P1056" s="21"/>
      <c r="Q1056" s="21"/>
      <c r="R1056" s="21"/>
      <c r="S1056" s="21"/>
      <c r="T1056" s="21"/>
      <c r="U1056" s="27" t="s">
        <v>195</v>
      </c>
      <c r="V1056" s="27" t="s">
        <v>196</v>
      </c>
    </row>
    <row r="1057" ht="14.25" customHeight="1">
      <c r="A1057" s="27" t="s">
        <v>1926</v>
      </c>
      <c r="B1057" s="27" t="s">
        <v>1921</v>
      </c>
      <c r="C1057" s="27" t="str">
        <f t="array" ref="C1057">INDEX(Funciones!$G$2:$G$372,MATCH($A1057,Funciones!$B$2:$B$372,0))</f>
        <v>Suministrar caudal de aire de _____ L/min</v>
      </c>
      <c r="D1057" s="27" t="s">
        <v>4124</v>
      </c>
      <c r="E1057" s="27" t="s">
        <v>727</v>
      </c>
      <c r="F1057" s="27" t="s">
        <v>2744</v>
      </c>
      <c r="G1057" s="27" t="s">
        <v>1792</v>
      </c>
      <c r="H1057" s="18" t="str">
        <f t="array" ref="H1057">_xlfn.XLOOKUP(E:E,'Calificación consecuencia'!B:B,'Calificación consecuencia'!K:K,"No encontrada",2)</f>
        <v>Baja</v>
      </c>
      <c r="I1057" s="27" t="s">
        <v>1800</v>
      </c>
      <c r="J1057" s="30" t="s">
        <v>116</v>
      </c>
      <c r="K1057" s="21"/>
      <c r="L1057" s="21"/>
      <c r="M1057" s="29" t="s">
        <v>120</v>
      </c>
      <c r="N1057" s="21"/>
      <c r="O1057" s="30" t="s">
        <v>116</v>
      </c>
      <c r="P1057" s="30" t="s">
        <v>116</v>
      </c>
      <c r="Q1057" s="21"/>
      <c r="R1057" s="21"/>
      <c r="S1057" s="21"/>
      <c r="T1057" s="21"/>
      <c r="U1057" s="27" t="s">
        <v>345</v>
      </c>
      <c r="V1057" s="27" t="s">
        <v>196</v>
      </c>
    </row>
    <row r="1058" ht="14.25" customHeight="1">
      <c r="A1058" s="27" t="s">
        <v>1926</v>
      </c>
      <c r="B1058" s="27" t="s">
        <v>1921</v>
      </c>
      <c r="C1058" s="27" t="str">
        <f t="array" ref="C1058">INDEX(Funciones!$G$2:$G$372,MATCH($A1058,Funciones!$B$2:$B$372,0))</f>
        <v>Suministrar caudal de aire de _____ L/min</v>
      </c>
      <c r="D1058" s="27" t="s">
        <v>4124</v>
      </c>
      <c r="E1058" s="27" t="s">
        <v>1031</v>
      </c>
      <c r="F1058" s="27" t="s">
        <v>2776</v>
      </c>
      <c r="G1058" s="27" t="s">
        <v>2777</v>
      </c>
      <c r="H1058" s="18" t="str">
        <f t="array" ref="H1058">_xlfn.XLOOKUP(E:E,'Calificación consecuencia'!B:B,'Calificación consecuencia'!K:K,"No encontrada",2)</f>
        <v>Baja</v>
      </c>
      <c r="I1058" s="27" t="s">
        <v>2106</v>
      </c>
      <c r="J1058" s="30" t="s">
        <v>116</v>
      </c>
      <c r="K1058" s="21"/>
      <c r="L1058" s="21"/>
      <c r="M1058" s="29" t="s">
        <v>120</v>
      </c>
      <c r="N1058" s="21"/>
      <c r="O1058" s="29" t="s">
        <v>120</v>
      </c>
      <c r="P1058" s="21"/>
      <c r="Q1058" s="21"/>
      <c r="R1058" s="21"/>
      <c r="S1058" s="29" t="s">
        <v>120</v>
      </c>
      <c r="T1058" s="21"/>
      <c r="U1058" s="27" t="s">
        <v>1680</v>
      </c>
      <c r="V1058" s="27" t="s">
        <v>1408</v>
      </c>
    </row>
    <row r="1059" ht="14.25" customHeight="1">
      <c r="A1059" s="27" t="s">
        <v>1926</v>
      </c>
      <c r="B1059" s="27" t="s">
        <v>1921</v>
      </c>
      <c r="C1059" s="27" t="str">
        <f t="array" ref="C1059">INDEX(Funciones!$G$2:$G$372,MATCH($A1059,Funciones!$B$2:$B$372,0))</f>
        <v>Suministrar caudal de aire de _____ L/min</v>
      </c>
      <c r="D1059" s="27" t="s">
        <v>4124</v>
      </c>
      <c r="E1059" s="27" t="s">
        <v>1036</v>
      </c>
      <c r="F1059" s="27" t="s">
        <v>2808</v>
      </c>
      <c r="G1059" s="27" t="s">
        <v>2810</v>
      </c>
      <c r="H1059" s="18" t="str">
        <f t="array" ref="H1059">_xlfn.XLOOKUP(E:E,'Calificación consecuencia'!B:B,'Calificación consecuencia'!K:K,"No encontrada",2)</f>
        <v>Baja</v>
      </c>
      <c r="I1059" s="27" t="s">
        <v>2106</v>
      </c>
      <c r="J1059" s="30" t="s">
        <v>116</v>
      </c>
      <c r="K1059" s="21"/>
      <c r="L1059" s="21"/>
      <c r="M1059" s="29" t="s">
        <v>120</v>
      </c>
      <c r="N1059" s="21"/>
      <c r="O1059" s="30" t="s">
        <v>116</v>
      </c>
      <c r="P1059" s="30" t="s">
        <v>116</v>
      </c>
      <c r="Q1059" s="21"/>
      <c r="R1059" s="21"/>
      <c r="S1059" s="21"/>
      <c r="T1059" s="21"/>
      <c r="U1059" s="27" t="s">
        <v>345</v>
      </c>
      <c r="V1059" s="27" t="s">
        <v>196</v>
      </c>
    </row>
    <row r="1060" ht="14.25" customHeight="1">
      <c r="A1060" s="27" t="s">
        <v>1926</v>
      </c>
      <c r="B1060" s="27" t="s">
        <v>1921</v>
      </c>
      <c r="C1060" s="27" t="str">
        <f t="array" ref="C1060">INDEX(Funciones!$G$2:$G$372,MATCH($A1060,Funciones!$B$2:$B$372,0))</f>
        <v>Suministrar caudal de aire de _____ L/min</v>
      </c>
      <c r="D1060" s="27" t="s">
        <v>4124</v>
      </c>
      <c r="E1060" s="27" t="s">
        <v>1041</v>
      </c>
      <c r="F1060" s="27" t="s">
        <v>2838</v>
      </c>
      <c r="G1060" s="27" t="s">
        <v>2841</v>
      </c>
      <c r="H1060" s="18" t="str">
        <f t="array" ref="H1060">_xlfn.XLOOKUP(E:E,'Calificación consecuencia'!B:B,'Calificación consecuencia'!K:K,"No encontrada",2)</f>
        <v>Baja</v>
      </c>
      <c r="I1060" s="27" t="s">
        <v>2106</v>
      </c>
      <c r="J1060" s="30" t="s">
        <v>116</v>
      </c>
      <c r="K1060" s="21"/>
      <c r="L1060" s="21"/>
      <c r="M1060" s="29" t="s">
        <v>120</v>
      </c>
      <c r="N1060" s="21"/>
      <c r="O1060" s="29" t="s">
        <v>120</v>
      </c>
      <c r="P1060" s="21"/>
      <c r="Q1060" s="21"/>
      <c r="R1060" s="21"/>
      <c r="S1060" s="29" t="s">
        <v>120</v>
      </c>
      <c r="T1060" s="21"/>
      <c r="U1060" s="27" t="s">
        <v>1680</v>
      </c>
      <c r="V1060" s="27" t="s">
        <v>1408</v>
      </c>
    </row>
    <row r="1061" ht="14.25" customHeight="1">
      <c r="A1061" s="27" t="s">
        <v>1926</v>
      </c>
      <c r="B1061" s="27" t="s">
        <v>1921</v>
      </c>
      <c r="C1061" s="27" t="str">
        <f t="array" ref="C1061">INDEX(Funciones!$G$2:$G$372,MATCH($A1061,Funciones!$B$2:$B$372,0))</f>
        <v>Suministrar caudal de aire de _____ L/min</v>
      </c>
      <c r="D1061" s="27" t="s">
        <v>4124</v>
      </c>
      <c r="E1061" s="27" t="s">
        <v>1047</v>
      </c>
      <c r="F1061" s="27" t="s">
        <v>2875</v>
      </c>
      <c r="G1061" s="27" t="s">
        <v>1888</v>
      </c>
      <c r="H1061" s="18" t="str">
        <f t="array" ref="H1061">_xlfn.XLOOKUP(E:E,'Calificación consecuencia'!B:B,'Calificación consecuencia'!K:K,"No encontrada",2)</f>
        <v>Baja</v>
      </c>
      <c r="I1061" s="27" t="s">
        <v>2106</v>
      </c>
      <c r="J1061" s="30" t="s">
        <v>116</v>
      </c>
      <c r="K1061" s="21"/>
      <c r="L1061" s="21"/>
      <c r="M1061" s="29" t="s">
        <v>120</v>
      </c>
      <c r="N1061" s="21"/>
      <c r="O1061" s="29" t="s">
        <v>120</v>
      </c>
      <c r="P1061" s="21"/>
      <c r="Q1061" s="21"/>
      <c r="R1061" s="21"/>
      <c r="S1061" s="29" t="s">
        <v>120</v>
      </c>
      <c r="T1061" s="21"/>
      <c r="U1061" s="27" t="s">
        <v>1680</v>
      </c>
      <c r="V1061" s="27" t="s">
        <v>1408</v>
      </c>
    </row>
    <row r="1062" ht="14.25" customHeight="1">
      <c r="A1062" s="9" t="s">
        <v>1931</v>
      </c>
      <c r="B1062" s="9" t="s">
        <v>1930</v>
      </c>
      <c r="C1062" s="9" t="str">
        <f t="array" ref="C1062">INDEX(Funciones!$G$2:$G$372,MATCH($A1062,Funciones!$B$2:$B$372,0))</f>
        <v>Suministrar caudal de aceite de _____ L/min</v>
      </c>
      <c r="D1062" s="9" t="s">
        <v>4391</v>
      </c>
      <c r="E1062" s="9" t="s">
        <v>854</v>
      </c>
      <c r="F1062" s="9" t="s">
        <v>2165</v>
      </c>
      <c r="G1062" s="9" t="s">
        <v>2166</v>
      </c>
      <c r="H1062" s="18" t="str">
        <f t="array" ref="H1062">_xlfn.XLOOKUP(E:E,'Calificación consecuencia'!B:B,'Calificación consecuencia'!K:K,"No encontrada",2)</f>
        <v>Media</v>
      </c>
      <c r="I1062" s="9" t="s">
        <v>1800</v>
      </c>
      <c r="J1062" s="20" t="s">
        <v>116</v>
      </c>
      <c r="K1062" s="21"/>
      <c r="L1062" s="21"/>
      <c r="M1062" s="22" t="s">
        <v>120</v>
      </c>
      <c r="N1062" s="21"/>
      <c r="O1062" s="20" t="s">
        <v>116</v>
      </c>
      <c r="P1062" s="20" t="s">
        <v>116</v>
      </c>
      <c r="Q1062" s="21"/>
      <c r="R1062" s="21"/>
      <c r="S1062" s="21"/>
      <c r="T1062" s="21"/>
      <c r="U1062" s="9" t="s">
        <v>345</v>
      </c>
      <c r="V1062" s="9" t="s">
        <v>196</v>
      </c>
    </row>
    <row r="1063" ht="14.25" customHeight="1">
      <c r="A1063" s="9" t="s">
        <v>1931</v>
      </c>
      <c r="B1063" s="9" t="s">
        <v>1930</v>
      </c>
      <c r="C1063" s="9" t="str">
        <f t="array" ref="C1063">INDEX(Funciones!$G$2:$G$372,MATCH($A1063,Funciones!$B$2:$B$372,0))</f>
        <v>Suministrar caudal de aceite de _____ L/min</v>
      </c>
      <c r="D1063" s="9" t="s">
        <v>4391</v>
      </c>
      <c r="E1063" s="9" t="s">
        <v>855</v>
      </c>
      <c r="F1063" s="9" t="s">
        <v>2194</v>
      </c>
      <c r="G1063" s="9" t="s">
        <v>2195</v>
      </c>
      <c r="H1063" s="18" t="str">
        <f t="array" ref="H1063">_xlfn.XLOOKUP(E:E,'Calificación consecuencia'!B:B,'Calificación consecuencia'!K:K,"No encontrada",2)</f>
        <v>Baja</v>
      </c>
      <c r="I1063" s="9" t="s">
        <v>1800</v>
      </c>
      <c r="J1063" s="20" t="s">
        <v>116</v>
      </c>
      <c r="K1063" s="21"/>
      <c r="L1063" s="21"/>
      <c r="M1063" s="22" t="s">
        <v>120</v>
      </c>
      <c r="N1063" s="21"/>
      <c r="O1063" s="20" t="s">
        <v>116</v>
      </c>
      <c r="P1063" s="20" t="s">
        <v>116</v>
      </c>
      <c r="Q1063" s="21"/>
      <c r="R1063" s="21"/>
      <c r="S1063" s="21"/>
      <c r="T1063" s="21"/>
      <c r="U1063" s="9" t="s">
        <v>345</v>
      </c>
      <c r="V1063" s="9" t="s">
        <v>196</v>
      </c>
    </row>
    <row r="1064" ht="14.25" customHeight="1">
      <c r="A1064" s="9" t="s">
        <v>1931</v>
      </c>
      <c r="B1064" s="9" t="s">
        <v>1930</v>
      </c>
      <c r="C1064" s="9" t="str">
        <f t="array" ref="C1064">INDEX(Funciones!$G$2:$G$372,MATCH($A1064,Funciones!$B$2:$B$372,0))</f>
        <v>Suministrar caudal de aceite de _____ L/min</v>
      </c>
      <c r="D1064" s="9" t="s">
        <v>4391</v>
      </c>
      <c r="E1064" s="9" t="s">
        <v>865</v>
      </c>
      <c r="F1064" s="9" t="s">
        <v>2222</v>
      </c>
      <c r="G1064" s="9" t="s">
        <v>2225</v>
      </c>
      <c r="H1064" s="18" t="str">
        <f t="array" ref="H1064">_xlfn.XLOOKUP(E:E,'Calificación consecuencia'!B:B,'Calificación consecuencia'!K:K,"No encontrada",2)</f>
        <v>Baja</v>
      </c>
      <c r="I1064" s="9" t="s">
        <v>2106</v>
      </c>
      <c r="J1064" s="20" t="s">
        <v>116</v>
      </c>
      <c r="K1064" s="21"/>
      <c r="L1064" s="21"/>
      <c r="M1064" s="22" t="s">
        <v>120</v>
      </c>
      <c r="N1064" s="21"/>
      <c r="O1064" s="22" t="s">
        <v>120</v>
      </c>
      <c r="P1064" s="21"/>
      <c r="Q1064" s="21"/>
      <c r="R1064" s="21"/>
      <c r="S1064" s="22" t="s">
        <v>120</v>
      </c>
      <c r="T1064" s="21"/>
      <c r="U1064" s="9" t="s">
        <v>1680</v>
      </c>
      <c r="V1064" s="9" t="s">
        <v>1408</v>
      </c>
    </row>
    <row r="1065" ht="14.25" customHeight="1">
      <c r="A1065" s="9" t="s">
        <v>1931</v>
      </c>
      <c r="B1065" s="9" t="s">
        <v>1930</v>
      </c>
      <c r="C1065" s="9" t="str">
        <f t="array" ref="C1065">INDEX(Funciones!$G$2:$G$372,MATCH($A1065,Funciones!$B$2:$B$372,0))</f>
        <v>Suministrar caudal de aceite de _____ L/min</v>
      </c>
      <c r="D1065" s="9" t="s">
        <v>4392</v>
      </c>
      <c r="E1065" s="9" t="s">
        <v>874</v>
      </c>
      <c r="F1065" s="9" t="s">
        <v>2254</v>
      </c>
      <c r="G1065" s="9" t="s">
        <v>2255</v>
      </c>
      <c r="H1065" s="18" t="str">
        <f t="array" ref="H1065">_xlfn.XLOOKUP(E:E,'Calificación consecuencia'!B:B,'Calificación consecuencia'!K:K,"No encontrada",2)</f>
        <v>Baja</v>
      </c>
      <c r="I1065" s="9" t="s">
        <v>1800</v>
      </c>
      <c r="J1065" s="20" t="s">
        <v>116</v>
      </c>
      <c r="K1065" s="21"/>
      <c r="L1065" s="21"/>
      <c r="M1065" s="22" t="s">
        <v>120</v>
      </c>
      <c r="N1065" s="21"/>
      <c r="O1065" s="20" t="s">
        <v>116</v>
      </c>
      <c r="P1065" s="20" t="s">
        <v>116</v>
      </c>
      <c r="Q1065" s="21"/>
      <c r="R1065" s="21"/>
      <c r="S1065" s="21"/>
      <c r="T1065" s="21"/>
      <c r="U1065" s="9" t="s">
        <v>345</v>
      </c>
      <c r="V1065" s="9" t="s">
        <v>196</v>
      </c>
    </row>
    <row r="1066" ht="14.25" customHeight="1">
      <c r="A1066" s="9" t="s">
        <v>1931</v>
      </c>
      <c r="B1066" s="9" t="s">
        <v>1930</v>
      </c>
      <c r="C1066" s="9" t="str">
        <f t="array" ref="C1066">INDEX(Funciones!$G$2:$G$372,MATCH($A1066,Funciones!$B$2:$B$372,0))</f>
        <v>Suministrar caudal de aceite de _____ L/min</v>
      </c>
      <c r="D1066" s="9" t="s">
        <v>4392</v>
      </c>
      <c r="E1066" s="9" t="s">
        <v>882</v>
      </c>
      <c r="F1066" s="9" t="s">
        <v>2270</v>
      </c>
      <c r="G1066" s="9" t="s">
        <v>2271</v>
      </c>
      <c r="H1066" s="18" t="str">
        <f t="array" ref="H1066">_xlfn.XLOOKUP(E:E,'Calificación consecuencia'!B:B,'Calificación consecuencia'!K:K,"No encontrada",2)</f>
        <v>Baja</v>
      </c>
      <c r="I1066" s="9" t="s">
        <v>2106</v>
      </c>
      <c r="J1066" s="20" t="s">
        <v>116</v>
      </c>
      <c r="K1066" s="21"/>
      <c r="L1066" s="21"/>
      <c r="M1066" s="22" t="s">
        <v>120</v>
      </c>
      <c r="N1066" s="21"/>
      <c r="O1066" s="22" t="s">
        <v>120</v>
      </c>
      <c r="P1066" s="21"/>
      <c r="Q1066" s="21"/>
      <c r="R1066" s="21"/>
      <c r="S1066" s="22" t="s">
        <v>120</v>
      </c>
      <c r="T1066" s="21"/>
      <c r="U1066" s="9" t="s">
        <v>1680</v>
      </c>
      <c r="V1066" s="9" t="s">
        <v>1408</v>
      </c>
    </row>
    <row r="1067" ht="14.25" customHeight="1">
      <c r="A1067" s="9" t="s">
        <v>1931</v>
      </c>
      <c r="B1067" s="9" t="s">
        <v>1930</v>
      </c>
      <c r="C1067" s="9" t="str">
        <f t="array" ref="C1067">INDEX(Funciones!$G$2:$G$372,MATCH($A1067,Funciones!$B$2:$B$372,0))</f>
        <v>Suministrar caudal de aceite de _____ L/min</v>
      </c>
      <c r="D1067" s="9" t="s">
        <v>4392</v>
      </c>
      <c r="E1067" s="9" t="s">
        <v>887</v>
      </c>
      <c r="F1067" s="9" t="s">
        <v>2296</v>
      </c>
      <c r="G1067" s="9" t="s">
        <v>2225</v>
      </c>
      <c r="H1067" s="18" t="str">
        <f t="array" ref="H1067">_xlfn.XLOOKUP(E:E,'Calificación consecuencia'!B:B,'Calificación consecuencia'!K:K,"No encontrada",2)</f>
        <v>Baja</v>
      </c>
      <c r="I1067" s="9" t="s">
        <v>2106</v>
      </c>
      <c r="J1067" s="20" t="s">
        <v>116</v>
      </c>
      <c r="K1067" s="21"/>
      <c r="L1067" s="21"/>
      <c r="M1067" s="22" t="s">
        <v>120</v>
      </c>
      <c r="N1067" s="21"/>
      <c r="O1067" s="22" t="s">
        <v>120</v>
      </c>
      <c r="P1067" s="21"/>
      <c r="Q1067" s="21"/>
      <c r="R1067" s="21"/>
      <c r="S1067" s="22" t="s">
        <v>120</v>
      </c>
      <c r="T1067" s="21"/>
      <c r="U1067" s="9" t="s">
        <v>1680</v>
      </c>
      <c r="V1067" s="9" t="s">
        <v>1408</v>
      </c>
    </row>
    <row r="1068" ht="14.25" customHeight="1">
      <c r="A1068" s="9" t="s">
        <v>1931</v>
      </c>
      <c r="B1068" s="9" t="s">
        <v>1930</v>
      </c>
      <c r="C1068" s="9" t="str">
        <f t="array" ref="C1068">INDEX(Funciones!$G$2:$G$372,MATCH($A1068,Funciones!$B$2:$B$372,0))</f>
        <v>Suministrar caudal de aceite de _____ L/min</v>
      </c>
      <c r="D1068" s="9" t="s">
        <v>4392</v>
      </c>
      <c r="E1068" s="9" t="s">
        <v>898</v>
      </c>
      <c r="F1068" s="9" t="s">
        <v>2322</v>
      </c>
      <c r="G1068" s="9" t="s">
        <v>2323</v>
      </c>
      <c r="H1068" s="18" t="str">
        <f t="array" ref="H1068">_xlfn.XLOOKUP(E:E,'Calificación consecuencia'!B:B,'Calificación consecuencia'!K:K,"No encontrada",2)</f>
        <v>Media</v>
      </c>
      <c r="I1068" s="9" t="s">
        <v>1800</v>
      </c>
      <c r="J1068" s="20" t="s">
        <v>116</v>
      </c>
      <c r="K1068" s="21"/>
      <c r="L1068" s="21"/>
      <c r="M1068" s="22" t="s">
        <v>120</v>
      </c>
      <c r="N1068" s="21"/>
      <c r="O1068" s="20" t="s">
        <v>116</v>
      </c>
      <c r="P1068" s="20" t="s">
        <v>116</v>
      </c>
      <c r="Q1068" s="21"/>
      <c r="R1068" s="21"/>
      <c r="S1068" s="21"/>
      <c r="T1068" s="21"/>
      <c r="U1068" s="9" t="s">
        <v>345</v>
      </c>
      <c r="V1068" s="9" t="s">
        <v>196</v>
      </c>
    </row>
    <row r="1069" ht="14.25" customHeight="1">
      <c r="A1069" s="9" t="s">
        <v>1931</v>
      </c>
      <c r="B1069" s="9" t="s">
        <v>1930</v>
      </c>
      <c r="C1069" s="9" t="str">
        <f t="array" ref="C1069">INDEX(Funciones!$G$2:$G$372,MATCH($A1069,Funciones!$B$2:$B$372,0))</f>
        <v>Suministrar caudal de aceite de _____ L/min</v>
      </c>
      <c r="D1069" s="9" t="s">
        <v>4392</v>
      </c>
      <c r="E1069" s="9" t="s">
        <v>902</v>
      </c>
      <c r="F1069" s="9" t="s">
        <v>2351</v>
      </c>
      <c r="G1069" s="9" t="s">
        <v>2353</v>
      </c>
      <c r="H1069" s="18" t="str">
        <f t="array" ref="H1069">_xlfn.XLOOKUP(E:E,'Calificación consecuencia'!B:B,'Calificación consecuencia'!K:K,"No encontrada",2)</f>
        <v>Baja</v>
      </c>
      <c r="I1069" s="9" t="s">
        <v>2106</v>
      </c>
      <c r="J1069" s="20" t="s">
        <v>116</v>
      </c>
      <c r="K1069" s="21"/>
      <c r="L1069" s="21"/>
      <c r="M1069" s="22" t="s">
        <v>120</v>
      </c>
      <c r="N1069" s="21"/>
      <c r="O1069" s="22" t="s">
        <v>120</v>
      </c>
      <c r="P1069" s="21"/>
      <c r="Q1069" s="21"/>
      <c r="R1069" s="21"/>
      <c r="S1069" s="22" t="s">
        <v>120</v>
      </c>
      <c r="T1069" s="21"/>
      <c r="U1069" s="9" t="s">
        <v>1680</v>
      </c>
      <c r="V1069" s="9" t="s">
        <v>1408</v>
      </c>
    </row>
    <row r="1070" ht="14.25" customHeight="1">
      <c r="A1070" s="27" t="s">
        <v>1936</v>
      </c>
      <c r="B1070" s="27" t="s">
        <v>1930</v>
      </c>
      <c r="C1070" s="27" t="str">
        <f t="array" ref="C1070">INDEX(Funciones!$G$2:$G$372,MATCH($A1070,Funciones!$B$2:$B$372,0))</f>
        <v>Generar presión hidráulica hasta _____ bar</v>
      </c>
      <c r="D1070" s="27" t="s">
        <v>4393</v>
      </c>
      <c r="E1070" s="27" t="s">
        <v>910</v>
      </c>
      <c r="F1070" s="27" t="s">
        <v>2386</v>
      </c>
      <c r="G1070" s="27" t="s">
        <v>2389</v>
      </c>
      <c r="H1070" s="18" t="str">
        <f t="array" ref="H1070">_xlfn.XLOOKUP(E:E,'Calificación consecuencia'!B:B,'Calificación consecuencia'!K:K,"No encontrada",2)</f>
        <v>Baja</v>
      </c>
      <c r="I1070" s="27" t="s">
        <v>2106</v>
      </c>
      <c r="J1070" s="30" t="s">
        <v>116</v>
      </c>
      <c r="K1070" s="21"/>
      <c r="L1070" s="21"/>
      <c r="M1070" s="29" t="s">
        <v>120</v>
      </c>
      <c r="N1070" s="21"/>
      <c r="O1070" s="29" t="s">
        <v>120</v>
      </c>
      <c r="P1070" s="21"/>
      <c r="Q1070" s="21"/>
      <c r="R1070" s="21"/>
      <c r="S1070" s="29" t="s">
        <v>120</v>
      </c>
      <c r="T1070" s="21"/>
      <c r="U1070" s="27" t="s">
        <v>1680</v>
      </c>
      <c r="V1070" s="27" t="s">
        <v>1408</v>
      </c>
    </row>
    <row r="1071" ht="14.25" customHeight="1">
      <c r="A1071" s="27" t="s">
        <v>1936</v>
      </c>
      <c r="B1071" s="27" t="s">
        <v>1930</v>
      </c>
      <c r="C1071" s="27" t="str">
        <f t="array" ref="C1071">INDEX(Funciones!$G$2:$G$372,MATCH($A1071,Funciones!$B$2:$B$372,0))</f>
        <v>Generar presión hidráulica hasta _____ bar</v>
      </c>
      <c r="D1071" s="27" t="s">
        <v>4393</v>
      </c>
      <c r="E1071" s="27" t="s">
        <v>854</v>
      </c>
      <c r="F1071" s="27" t="s">
        <v>2408</v>
      </c>
      <c r="G1071" s="27" t="s">
        <v>2166</v>
      </c>
      <c r="H1071" s="18" t="str">
        <f t="array" ref="H1071">_xlfn.XLOOKUP(E:E,'Calificación consecuencia'!B:B,'Calificación consecuencia'!K:K,"No encontrada",2)</f>
        <v>Media</v>
      </c>
      <c r="I1071" s="27" t="s">
        <v>1800</v>
      </c>
      <c r="J1071" s="30" t="s">
        <v>116</v>
      </c>
      <c r="K1071" s="21"/>
      <c r="L1071" s="21"/>
      <c r="M1071" s="29" t="s">
        <v>120</v>
      </c>
      <c r="N1071" s="21"/>
      <c r="O1071" s="30" t="s">
        <v>116</v>
      </c>
      <c r="P1071" s="30" t="s">
        <v>116</v>
      </c>
      <c r="Q1071" s="21"/>
      <c r="R1071" s="21"/>
      <c r="S1071" s="21"/>
      <c r="T1071" s="21"/>
      <c r="U1071" s="27" t="s">
        <v>345</v>
      </c>
      <c r="V1071" s="27" t="s">
        <v>196</v>
      </c>
    </row>
    <row r="1072" ht="14.25" customHeight="1">
      <c r="A1072" s="27" t="s">
        <v>1936</v>
      </c>
      <c r="B1072" s="27" t="s">
        <v>1930</v>
      </c>
      <c r="C1072" s="27" t="str">
        <f t="array" ref="C1072">INDEX(Funciones!$G$2:$G$372,MATCH($A1072,Funciones!$B$2:$B$372,0))</f>
        <v>Generar presión hidráulica hasta _____ bar</v>
      </c>
      <c r="D1072" s="27" t="s">
        <v>4393</v>
      </c>
      <c r="E1072" s="27" t="s">
        <v>930</v>
      </c>
      <c r="F1072" s="27" t="s">
        <v>2418</v>
      </c>
      <c r="G1072" s="27" t="s">
        <v>2419</v>
      </c>
      <c r="H1072" s="18" t="str">
        <f t="array" ref="H1072">_xlfn.XLOOKUP(E:E,'Calificación consecuencia'!B:B,'Calificación consecuencia'!K:K,"No encontrada",2)</f>
        <v>Baja</v>
      </c>
      <c r="I1072" s="27" t="s">
        <v>2106</v>
      </c>
      <c r="J1072" s="30" t="s">
        <v>116</v>
      </c>
      <c r="K1072" s="21"/>
      <c r="L1072" s="21"/>
      <c r="M1072" s="29" t="s">
        <v>120</v>
      </c>
      <c r="N1072" s="21"/>
      <c r="O1072" s="29" t="s">
        <v>120</v>
      </c>
      <c r="P1072" s="21"/>
      <c r="Q1072" s="21"/>
      <c r="R1072" s="21"/>
      <c r="S1072" s="29" t="s">
        <v>120</v>
      </c>
      <c r="T1072" s="21"/>
      <c r="U1072" s="27" t="s">
        <v>1680</v>
      </c>
      <c r="V1072" s="27" t="s">
        <v>1408</v>
      </c>
    </row>
    <row r="1073" ht="14.25" customHeight="1">
      <c r="A1073" s="27" t="s">
        <v>1936</v>
      </c>
      <c r="B1073" s="27" t="s">
        <v>1930</v>
      </c>
      <c r="C1073" s="27" t="str">
        <f t="array" ref="C1073">INDEX(Funciones!$G$2:$G$372,MATCH($A1073,Funciones!$B$2:$B$372,0))</f>
        <v>Generar presión hidráulica hasta _____ bar</v>
      </c>
      <c r="D1073" s="27" t="s">
        <v>4394</v>
      </c>
      <c r="E1073" s="27" t="s">
        <v>874</v>
      </c>
      <c r="F1073" s="27" t="s">
        <v>2426</v>
      </c>
      <c r="G1073" s="27" t="s">
        <v>2255</v>
      </c>
      <c r="H1073" s="18" t="str">
        <f t="array" ref="H1073">_xlfn.XLOOKUP(E:E,'Calificación consecuencia'!B:B,'Calificación consecuencia'!K:K,"No encontrada",2)</f>
        <v>Baja</v>
      </c>
      <c r="I1073" s="27" t="s">
        <v>1800</v>
      </c>
      <c r="J1073" s="30" t="s">
        <v>116</v>
      </c>
      <c r="K1073" s="21"/>
      <c r="L1073" s="21"/>
      <c r="M1073" s="29" t="s">
        <v>120</v>
      </c>
      <c r="N1073" s="21"/>
      <c r="O1073" s="30" t="s">
        <v>116</v>
      </c>
      <c r="P1073" s="30" t="s">
        <v>116</v>
      </c>
      <c r="Q1073" s="21"/>
      <c r="R1073" s="21"/>
      <c r="S1073" s="21"/>
      <c r="T1073" s="21"/>
      <c r="U1073" s="27" t="s">
        <v>345</v>
      </c>
      <c r="V1073" s="27" t="s">
        <v>196</v>
      </c>
    </row>
    <row r="1074" ht="14.25" customHeight="1">
      <c r="A1074" s="27" t="s">
        <v>1936</v>
      </c>
      <c r="B1074" s="27" t="s">
        <v>1930</v>
      </c>
      <c r="C1074" s="27" t="str">
        <f t="array" ref="C1074">INDEX(Funciones!$G$2:$G$372,MATCH($A1074,Funciones!$B$2:$B$372,0))</f>
        <v>Generar presión hidráulica hasta _____ bar</v>
      </c>
      <c r="D1074" s="27" t="s">
        <v>4394</v>
      </c>
      <c r="E1074" s="27" t="s">
        <v>948</v>
      </c>
      <c r="F1074" s="27" t="s">
        <v>2447</v>
      </c>
      <c r="G1074" s="27" t="s">
        <v>2448</v>
      </c>
      <c r="H1074" s="18" t="str">
        <f t="array" ref="H1074">_xlfn.XLOOKUP(E:E,'Calificación consecuencia'!B:B,'Calificación consecuencia'!K:K,"No encontrada",2)</f>
        <v>Baja</v>
      </c>
      <c r="I1074" s="27" t="s">
        <v>2106</v>
      </c>
      <c r="J1074" s="30" t="s">
        <v>116</v>
      </c>
      <c r="K1074" s="21"/>
      <c r="L1074" s="21"/>
      <c r="M1074" s="29" t="s">
        <v>120</v>
      </c>
      <c r="N1074" s="21"/>
      <c r="O1074" s="29" t="s">
        <v>120</v>
      </c>
      <c r="P1074" s="21"/>
      <c r="Q1074" s="21"/>
      <c r="R1074" s="21"/>
      <c r="S1074" s="29" t="s">
        <v>120</v>
      </c>
      <c r="T1074" s="21"/>
      <c r="U1074" s="27" t="s">
        <v>1680</v>
      </c>
      <c r="V1074" s="27" t="s">
        <v>1408</v>
      </c>
    </row>
    <row r="1075" ht="14.25" customHeight="1">
      <c r="A1075" s="27" t="s">
        <v>1936</v>
      </c>
      <c r="B1075" s="27" t="s">
        <v>1930</v>
      </c>
      <c r="C1075" s="27" t="str">
        <f t="array" ref="C1075">INDEX(Funciones!$G$2:$G$372,MATCH($A1075,Funciones!$B$2:$B$372,0))</f>
        <v>Generar presión hidráulica hasta _____ bar</v>
      </c>
      <c r="D1075" s="27" t="s">
        <v>4394</v>
      </c>
      <c r="E1075" s="27" t="s">
        <v>955</v>
      </c>
      <c r="F1075" s="27" t="s">
        <v>2471</v>
      </c>
      <c r="G1075" s="27" t="s">
        <v>2473</v>
      </c>
      <c r="H1075" s="18" t="str">
        <f t="array" ref="H1075">_xlfn.XLOOKUP(E:E,'Calificación consecuencia'!B:B,'Calificación consecuencia'!K:K,"No encontrada",2)</f>
        <v>Baja</v>
      </c>
      <c r="I1075" s="27" t="s">
        <v>2106</v>
      </c>
      <c r="J1075" s="30" t="s">
        <v>116</v>
      </c>
      <c r="K1075" s="21"/>
      <c r="L1075" s="21"/>
      <c r="M1075" s="29" t="s">
        <v>120</v>
      </c>
      <c r="N1075" s="21"/>
      <c r="O1075" s="29" t="s">
        <v>120</v>
      </c>
      <c r="P1075" s="21"/>
      <c r="Q1075" s="21"/>
      <c r="R1075" s="21"/>
      <c r="S1075" s="29" t="s">
        <v>120</v>
      </c>
      <c r="T1075" s="21"/>
      <c r="U1075" s="27" t="s">
        <v>1680</v>
      </c>
      <c r="V1075" s="27" t="s">
        <v>1408</v>
      </c>
    </row>
    <row r="1076" ht="14.25" customHeight="1">
      <c r="A1076" s="27" t="s">
        <v>1936</v>
      </c>
      <c r="B1076" s="27" t="s">
        <v>1930</v>
      </c>
      <c r="C1076" s="27" t="str">
        <f t="array" ref="C1076">INDEX(Funciones!$G$2:$G$372,MATCH($A1076,Funciones!$B$2:$B$372,0))</f>
        <v>Generar presión hidráulica hasta _____ bar</v>
      </c>
      <c r="D1076" s="27" t="s">
        <v>4395</v>
      </c>
      <c r="E1076" s="27" t="s">
        <v>966</v>
      </c>
      <c r="F1076" s="27" t="s">
        <v>2495</v>
      </c>
      <c r="G1076" s="27" t="s">
        <v>2498</v>
      </c>
      <c r="H1076" s="18" t="str">
        <f t="array" ref="H1076">_xlfn.XLOOKUP(E:E,'Calificación consecuencia'!B:B,'Calificación consecuencia'!K:K,"No encontrada",2)</f>
        <v>Baja</v>
      </c>
      <c r="I1076" s="27" t="s">
        <v>2106</v>
      </c>
      <c r="J1076" s="30" t="s">
        <v>116</v>
      </c>
      <c r="K1076" s="21"/>
      <c r="L1076" s="21"/>
      <c r="M1076" s="29" t="s">
        <v>120</v>
      </c>
      <c r="N1076" s="21"/>
      <c r="O1076" s="29" t="s">
        <v>120</v>
      </c>
      <c r="P1076" s="21"/>
      <c r="Q1076" s="21"/>
      <c r="R1076" s="21"/>
      <c r="S1076" s="29" t="s">
        <v>120</v>
      </c>
      <c r="T1076" s="21"/>
      <c r="U1076" s="27" t="s">
        <v>1680</v>
      </c>
      <c r="V1076" s="27" t="s">
        <v>1408</v>
      </c>
    </row>
    <row r="1077" ht="14.25" customHeight="1">
      <c r="A1077" s="9" t="s">
        <v>1938</v>
      </c>
      <c r="B1077" s="9" t="s">
        <v>1937</v>
      </c>
      <c r="C1077" s="9" t="str">
        <f t="array" ref="C1077">INDEX(Funciones!$G$2:$G$372,MATCH($A1077,Funciones!$B$2:$B$372,0))</f>
        <v>Posicionar el eje guía con presión de trabajo de _____ bar</v>
      </c>
      <c r="D1077" s="9" t="s">
        <v>4411</v>
      </c>
      <c r="E1077" s="9" t="s">
        <v>3643</v>
      </c>
      <c r="F1077" s="9" t="s">
        <v>4412</v>
      </c>
      <c r="G1077" s="9" t="s">
        <v>4413</v>
      </c>
      <c r="H1077" s="18" t="str">
        <f t="array" ref="H1077">_xlfn.XLOOKUP(E:E,'Calificación consecuencia'!B:B,'Calificación consecuencia'!K:K,"No encontrada",2)</f>
        <v>Baja</v>
      </c>
      <c r="I1077" s="9" t="s">
        <v>1800</v>
      </c>
      <c r="J1077" s="20" t="s">
        <v>116</v>
      </c>
      <c r="K1077" s="21"/>
      <c r="L1077" s="21"/>
      <c r="M1077" s="22" t="s">
        <v>120</v>
      </c>
      <c r="N1077" s="21"/>
      <c r="O1077" s="20" t="s">
        <v>116</v>
      </c>
      <c r="P1077" s="20" t="s">
        <v>116</v>
      </c>
      <c r="Q1077" s="21"/>
      <c r="R1077" s="21"/>
      <c r="S1077" s="21"/>
      <c r="T1077" s="21"/>
      <c r="U1077" s="9" t="s">
        <v>345</v>
      </c>
      <c r="V1077" s="9" t="s">
        <v>196</v>
      </c>
    </row>
    <row r="1078" ht="14.25" customHeight="1">
      <c r="A1078" s="9" t="s">
        <v>1938</v>
      </c>
      <c r="B1078" s="9" t="s">
        <v>1937</v>
      </c>
      <c r="C1078" s="9" t="str">
        <f t="array" ref="C1078">INDEX(Funciones!$G$2:$G$372,MATCH($A1078,Funciones!$B$2:$B$372,0))</f>
        <v>Posicionar el eje guía con presión de trabajo de _____ bar</v>
      </c>
      <c r="D1078" s="9" t="s">
        <v>4411</v>
      </c>
      <c r="E1078" s="9" t="s">
        <v>3644</v>
      </c>
      <c r="F1078" s="9" t="s">
        <v>4414</v>
      </c>
      <c r="G1078" s="9" t="s">
        <v>4415</v>
      </c>
      <c r="H1078" s="18" t="str">
        <f t="array" ref="H1078">_xlfn.XLOOKUP(E:E,'Calificación consecuencia'!B:B,'Calificación consecuencia'!K:K,"No encontrada",2)</f>
        <v>Baja</v>
      </c>
      <c r="I1078" s="9" t="s">
        <v>2106</v>
      </c>
      <c r="J1078" s="20" t="s">
        <v>116</v>
      </c>
      <c r="K1078" s="21"/>
      <c r="L1078" s="21"/>
      <c r="M1078" s="22" t="s">
        <v>120</v>
      </c>
      <c r="N1078" s="21"/>
      <c r="O1078" s="22" t="s">
        <v>120</v>
      </c>
      <c r="P1078" s="21"/>
      <c r="Q1078" s="21"/>
      <c r="R1078" s="21"/>
      <c r="S1078" s="22" t="s">
        <v>120</v>
      </c>
      <c r="T1078" s="21"/>
      <c r="U1078" s="9" t="s">
        <v>1680</v>
      </c>
      <c r="V1078" s="9" t="s">
        <v>1408</v>
      </c>
    </row>
    <row r="1079" ht="14.25" customHeight="1">
      <c r="A1079" s="9" t="s">
        <v>1938</v>
      </c>
      <c r="B1079" s="9" t="s">
        <v>1937</v>
      </c>
      <c r="C1079" s="9" t="str">
        <f t="array" ref="C1079">INDEX(Funciones!$G$2:$G$372,MATCH($A1079,Funciones!$B$2:$B$372,0))</f>
        <v>Posicionar el eje guía con presión de trabajo de _____ bar</v>
      </c>
      <c r="D1079" s="9" t="s">
        <v>4416</v>
      </c>
      <c r="E1079" s="9" t="s">
        <v>3320</v>
      </c>
      <c r="F1079" s="9" t="s">
        <v>4417</v>
      </c>
      <c r="G1079" s="9" t="s">
        <v>4154</v>
      </c>
      <c r="H1079" s="18" t="str">
        <f t="array" ref="H1079">_xlfn.XLOOKUP(E:E,'Calificación consecuencia'!B:B,'Calificación consecuencia'!K:K,"No encontrada",2)</f>
        <v>Baja</v>
      </c>
      <c r="I1079" s="9" t="s">
        <v>1800</v>
      </c>
      <c r="J1079" s="20" t="s">
        <v>116</v>
      </c>
      <c r="K1079" s="21"/>
      <c r="L1079" s="21"/>
      <c r="M1079" s="22" t="s">
        <v>120</v>
      </c>
      <c r="N1079" s="21"/>
      <c r="O1079" s="20" t="s">
        <v>116</v>
      </c>
      <c r="P1079" s="20" t="s">
        <v>116</v>
      </c>
      <c r="Q1079" s="21"/>
      <c r="R1079" s="21"/>
      <c r="S1079" s="21"/>
      <c r="T1079" s="21"/>
      <c r="U1079" s="9" t="s">
        <v>345</v>
      </c>
      <c r="V1079" s="9" t="s">
        <v>196</v>
      </c>
    </row>
    <row r="1080" ht="14.25" customHeight="1">
      <c r="A1080" s="27" t="s">
        <v>1952</v>
      </c>
      <c r="B1080" s="27" t="s">
        <v>1951</v>
      </c>
      <c r="C1080" s="27" t="str">
        <f t="array" ref="C1080">INDEX(Funciones!$G$2:$G$372,MATCH($A1080,Funciones!$B$2:$B$372,0))</f>
        <v>Sellar la cabina con 0 filtraciones en prueba de agua</v>
      </c>
      <c r="D1080" s="27" t="s">
        <v>3649</v>
      </c>
      <c r="E1080" s="27" t="s">
        <v>1157</v>
      </c>
      <c r="F1080" s="27" t="s">
        <v>3650</v>
      </c>
      <c r="G1080" s="27" t="s">
        <v>3279</v>
      </c>
      <c r="H1080" s="18" t="str">
        <f t="array" ref="H1080">_xlfn.XLOOKUP(E:E,'Calificación consecuencia'!B:B,'Calificación consecuencia'!K:K,"No encontrada",2)</f>
        <v>Baja</v>
      </c>
      <c r="I1080" s="27" t="s">
        <v>2106</v>
      </c>
      <c r="J1080" s="30" t="s">
        <v>116</v>
      </c>
      <c r="K1080" s="21"/>
      <c r="L1080" s="21"/>
      <c r="M1080" s="29" t="s">
        <v>120</v>
      </c>
      <c r="N1080" s="21"/>
      <c r="O1080" s="30" t="s">
        <v>116</v>
      </c>
      <c r="P1080" s="30" t="s">
        <v>116</v>
      </c>
      <c r="Q1080" s="21"/>
      <c r="R1080" s="21"/>
      <c r="S1080" s="21"/>
      <c r="T1080" s="21"/>
      <c r="U1080" s="27" t="s">
        <v>345</v>
      </c>
      <c r="V1080" s="27" t="s">
        <v>196</v>
      </c>
    </row>
    <row r="1081" ht="14.25" customHeight="1">
      <c r="A1081" s="27" t="s">
        <v>1952</v>
      </c>
      <c r="B1081" s="27" t="s">
        <v>1951</v>
      </c>
      <c r="C1081" s="27" t="str">
        <f t="array" ref="C1081">INDEX(Funciones!$G$2:$G$372,MATCH($A1081,Funciones!$B$2:$B$372,0))</f>
        <v>Sellar la cabina con 0 filtraciones en prueba de agua</v>
      </c>
      <c r="D1081" s="27" t="s">
        <v>3651</v>
      </c>
      <c r="E1081" s="27" t="s">
        <v>1167</v>
      </c>
      <c r="F1081" s="27" t="s">
        <v>3652</v>
      </c>
      <c r="G1081" s="27" t="s">
        <v>3282</v>
      </c>
      <c r="H1081" s="18" t="str">
        <f t="array" ref="H1081">_xlfn.XLOOKUP(E:E,'Calificación consecuencia'!B:B,'Calificación consecuencia'!K:K,"No encontrada",2)</f>
        <v>Baja</v>
      </c>
      <c r="I1081" s="27" t="s">
        <v>2106</v>
      </c>
      <c r="J1081" s="30" t="s">
        <v>116</v>
      </c>
      <c r="K1081" s="21"/>
      <c r="L1081" s="21"/>
      <c r="M1081" s="29" t="s">
        <v>120</v>
      </c>
      <c r="N1081" s="21"/>
      <c r="O1081" s="29" t="s">
        <v>120</v>
      </c>
      <c r="P1081" s="21"/>
      <c r="Q1081" s="21"/>
      <c r="R1081" s="21"/>
      <c r="S1081" s="29" t="s">
        <v>120</v>
      </c>
      <c r="T1081" s="21"/>
      <c r="U1081" s="27" t="s">
        <v>1680</v>
      </c>
      <c r="V1081" s="27" t="s">
        <v>1408</v>
      </c>
    </row>
    <row r="1082" ht="14.25" customHeight="1">
      <c r="A1082" s="27" t="s">
        <v>1952</v>
      </c>
      <c r="B1082" s="27" t="s">
        <v>1951</v>
      </c>
      <c r="C1082" s="27" t="str">
        <f t="array" ref="C1082">INDEX(Funciones!$G$2:$G$372,MATCH($A1082,Funciones!$B$2:$B$372,0))</f>
        <v>Sellar la cabina con 0 filtraciones en prueba de agua</v>
      </c>
      <c r="D1082" s="27" t="s">
        <v>3651</v>
      </c>
      <c r="E1082" s="27" t="s">
        <v>1176</v>
      </c>
      <c r="F1082" s="27" t="s">
        <v>3653</v>
      </c>
      <c r="G1082" s="27" t="s">
        <v>3284</v>
      </c>
      <c r="H1082" s="18" t="str">
        <f t="array" ref="H1082">_xlfn.XLOOKUP(E:E,'Calificación consecuencia'!B:B,'Calificación consecuencia'!K:K,"No encontrada",2)</f>
        <v>Baja</v>
      </c>
      <c r="I1082" s="27" t="s">
        <v>2106</v>
      </c>
      <c r="J1082" s="30" t="s">
        <v>116</v>
      </c>
      <c r="K1082" s="21"/>
      <c r="L1082" s="21"/>
      <c r="M1082" s="29" t="s">
        <v>120</v>
      </c>
      <c r="N1082" s="21"/>
      <c r="O1082" s="29" t="s">
        <v>120</v>
      </c>
      <c r="P1082" s="21"/>
      <c r="Q1082" s="21"/>
      <c r="R1082" s="21"/>
      <c r="S1082" s="29" t="s">
        <v>120</v>
      </c>
      <c r="T1082" s="21"/>
      <c r="U1082" s="27" t="s">
        <v>1680</v>
      </c>
      <c r="V1082" s="27" t="s">
        <v>1408</v>
      </c>
    </row>
    <row r="1083" ht="14.25" customHeight="1">
      <c r="A1083" s="27" t="s">
        <v>1952</v>
      </c>
      <c r="B1083" s="27" t="s">
        <v>1951</v>
      </c>
      <c r="C1083" s="27" t="str">
        <f t="array" ref="C1083">INDEX(Funciones!$G$2:$G$372,MATCH($A1083,Funciones!$B$2:$B$372,0))</f>
        <v>Sellar la cabina con 0 filtraciones en prueba de agua</v>
      </c>
      <c r="D1083" s="27" t="s">
        <v>3651</v>
      </c>
      <c r="E1083" s="27" t="s">
        <v>1184</v>
      </c>
      <c r="F1083" s="27" t="s">
        <v>3654</v>
      </c>
      <c r="G1083" s="27" t="s">
        <v>3286</v>
      </c>
      <c r="H1083" s="18" t="str">
        <f t="array" ref="H1083">_xlfn.XLOOKUP(E:E,'Calificación consecuencia'!B:B,'Calificación consecuencia'!K:K,"No encontrada",2)</f>
        <v>Baja</v>
      </c>
      <c r="I1083" s="27" t="s">
        <v>2106</v>
      </c>
      <c r="J1083" s="30" t="s">
        <v>116</v>
      </c>
      <c r="K1083" s="21"/>
      <c r="L1083" s="21"/>
      <c r="M1083" s="29" t="s">
        <v>120</v>
      </c>
      <c r="N1083" s="21"/>
      <c r="O1083" s="29" t="s">
        <v>120</v>
      </c>
      <c r="P1083" s="21"/>
      <c r="Q1083" s="21"/>
      <c r="R1083" s="21"/>
      <c r="S1083" s="29" t="s">
        <v>120</v>
      </c>
      <c r="T1083" s="21"/>
      <c r="U1083" s="27" t="s">
        <v>1680</v>
      </c>
      <c r="V1083" s="27" t="s">
        <v>1408</v>
      </c>
    </row>
    <row r="1084" ht="14.25" customHeight="1">
      <c r="A1084" s="9" t="s">
        <v>1957</v>
      </c>
      <c r="B1084" s="9" t="s">
        <v>1956</v>
      </c>
      <c r="C1084" s="9" t="str">
        <f t="array" ref="C1084">INDEX(Funciones!$G$2:$G$372,MATCH($A1084,Funciones!$B$2:$B$372,0))</f>
        <v>Suministrar la corriente de arranque con tensión mínima de 19,2 V</v>
      </c>
      <c r="D1084" s="9" t="s">
        <v>3287</v>
      </c>
      <c r="E1084" s="9" t="s">
        <v>1191</v>
      </c>
      <c r="F1084" s="9" t="s">
        <v>3288</v>
      </c>
      <c r="G1084" s="9" t="s">
        <v>3289</v>
      </c>
      <c r="H1084" s="18" t="str">
        <f t="array" ref="H1084">_xlfn.XLOOKUP(E:E,'Calificación consecuencia'!B:B,'Calificación consecuencia'!K:K,"No encontrada",2)</f>
        <v>Media</v>
      </c>
      <c r="I1084" s="9" t="s">
        <v>339</v>
      </c>
      <c r="J1084" s="20" t="s">
        <v>116</v>
      </c>
      <c r="K1084" s="21"/>
      <c r="L1084" s="21"/>
      <c r="M1084" s="22" t="s">
        <v>120</v>
      </c>
      <c r="N1084" s="21"/>
      <c r="O1084" s="20" t="s">
        <v>116</v>
      </c>
      <c r="P1084" s="22" t="s">
        <v>120</v>
      </c>
      <c r="Q1084" s="20" t="s">
        <v>116</v>
      </c>
      <c r="R1084" s="21"/>
      <c r="S1084" s="21"/>
      <c r="T1084" s="21"/>
      <c r="U1084" s="9" t="s">
        <v>785</v>
      </c>
      <c r="V1084" s="9" t="s">
        <v>786</v>
      </c>
    </row>
    <row r="1085" ht="14.25" customHeight="1">
      <c r="A1085" s="9" t="s">
        <v>1957</v>
      </c>
      <c r="B1085" s="9" t="s">
        <v>1956</v>
      </c>
      <c r="C1085" s="9" t="str">
        <f t="array" ref="C1085">INDEX(Funciones!$G$2:$G$372,MATCH($A1085,Funciones!$B$2:$B$372,0))</f>
        <v>Suministrar la corriente de arranque con tensión mínima de 19,2 V</v>
      </c>
      <c r="D1085" s="9" t="s">
        <v>3287</v>
      </c>
      <c r="E1085" s="9" t="s">
        <v>1195</v>
      </c>
      <c r="F1085" s="9" t="s">
        <v>3290</v>
      </c>
      <c r="G1085" s="9" t="s">
        <v>3291</v>
      </c>
      <c r="H1085" s="18" t="str">
        <f t="array" ref="H1085">_xlfn.XLOOKUP(E:E,'Calificación consecuencia'!B:B,'Calificación consecuencia'!K:K,"No encontrada",2)</f>
        <v>Baja</v>
      </c>
      <c r="I1085" s="9" t="s">
        <v>339</v>
      </c>
      <c r="J1085" s="20" t="s">
        <v>116</v>
      </c>
      <c r="K1085" s="21"/>
      <c r="L1085" s="21"/>
      <c r="M1085" s="22" t="s">
        <v>120</v>
      </c>
      <c r="N1085" s="21"/>
      <c r="O1085" s="20" t="s">
        <v>116</v>
      </c>
      <c r="P1085" s="22" t="s">
        <v>120</v>
      </c>
      <c r="Q1085" s="20" t="s">
        <v>116</v>
      </c>
      <c r="R1085" s="21"/>
      <c r="S1085" s="21"/>
      <c r="T1085" s="21"/>
      <c r="U1085" s="9" t="s">
        <v>785</v>
      </c>
      <c r="V1085" s="9" t="s">
        <v>786</v>
      </c>
    </row>
    <row r="1086" ht="14.25" customHeight="1">
      <c r="A1086" s="9" t="s">
        <v>1957</v>
      </c>
      <c r="B1086" s="9" t="s">
        <v>1956</v>
      </c>
      <c r="C1086" s="9" t="str">
        <f t="array" ref="C1086">INDEX(Funciones!$G$2:$G$372,MATCH($A1086,Funciones!$B$2:$B$372,0))</f>
        <v>Suministrar la corriente de arranque con tensión mínima de 19,2 V</v>
      </c>
      <c r="D1086" s="9" t="s">
        <v>3287</v>
      </c>
      <c r="E1086" s="9" t="s">
        <v>1204</v>
      </c>
      <c r="F1086" s="9" t="s">
        <v>3292</v>
      </c>
      <c r="G1086" s="9" t="s">
        <v>3293</v>
      </c>
      <c r="H1086" s="18" t="str">
        <f t="array" ref="H1086">_xlfn.XLOOKUP(E:E,'Calificación consecuencia'!B:B,'Calificación consecuencia'!K:K,"No encontrada",2)</f>
        <v>Baja</v>
      </c>
      <c r="I1086" s="9" t="s">
        <v>339</v>
      </c>
      <c r="J1086" s="20" t="s">
        <v>116</v>
      </c>
      <c r="K1086" s="21"/>
      <c r="L1086" s="21"/>
      <c r="M1086" s="22" t="s">
        <v>120</v>
      </c>
      <c r="N1086" s="21"/>
      <c r="O1086" s="20" t="s">
        <v>116</v>
      </c>
      <c r="P1086" s="22" t="s">
        <v>120</v>
      </c>
      <c r="Q1086" s="22" t="s">
        <v>120</v>
      </c>
      <c r="R1086" s="20" t="s">
        <v>116</v>
      </c>
      <c r="S1086" s="21"/>
      <c r="T1086" s="21"/>
      <c r="U1086" s="9" t="s">
        <v>1680</v>
      </c>
      <c r="V1086" s="9" t="s">
        <v>1408</v>
      </c>
    </row>
    <row r="1087" ht="14.25" customHeight="1">
      <c r="A1087" s="9" t="s">
        <v>1957</v>
      </c>
      <c r="B1087" s="9" t="s">
        <v>1956</v>
      </c>
      <c r="C1087" s="9" t="str">
        <f t="array" ref="C1087">INDEX(Funciones!$G$2:$G$372,MATCH($A1087,Funciones!$B$2:$B$372,0))</f>
        <v>Suministrar la corriente de arranque con tensión mínima de 19,2 V</v>
      </c>
      <c r="D1087" s="9" t="s">
        <v>3287</v>
      </c>
      <c r="E1087" s="9" t="s">
        <v>1210</v>
      </c>
      <c r="F1087" s="9" t="s">
        <v>3297</v>
      </c>
      <c r="G1087" s="9" t="s">
        <v>3298</v>
      </c>
      <c r="H1087" s="18" t="str">
        <f t="array" ref="H1087">_xlfn.XLOOKUP(E:E,'Calificación consecuencia'!B:B,'Calificación consecuencia'!K:K,"No encontrada",2)</f>
        <v>Media</v>
      </c>
      <c r="I1087" s="9" t="s">
        <v>339</v>
      </c>
      <c r="J1087" s="20" t="s">
        <v>116</v>
      </c>
      <c r="K1087" s="21"/>
      <c r="L1087" s="21"/>
      <c r="M1087" s="22" t="s">
        <v>120</v>
      </c>
      <c r="N1087" s="21"/>
      <c r="O1087" s="20" t="s">
        <v>116</v>
      </c>
      <c r="P1087" s="22" t="s">
        <v>120</v>
      </c>
      <c r="Q1087" s="20" t="s">
        <v>116</v>
      </c>
      <c r="R1087" s="21"/>
      <c r="S1087" s="21"/>
      <c r="T1087" s="21"/>
      <c r="U1087" s="9" t="s">
        <v>785</v>
      </c>
      <c r="V1087" s="9" t="s">
        <v>786</v>
      </c>
    </row>
    <row r="1088" ht="14.25" customHeight="1">
      <c r="A1088" s="9" t="s">
        <v>1957</v>
      </c>
      <c r="B1088" s="9" t="s">
        <v>1956</v>
      </c>
      <c r="C1088" s="9" t="str">
        <f t="array" ref="C1088">INDEX(Funciones!$G$2:$G$372,MATCH($A1088,Funciones!$B$2:$B$372,0))</f>
        <v>Suministrar la corriente de arranque con tensión mínima de 19,2 V</v>
      </c>
      <c r="D1088" s="9" t="s">
        <v>3287</v>
      </c>
      <c r="E1088" s="9" t="s">
        <v>1219</v>
      </c>
      <c r="F1088" s="9" t="s">
        <v>3301</v>
      </c>
      <c r="G1088" s="9" t="s">
        <v>3302</v>
      </c>
      <c r="H1088" s="18" t="str">
        <f t="array" ref="H1088">_xlfn.XLOOKUP(E:E,'Calificación consecuencia'!B:B,'Calificación consecuencia'!K:K,"No encontrada",2)</f>
        <v>Media</v>
      </c>
      <c r="I1088" s="9" t="s">
        <v>339</v>
      </c>
      <c r="J1088" s="20" t="s">
        <v>116</v>
      </c>
      <c r="K1088" s="21"/>
      <c r="L1088" s="21"/>
      <c r="M1088" s="22" t="s">
        <v>120</v>
      </c>
      <c r="N1088" s="21"/>
      <c r="O1088" s="20" t="s">
        <v>116</v>
      </c>
      <c r="P1088" s="22" t="s">
        <v>120</v>
      </c>
      <c r="Q1088" s="20" t="s">
        <v>116</v>
      </c>
      <c r="R1088" s="21"/>
      <c r="S1088" s="21"/>
      <c r="T1088" s="21"/>
      <c r="U1088" s="9" t="s">
        <v>785</v>
      </c>
      <c r="V1088" s="9" t="s">
        <v>786</v>
      </c>
    </row>
    <row r="1089" ht="14.25" customHeight="1">
      <c r="A1089" s="9" t="s">
        <v>1957</v>
      </c>
      <c r="B1089" s="9" t="s">
        <v>1956</v>
      </c>
      <c r="C1089" s="9" t="str">
        <f t="array" ref="C1089">INDEX(Funciones!$G$2:$G$372,MATCH($A1089,Funciones!$B$2:$B$372,0))</f>
        <v>Suministrar la corriente de arranque con tensión mínima de 19,2 V</v>
      </c>
      <c r="D1089" s="9" t="s">
        <v>3304</v>
      </c>
      <c r="E1089" s="9" t="s">
        <v>1228</v>
      </c>
      <c r="F1089" s="9" t="s">
        <v>3305</v>
      </c>
      <c r="G1089" s="9" t="s">
        <v>3306</v>
      </c>
      <c r="H1089" s="18" t="str">
        <f t="array" ref="H1089">_xlfn.XLOOKUP(E:E,'Calificación consecuencia'!B:B,'Calificación consecuencia'!K:K,"No encontrada",2)</f>
        <v>Baja</v>
      </c>
      <c r="I1089" s="9" t="s">
        <v>2106</v>
      </c>
      <c r="J1089" s="20" t="s">
        <v>116</v>
      </c>
      <c r="K1089" s="21"/>
      <c r="L1089" s="21"/>
      <c r="M1089" s="22" t="s">
        <v>120</v>
      </c>
      <c r="N1089" s="21"/>
      <c r="O1089" s="22" t="s">
        <v>120</v>
      </c>
      <c r="P1089" s="21"/>
      <c r="Q1089" s="21"/>
      <c r="R1089" s="21"/>
      <c r="S1089" s="22" t="s">
        <v>120</v>
      </c>
      <c r="T1089" s="21"/>
      <c r="U1089" s="9" t="s">
        <v>1680</v>
      </c>
      <c r="V1089" s="9" t="s">
        <v>1408</v>
      </c>
    </row>
    <row r="1090" ht="14.25" customHeight="1">
      <c r="A1090" s="9" t="s">
        <v>1957</v>
      </c>
      <c r="B1090" s="9" t="s">
        <v>1956</v>
      </c>
      <c r="C1090" s="9" t="str">
        <f t="array" ref="C1090">INDEX(Funciones!$G$2:$G$372,MATCH($A1090,Funciones!$B$2:$B$372,0))</f>
        <v>Suministrar la corriente de arranque con tensión mínima de 19,2 V</v>
      </c>
      <c r="D1090" s="9" t="s">
        <v>3304</v>
      </c>
      <c r="E1090" s="9" t="s">
        <v>1233</v>
      </c>
      <c r="F1090" s="9" t="s">
        <v>3307</v>
      </c>
      <c r="G1090" s="9" t="s">
        <v>3308</v>
      </c>
      <c r="H1090" s="18" t="str">
        <f t="array" ref="H1090">_xlfn.XLOOKUP(E:E,'Calificación consecuencia'!B:B,'Calificación consecuencia'!K:K,"No encontrada",2)</f>
        <v>Baja</v>
      </c>
      <c r="I1090" s="9" t="s">
        <v>2106</v>
      </c>
      <c r="J1090" s="20" t="s">
        <v>116</v>
      </c>
      <c r="K1090" s="21"/>
      <c r="L1090" s="21"/>
      <c r="M1090" s="22" t="s">
        <v>120</v>
      </c>
      <c r="N1090" s="21"/>
      <c r="O1090" s="22" t="s">
        <v>120</v>
      </c>
      <c r="P1090" s="21"/>
      <c r="Q1090" s="21"/>
      <c r="R1090" s="21"/>
      <c r="S1090" s="22" t="s">
        <v>120</v>
      </c>
      <c r="T1090" s="21"/>
      <c r="U1090" s="9" t="s">
        <v>1680</v>
      </c>
      <c r="V1090" s="9" t="s">
        <v>1408</v>
      </c>
    </row>
    <row r="1091" ht="14.25" customHeight="1">
      <c r="A1091" s="27" t="s">
        <v>1961</v>
      </c>
      <c r="B1091" s="27" t="s">
        <v>1956</v>
      </c>
      <c r="C1091" s="27" t="str">
        <f t="array" ref="C1091">INDEX(Funciones!$G$2:$G$372,MATCH($A1091,Funciones!$B$2:$B$372,0))</f>
        <v>Almacenar energía eléctrica con tensión mínima de 19,2 V</v>
      </c>
      <c r="D1091" s="27" t="s">
        <v>3309</v>
      </c>
      <c r="E1091" s="27" t="s">
        <v>1191</v>
      </c>
      <c r="F1091" s="27" t="s">
        <v>3288</v>
      </c>
      <c r="G1091" s="27" t="s">
        <v>3289</v>
      </c>
      <c r="H1091" s="18" t="str">
        <f t="array" ref="H1091">_xlfn.XLOOKUP(E:E,'Calificación consecuencia'!B:B,'Calificación consecuencia'!K:K,"No encontrada",2)</f>
        <v>Media</v>
      </c>
      <c r="I1091" s="27" t="s">
        <v>339</v>
      </c>
      <c r="J1091" s="30" t="s">
        <v>116</v>
      </c>
      <c r="K1091" s="21"/>
      <c r="L1091" s="21"/>
      <c r="M1091" s="29" t="s">
        <v>120</v>
      </c>
      <c r="N1091" s="21"/>
      <c r="O1091" s="30" t="s">
        <v>116</v>
      </c>
      <c r="P1091" s="29" t="s">
        <v>120</v>
      </c>
      <c r="Q1091" s="30" t="s">
        <v>116</v>
      </c>
      <c r="R1091" s="21"/>
      <c r="S1091" s="21"/>
      <c r="T1091" s="21"/>
      <c r="U1091" s="27" t="s">
        <v>785</v>
      </c>
      <c r="V1091" s="27" t="s">
        <v>786</v>
      </c>
    </row>
    <row r="1092" ht="14.25" customHeight="1">
      <c r="A1092" s="27" t="s">
        <v>1961</v>
      </c>
      <c r="B1092" s="27" t="s">
        <v>1956</v>
      </c>
      <c r="C1092" s="27" t="str">
        <f t="array" ref="C1092">INDEX(Funciones!$G$2:$G$372,MATCH($A1092,Funciones!$B$2:$B$372,0))</f>
        <v>Almacenar energía eléctrica con tensión mínima de 19,2 V</v>
      </c>
      <c r="D1092" s="27" t="s">
        <v>3309</v>
      </c>
      <c r="E1092" s="27" t="s">
        <v>1204</v>
      </c>
      <c r="F1092" s="27" t="s">
        <v>3292</v>
      </c>
      <c r="G1092" s="27" t="s">
        <v>3293</v>
      </c>
      <c r="H1092" s="18" t="str">
        <f t="array" ref="H1092">_xlfn.XLOOKUP(E:E,'Calificación consecuencia'!B:B,'Calificación consecuencia'!K:K,"No encontrada",2)</f>
        <v>Baja</v>
      </c>
      <c r="I1092" s="27" t="s">
        <v>339</v>
      </c>
      <c r="J1092" s="30" t="s">
        <v>116</v>
      </c>
      <c r="K1092" s="21"/>
      <c r="L1092" s="21"/>
      <c r="M1092" s="29" t="s">
        <v>120</v>
      </c>
      <c r="N1092" s="21"/>
      <c r="O1092" s="30" t="s">
        <v>116</v>
      </c>
      <c r="P1092" s="29" t="s">
        <v>120</v>
      </c>
      <c r="Q1092" s="29" t="s">
        <v>120</v>
      </c>
      <c r="R1092" s="30" t="s">
        <v>116</v>
      </c>
      <c r="S1092" s="21"/>
      <c r="T1092" s="21"/>
      <c r="U1092" s="27" t="s">
        <v>1680</v>
      </c>
      <c r="V1092" s="27" t="s">
        <v>1408</v>
      </c>
    </row>
    <row r="1093" ht="14.25" customHeight="1">
      <c r="A1093" s="27" t="s">
        <v>1961</v>
      </c>
      <c r="B1093" s="27" t="s">
        <v>1956</v>
      </c>
      <c r="C1093" s="27" t="str">
        <f t="array" ref="C1093">INDEX(Funciones!$G$2:$G$372,MATCH($A1093,Funciones!$B$2:$B$372,0))</f>
        <v>Almacenar energía eléctrica con tensión mínima de 19,2 V</v>
      </c>
      <c r="D1093" s="27" t="s">
        <v>3310</v>
      </c>
      <c r="E1093" s="27" t="s">
        <v>1228</v>
      </c>
      <c r="F1093" s="27" t="s">
        <v>3305</v>
      </c>
      <c r="G1093" s="27" t="s">
        <v>3306</v>
      </c>
      <c r="H1093" s="18" t="str">
        <f t="array" ref="H1093">_xlfn.XLOOKUP(E:E,'Calificación consecuencia'!B:B,'Calificación consecuencia'!K:K,"No encontrada",2)</f>
        <v>Baja</v>
      </c>
      <c r="I1093" s="27" t="s">
        <v>2106</v>
      </c>
      <c r="J1093" s="30" t="s">
        <v>116</v>
      </c>
      <c r="K1093" s="21"/>
      <c r="L1093" s="21"/>
      <c r="M1093" s="29" t="s">
        <v>120</v>
      </c>
      <c r="N1093" s="21"/>
      <c r="O1093" s="29" t="s">
        <v>120</v>
      </c>
      <c r="P1093" s="21"/>
      <c r="Q1093" s="21"/>
      <c r="R1093" s="21"/>
      <c r="S1093" s="29" t="s">
        <v>120</v>
      </c>
      <c r="T1093" s="21"/>
      <c r="U1093" s="27" t="s">
        <v>1680</v>
      </c>
      <c r="V1093" s="27" t="s">
        <v>1408</v>
      </c>
    </row>
    <row r="1094" ht="14.25" customHeight="1">
      <c r="A1094" s="9" t="s">
        <v>1966</v>
      </c>
      <c r="B1094" s="9" t="s">
        <v>1965</v>
      </c>
      <c r="C1094" s="9" t="str">
        <f t="array" ref="C1094">INDEX(Funciones!$G$2:$G$372,MATCH($A1094,Funciones!$B$2:$B$372,0))</f>
        <v>Elevar al personal hasta _____ kg</v>
      </c>
      <c r="D1094" s="9" t="s">
        <v>4418</v>
      </c>
      <c r="E1094" s="9" t="s">
        <v>3646</v>
      </c>
      <c r="F1094" s="9" t="s">
        <v>4419</v>
      </c>
      <c r="G1094" s="9" t="s">
        <v>4420</v>
      </c>
      <c r="H1094" s="18" t="str">
        <f t="array" ref="H1094">_xlfn.XLOOKUP(E:E,'Calificación consecuencia'!B:B,'Calificación consecuencia'!K:K,"No encontrada",2)</f>
        <v>Media</v>
      </c>
      <c r="I1094" s="9" t="s">
        <v>425</v>
      </c>
      <c r="J1094" s="20" t="s">
        <v>116</v>
      </c>
      <c r="K1094" s="21"/>
      <c r="L1094" s="21"/>
      <c r="M1094" s="20" t="s">
        <v>116</v>
      </c>
      <c r="N1094" s="20" t="s">
        <v>116</v>
      </c>
      <c r="O1094" s="21"/>
      <c r="P1094" s="21"/>
      <c r="Q1094" s="21"/>
      <c r="R1094" s="21"/>
      <c r="S1094" s="21"/>
      <c r="T1094" s="21"/>
      <c r="U1094" s="9" t="s">
        <v>195</v>
      </c>
      <c r="V1094" s="9" t="s">
        <v>196</v>
      </c>
    </row>
    <row r="1095" ht="14.25" customHeight="1">
      <c r="A1095" s="9" t="s">
        <v>1966</v>
      </c>
      <c r="B1095" s="9" t="s">
        <v>1965</v>
      </c>
      <c r="C1095" s="9" t="str">
        <f t="array" ref="C1095">INDEX(Funciones!$G$2:$G$372,MATCH($A1095,Funciones!$B$2:$B$372,0))</f>
        <v>Elevar al personal hasta _____ kg</v>
      </c>
      <c r="D1095" s="9" t="s">
        <v>4418</v>
      </c>
      <c r="E1095" s="9" t="s">
        <v>3647</v>
      </c>
      <c r="F1095" s="9" t="s">
        <v>4421</v>
      </c>
      <c r="G1095" s="9" t="s">
        <v>4422</v>
      </c>
      <c r="H1095" s="18" t="str">
        <f t="array" ref="H1095">_xlfn.XLOOKUP(E:E,'Calificación consecuencia'!B:B,'Calificación consecuencia'!K:K,"No encontrada",2)</f>
        <v>Media</v>
      </c>
      <c r="I1095" s="9" t="s">
        <v>425</v>
      </c>
      <c r="J1095" s="20" t="s">
        <v>116</v>
      </c>
      <c r="K1095" s="21"/>
      <c r="L1095" s="21"/>
      <c r="M1095" s="20" t="s">
        <v>116</v>
      </c>
      <c r="N1095" s="20" t="s">
        <v>116</v>
      </c>
      <c r="O1095" s="21"/>
      <c r="P1095" s="21"/>
      <c r="Q1095" s="21"/>
      <c r="R1095" s="21"/>
      <c r="S1095" s="21"/>
      <c r="T1095" s="21"/>
      <c r="U1095" s="9" t="s">
        <v>195</v>
      </c>
      <c r="V1095" s="9" t="s">
        <v>196</v>
      </c>
    </row>
    <row r="1096" ht="14.25" customHeight="1">
      <c r="A1096" s="9" t="s">
        <v>1966</v>
      </c>
      <c r="B1096" s="9" t="s">
        <v>1965</v>
      </c>
      <c r="C1096" s="9" t="str">
        <f t="array" ref="C1096">INDEX(Funciones!$G$2:$G$372,MATCH($A1096,Funciones!$B$2:$B$372,0))</f>
        <v>Elevar al personal hasta _____ kg</v>
      </c>
      <c r="D1096" s="9" t="s">
        <v>4423</v>
      </c>
      <c r="E1096" s="9" t="s">
        <v>874</v>
      </c>
      <c r="F1096" s="9" t="s">
        <v>4424</v>
      </c>
      <c r="G1096" s="9" t="s">
        <v>2255</v>
      </c>
      <c r="H1096" s="18" t="str">
        <f t="array" ref="H1096">_xlfn.XLOOKUP(E:E,'Calificación consecuencia'!B:B,'Calificación consecuencia'!K:K,"No encontrada",2)</f>
        <v>Baja</v>
      </c>
      <c r="I1096" s="9" t="s">
        <v>1800</v>
      </c>
      <c r="J1096" s="20" t="s">
        <v>116</v>
      </c>
      <c r="K1096" s="21"/>
      <c r="L1096" s="21"/>
      <c r="M1096" s="22" t="s">
        <v>120</v>
      </c>
      <c r="N1096" s="21"/>
      <c r="O1096" s="20" t="s">
        <v>116</v>
      </c>
      <c r="P1096" s="20" t="s">
        <v>116</v>
      </c>
      <c r="Q1096" s="21"/>
      <c r="R1096" s="21"/>
      <c r="S1096" s="21"/>
      <c r="T1096" s="21"/>
      <c r="U1096" s="9" t="s">
        <v>345</v>
      </c>
      <c r="V1096" s="9" t="s">
        <v>196</v>
      </c>
    </row>
    <row r="1097" ht="14.25" customHeight="1">
      <c r="A1097" s="9" t="s">
        <v>1966</v>
      </c>
      <c r="B1097" s="9" t="s">
        <v>1965</v>
      </c>
      <c r="C1097" s="9" t="str">
        <f t="array" ref="C1097">INDEX(Funciones!$G$2:$G$372,MATCH($A1097,Funciones!$B$2:$B$372,0))</f>
        <v>Elevar al personal hasta _____ kg</v>
      </c>
      <c r="D1097" s="9" t="s">
        <v>4425</v>
      </c>
      <c r="E1097" s="9" t="s">
        <v>3321</v>
      </c>
      <c r="F1097" s="9" t="s">
        <v>4426</v>
      </c>
      <c r="G1097" s="9" t="s">
        <v>4157</v>
      </c>
      <c r="H1097" s="18" t="str">
        <f t="array" ref="H1097">_xlfn.XLOOKUP(E:E,'Calificación consecuencia'!B:B,'Calificación consecuencia'!K:K,"No encontrada",2)</f>
        <v>Media</v>
      </c>
      <c r="I1097" s="9" t="s">
        <v>425</v>
      </c>
      <c r="J1097" s="20" t="s">
        <v>116</v>
      </c>
      <c r="K1097" s="21"/>
      <c r="L1097" s="21"/>
      <c r="M1097" s="20" t="s">
        <v>116</v>
      </c>
      <c r="N1097" s="20" t="s">
        <v>116</v>
      </c>
      <c r="O1097" s="21"/>
      <c r="P1097" s="21"/>
      <c r="Q1097" s="21"/>
      <c r="R1097" s="21"/>
      <c r="S1097" s="21"/>
      <c r="T1097" s="21"/>
      <c r="U1097" s="9" t="s">
        <v>195</v>
      </c>
      <c r="V1097" s="9" t="s">
        <v>196</v>
      </c>
    </row>
    <row r="1098" ht="14.25" customHeight="1">
      <c r="A1098" s="27" t="s">
        <v>1977</v>
      </c>
      <c r="B1098" s="27" t="s">
        <v>1976</v>
      </c>
      <c r="C1098" s="27" t="str">
        <f t="array" ref="C1098">INDEX(Funciones!$G$2:$G$372,MATCH($A1098,Funciones!$B$2:$B$372,0))</f>
        <v>Elevar las cargas con momento de _____ kN·m</v>
      </c>
      <c r="D1098" s="27" t="s">
        <v>4148</v>
      </c>
      <c r="E1098" s="27" t="s">
        <v>3317</v>
      </c>
      <c r="F1098" s="27" t="s">
        <v>4149</v>
      </c>
      <c r="G1098" s="27" t="s">
        <v>4150</v>
      </c>
      <c r="H1098" s="18" t="str">
        <f t="array" ref="H1098">_xlfn.XLOOKUP(E:E,'Calificación consecuencia'!B:B,'Calificación consecuencia'!K:K,"No encontrada",2)</f>
        <v>Media</v>
      </c>
      <c r="I1098" s="27" t="s">
        <v>425</v>
      </c>
      <c r="J1098" s="30" t="s">
        <v>116</v>
      </c>
      <c r="K1098" s="21"/>
      <c r="L1098" s="21"/>
      <c r="M1098" s="30" t="s">
        <v>116</v>
      </c>
      <c r="N1098" s="30" t="s">
        <v>116</v>
      </c>
      <c r="O1098" s="21"/>
      <c r="P1098" s="21"/>
      <c r="Q1098" s="21"/>
      <c r="R1098" s="21"/>
      <c r="S1098" s="21"/>
      <c r="T1098" s="21"/>
      <c r="U1098" s="27" t="s">
        <v>195</v>
      </c>
      <c r="V1098" s="27" t="s">
        <v>196</v>
      </c>
    </row>
    <row r="1099" ht="14.25" customHeight="1">
      <c r="A1099" s="27" t="s">
        <v>1977</v>
      </c>
      <c r="B1099" s="27" t="s">
        <v>1976</v>
      </c>
      <c r="C1099" s="27" t="str">
        <f t="array" ref="C1099">INDEX(Funciones!$G$2:$G$372,MATCH($A1099,Funciones!$B$2:$B$372,0))</f>
        <v>Elevar las cargas con momento de _____ kN·m</v>
      </c>
      <c r="D1099" s="27" t="s">
        <v>4151</v>
      </c>
      <c r="E1099" s="27" t="s">
        <v>948</v>
      </c>
      <c r="F1099" s="27" t="s">
        <v>4152</v>
      </c>
      <c r="G1099" s="27" t="s">
        <v>2448</v>
      </c>
      <c r="H1099" s="18" t="str">
        <f t="array" ref="H1099">_xlfn.XLOOKUP(E:E,'Calificación consecuencia'!B:B,'Calificación consecuencia'!K:K,"No encontrada",2)</f>
        <v>Baja</v>
      </c>
      <c r="I1099" s="27" t="s">
        <v>2106</v>
      </c>
      <c r="J1099" s="30" t="s">
        <v>116</v>
      </c>
      <c r="K1099" s="21"/>
      <c r="L1099" s="21"/>
      <c r="M1099" s="29" t="s">
        <v>120</v>
      </c>
      <c r="N1099" s="21"/>
      <c r="O1099" s="29" t="s">
        <v>120</v>
      </c>
      <c r="P1099" s="21"/>
      <c r="Q1099" s="21"/>
      <c r="R1099" s="21"/>
      <c r="S1099" s="29" t="s">
        <v>120</v>
      </c>
      <c r="T1099" s="21"/>
      <c r="U1099" s="27" t="s">
        <v>1680</v>
      </c>
      <c r="V1099" s="27" t="s">
        <v>1408</v>
      </c>
    </row>
    <row r="1100" ht="14.25" customHeight="1">
      <c r="A1100" s="27" t="s">
        <v>1977</v>
      </c>
      <c r="B1100" s="27" t="s">
        <v>1976</v>
      </c>
      <c r="C1100" s="27" t="str">
        <f t="array" ref="C1100">INDEX(Funciones!$G$2:$G$372,MATCH($A1100,Funciones!$B$2:$B$372,0))</f>
        <v>Elevar las cargas con momento de _____ kN·m</v>
      </c>
      <c r="D1100" s="27" t="s">
        <v>4151</v>
      </c>
      <c r="E1100" s="27" t="s">
        <v>3320</v>
      </c>
      <c r="F1100" s="27" t="s">
        <v>4153</v>
      </c>
      <c r="G1100" s="27" t="s">
        <v>4154</v>
      </c>
      <c r="H1100" s="18" t="str">
        <f t="array" ref="H1100">_xlfn.XLOOKUP(E:E,'Calificación consecuencia'!B:B,'Calificación consecuencia'!K:K,"No encontrada",2)</f>
        <v>Baja</v>
      </c>
      <c r="I1100" s="27" t="s">
        <v>1800</v>
      </c>
      <c r="J1100" s="30" t="s">
        <v>116</v>
      </c>
      <c r="K1100" s="21"/>
      <c r="L1100" s="21"/>
      <c r="M1100" s="29" t="s">
        <v>120</v>
      </c>
      <c r="N1100" s="21"/>
      <c r="O1100" s="30" t="s">
        <v>116</v>
      </c>
      <c r="P1100" s="30" t="s">
        <v>116</v>
      </c>
      <c r="Q1100" s="21"/>
      <c r="R1100" s="21"/>
      <c r="S1100" s="21"/>
      <c r="T1100" s="21"/>
      <c r="U1100" s="27" t="s">
        <v>345</v>
      </c>
      <c r="V1100" s="27" t="s">
        <v>196</v>
      </c>
    </row>
    <row r="1101" ht="14.25" customHeight="1">
      <c r="A1101" s="27" t="s">
        <v>1977</v>
      </c>
      <c r="B1101" s="27" t="s">
        <v>1976</v>
      </c>
      <c r="C1101" s="27" t="str">
        <f t="array" ref="C1101">INDEX(Funciones!$G$2:$G$372,MATCH($A1101,Funciones!$B$2:$B$372,0))</f>
        <v>Elevar las cargas con momento de _____ kN·m</v>
      </c>
      <c r="D1101" s="27" t="s">
        <v>4155</v>
      </c>
      <c r="E1101" s="27" t="s">
        <v>3321</v>
      </c>
      <c r="F1101" s="27" t="s">
        <v>4156</v>
      </c>
      <c r="G1101" s="27" t="s">
        <v>4157</v>
      </c>
      <c r="H1101" s="18" t="str">
        <f t="array" ref="H1101">_xlfn.XLOOKUP(E:E,'Calificación consecuencia'!B:B,'Calificación consecuencia'!K:K,"No encontrada",2)</f>
        <v>Media</v>
      </c>
      <c r="I1101" s="27" t="s">
        <v>425</v>
      </c>
      <c r="J1101" s="30" t="s">
        <v>116</v>
      </c>
      <c r="K1101" s="21"/>
      <c r="L1101" s="21"/>
      <c r="M1101" s="30" t="s">
        <v>116</v>
      </c>
      <c r="N1101" s="30" t="s">
        <v>116</v>
      </c>
      <c r="O1101" s="21"/>
      <c r="P1101" s="21"/>
      <c r="Q1101" s="21"/>
      <c r="R1101" s="21"/>
      <c r="S1101" s="21"/>
      <c r="T1101" s="21"/>
      <c r="U1101" s="27" t="s">
        <v>195</v>
      </c>
      <c r="V1101" s="27" t="s">
        <v>196</v>
      </c>
    </row>
    <row r="1102" ht="14.25" customHeight="1">
      <c r="A1102" s="9" t="s">
        <v>1983</v>
      </c>
      <c r="B1102" s="9" t="s">
        <v>1982</v>
      </c>
      <c r="C1102" s="9" t="str">
        <f t="array" ref="C1102">INDEX(Funciones!$G$2:$G$372,MATCH($A1102,Funciones!$B$2:$B$372,0))</f>
        <v>Presurizar los cilindros de freno entre 3,7 y 3,9 bar</v>
      </c>
      <c r="D1102" s="9" t="s">
        <v>3573</v>
      </c>
      <c r="E1102" s="9" t="s">
        <v>1246</v>
      </c>
      <c r="F1102" s="9" t="s">
        <v>3312</v>
      </c>
      <c r="G1102" s="9" t="s">
        <v>3313</v>
      </c>
      <c r="H1102" s="18" t="str">
        <f t="array" ref="H1102">_xlfn.XLOOKUP(E:E,'Calificación consecuencia'!B:B,'Calificación consecuencia'!K:K,"No encontrada",2)</f>
        <v>Media</v>
      </c>
      <c r="I1102" s="9" t="s">
        <v>425</v>
      </c>
      <c r="J1102" s="20" t="s">
        <v>116</v>
      </c>
      <c r="K1102" s="21"/>
      <c r="L1102" s="21"/>
      <c r="M1102" s="20" t="s">
        <v>116</v>
      </c>
      <c r="N1102" s="20" t="s">
        <v>116</v>
      </c>
      <c r="O1102" s="21"/>
      <c r="P1102" s="21"/>
      <c r="Q1102" s="21"/>
      <c r="R1102" s="21"/>
      <c r="S1102" s="21"/>
      <c r="T1102" s="21"/>
      <c r="U1102" s="9" t="s">
        <v>195</v>
      </c>
      <c r="V1102" s="9" t="s">
        <v>196</v>
      </c>
    </row>
    <row r="1103" ht="14.25" customHeight="1">
      <c r="A1103" s="9" t="s">
        <v>1983</v>
      </c>
      <c r="B1103" s="9" t="s">
        <v>1982</v>
      </c>
      <c r="C1103" s="9" t="str">
        <f t="array" ref="C1103">INDEX(Funciones!$G$2:$G$372,MATCH($A1103,Funciones!$B$2:$B$372,0))</f>
        <v>Presurizar los cilindros de freno entre 3,7 y 3,9 bar</v>
      </c>
      <c r="D1103" s="9" t="s">
        <v>3573</v>
      </c>
      <c r="E1103" s="9" t="s">
        <v>1248</v>
      </c>
      <c r="F1103" s="9" t="s">
        <v>3314</v>
      </c>
      <c r="G1103" s="9" t="s">
        <v>3315</v>
      </c>
      <c r="H1103" s="18" t="str">
        <f t="array" ref="H1103">_xlfn.XLOOKUP(E:E,'Calificación consecuencia'!B:B,'Calificación consecuencia'!K:K,"No encontrada",2)</f>
        <v>Media</v>
      </c>
      <c r="I1103" s="9" t="s">
        <v>425</v>
      </c>
      <c r="J1103" s="20" t="s">
        <v>116</v>
      </c>
      <c r="K1103" s="21"/>
      <c r="L1103" s="21"/>
      <c r="M1103" s="20" t="s">
        <v>116</v>
      </c>
      <c r="N1103" s="20" t="s">
        <v>116</v>
      </c>
      <c r="O1103" s="21"/>
      <c r="P1103" s="21"/>
      <c r="Q1103" s="21"/>
      <c r="R1103" s="21"/>
      <c r="S1103" s="21"/>
      <c r="T1103" s="21"/>
      <c r="U1103" s="9" t="s">
        <v>195</v>
      </c>
      <c r="V1103" s="9" t="s">
        <v>196</v>
      </c>
    </row>
    <row r="1104" ht="14.25" customHeight="1">
      <c r="A1104" s="9" t="s">
        <v>1983</v>
      </c>
      <c r="B1104" s="9" t="s">
        <v>1982</v>
      </c>
      <c r="C1104" s="9" t="str">
        <f t="array" ref="C1104">INDEX(Funciones!$G$2:$G$372,MATCH($A1104,Funciones!$B$2:$B$372,0))</f>
        <v>Presurizar los cilindros de freno entre 3,7 y 3,9 bar</v>
      </c>
      <c r="D1104" s="9" t="s">
        <v>3575</v>
      </c>
      <c r="E1104" s="9" t="s">
        <v>1255</v>
      </c>
      <c r="F1104" s="9" t="s">
        <v>3318</v>
      </c>
      <c r="G1104" s="9" t="s">
        <v>3319</v>
      </c>
      <c r="H1104" s="18" t="str">
        <f t="array" ref="H1104">_xlfn.XLOOKUP(E:E,'Calificación consecuencia'!B:B,'Calificación consecuencia'!K:K,"No encontrada",2)</f>
        <v>Baja</v>
      </c>
      <c r="I1104" s="9" t="s">
        <v>425</v>
      </c>
      <c r="J1104" s="20" t="s">
        <v>116</v>
      </c>
      <c r="K1104" s="21"/>
      <c r="L1104" s="21"/>
      <c r="M1104" s="20" t="s">
        <v>116</v>
      </c>
      <c r="N1104" s="20" t="s">
        <v>116</v>
      </c>
      <c r="O1104" s="21"/>
      <c r="P1104" s="21"/>
      <c r="Q1104" s="21"/>
      <c r="R1104" s="21"/>
      <c r="S1104" s="21"/>
      <c r="T1104" s="21"/>
      <c r="U1104" s="9" t="s">
        <v>195</v>
      </c>
      <c r="V1104" s="9" t="s">
        <v>196</v>
      </c>
    </row>
    <row r="1105" ht="14.25" customHeight="1">
      <c r="A1105" s="9" t="s">
        <v>1983</v>
      </c>
      <c r="B1105" s="9" t="s">
        <v>1982</v>
      </c>
      <c r="C1105" s="9" t="str">
        <f t="array" ref="C1105">INDEX(Funciones!$G$2:$G$372,MATCH($A1105,Funciones!$B$2:$B$372,0))</f>
        <v>Presurizar los cilindros de freno entre 3,7 y 3,9 bar</v>
      </c>
      <c r="D1105" s="9" t="s">
        <v>3575</v>
      </c>
      <c r="E1105" s="9" t="s">
        <v>1259</v>
      </c>
      <c r="F1105" s="9" t="s">
        <v>3322</v>
      </c>
      <c r="G1105" s="9" t="s">
        <v>3323</v>
      </c>
      <c r="H1105" s="18" t="str">
        <f t="array" ref="H1105">_xlfn.XLOOKUP(E:E,'Calificación consecuencia'!B:B,'Calificación consecuencia'!K:K,"No encontrada",2)</f>
        <v>Baja</v>
      </c>
      <c r="I1105" s="9" t="s">
        <v>425</v>
      </c>
      <c r="J1105" s="20" t="s">
        <v>116</v>
      </c>
      <c r="K1105" s="21"/>
      <c r="L1105" s="21"/>
      <c r="M1105" s="20" t="s">
        <v>116</v>
      </c>
      <c r="N1105" s="20" t="s">
        <v>116</v>
      </c>
      <c r="O1105" s="21"/>
      <c r="P1105" s="21"/>
      <c r="Q1105" s="21"/>
      <c r="R1105" s="21"/>
      <c r="S1105" s="21"/>
      <c r="T1105" s="21"/>
      <c r="U1105" s="9" t="s">
        <v>195</v>
      </c>
      <c r="V1105" s="9" t="s">
        <v>196</v>
      </c>
    </row>
    <row r="1106" ht="14.25" customHeight="1">
      <c r="A1106" s="9" t="s">
        <v>1983</v>
      </c>
      <c r="B1106" s="9" t="s">
        <v>1982</v>
      </c>
      <c r="C1106" s="9" t="str">
        <f t="array" ref="C1106">INDEX(Funciones!$G$2:$G$372,MATCH($A1106,Funciones!$B$2:$B$372,0))</f>
        <v>Presurizar los cilindros de freno entre 3,7 y 3,9 bar</v>
      </c>
      <c r="D1106" s="9" t="s">
        <v>3578</v>
      </c>
      <c r="E1106" s="9" t="s">
        <v>1265</v>
      </c>
      <c r="F1106" s="9" t="s">
        <v>3325</v>
      </c>
      <c r="G1106" s="9" t="s">
        <v>3326</v>
      </c>
      <c r="H1106" s="18" t="str">
        <f t="array" ref="H1106">_xlfn.XLOOKUP(E:E,'Calificación consecuencia'!B:B,'Calificación consecuencia'!K:K,"No encontrada",2)</f>
        <v>Media</v>
      </c>
      <c r="I1106" s="9" t="s">
        <v>425</v>
      </c>
      <c r="J1106" s="20" t="s">
        <v>116</v>
      </c>
      <c r="K1106" s="21"/>
      <c r="L1106" s="21"/>
      <c r="M1106" s="20" t="s">
        <v>116</v>
      </c>
      <c r="N1106" s="20" t="s">
        <v>116</v>
      </c>
      <c r="O1106" s="21"/>
      <c r="P1106" s="21"/>
      <c r="Q1106" s="21"/>
      <c r="R1106" s="21"/>
      <c r="S1106" s="21"/>
      <c r="T1106" s="21"/>
      <c r="U1106" s="9" t="s">
        <v>195</v>
      </c>
      <c r="V1106" s="9" t="s">
        <v>196</v>
      </c>
    </row>
    <row r="1107" ht="14.25" customHeight="1">
      <c r="A1107" s="9" t="s">
        <v>1983</v>
      </c>
      <c r="B1107" s="9" t="s">
        <v>1982</v>
      </c>
      <c r="C1107" s="9" t="str">
        <f t="array" ref="C1107">INDEX(Funciones!$G$2:$G$372,MATCH($A1107,Funciones!$B$2:$B$372,0))</f>
        <v>Presurizar los cilindros de freno entre 3,7 y 3,9 bar</v>
      </c>
      <c r="D1107" s="9" t="s">
        <v>4158</v>
      </c>
      <c r="E1107" s="9" t="s">
        <v>1275</v>
      </c>
      <c r="F1107" s="9" t="s">
        <v>3330</v>
      </c>
      <c r="G1107" s="9" t="s">
        <v>2473</v>
      </c>
      <c r="H1107" s="18" t="str">
        <f t="array" ref="H1107">_xlfn.XLOOKUP(E:E,'Calificación consecuencia'!B:B,'Calificación consecuencia'!K:K,"No encontrada",2)</f>
        <v>Baja</v>
      </c>
      <c r="I1107" s="9" t="s">
        <v>425</v>
      </c>
      <c r="J1107" s="20" t="s">
        <v>116</v>
      </c>
      <c r="K1107" s="21"/>
      <c r="L1107" s="21"/>
      <c r="M1107" s="20" t="s">
        <v>116</v>
      </c>
      <c r="N1107" s="20" t="s">
        <v>116</v>
      </c>
      <c r="O1107" s="21"/>
      <c r="P1107" s="21"/>
      <c r="Q1107" s="21"/>
      <c r="R1107" s="21"/>
      <c r="S1107" s="21"/>
      <c r="T1107" s="21"/>
      <c r="U1107" s="9" t="s">
        <v>195</v>
      </c>
      <c r="V1107" s="9" t="s">
        <v>196</v>
      </c>
    </row>
    <row r="1108" ht="14.25" customHeight="1">
      <c r="A1108" s="27" t="s">
        <v>1990</v>
      </c>
      <c r="B1108" s="27" t="s">
        <v>1989</v>
      </c>
      <c r="C1108" s="27" t="str">
        <f t="array" ref="C1108">INDEX(Funciones!$G$2:$G$372,MATCH($A1108,Funciones!$B$2:$B$372,0))</f>
        <v>Guiar el vehículo bivial en trocha de 1.435 mm</v>
      </c>
      <c r="D1108" s="27" t="s">
        <v>4427</v>
      </c>
      <c r="E1108" s="27" t="s">
        <v>3636</v>
      </c>
      <c r="F1108" s="27" t="s">
        <v>4403</v>
      </c>
      <c r="G1108" s="27" t="s">
        <v>4404</v>
      </c>
      <c r="H1108" s="18" t="str">
        <f t="array" ref="H1108">_xlfn.XLOOKUP(E:E,'Calificación consecuencia'!B:B,'Calificación consecuencia'!K:K,"No encontrada",2)</f>
        <v>Baja</v>
      </c>
      <c r="I1108" s="27" t="s">
        <v>425</v>
      </c>
      <c r="J1108" s="30" t="s">
        <v>116</v>
      </c>
      <c r="K1108" s="21"/>
      <c r="L1108" s="21"/>
      <c r="M1108" s="30" t="s">
        <v>116</v>
      </c>
      <c r="N1108" s="30" t="s">
        <v>116</v>
      </c>
      <c r="O1108" s="21"/>
      <c r="P1108" s="21"/>
      <c r="Q1108" s="21"/>
      <c r="R1108" s="21"/>
      <c r="S1108" s="21"/>
      <c r="T1108" s="21"/>
      <c r="U1108" s="27" t="s">
        <v>195</v>
      </c>
      <c r="V1108" s="27" t="s">
        <v>196</v>
      </c>
    </row>
    <row r="1109" ht="14.25" customHeight="1">
      <c r="A1109" s="27" t="s">
        <v>1990</v>
      </c>
      <c r="B1109" s="27" t="s">
        <v>1989</v>
      </c>
      <c r="C1109" s="27" t="str">
        <f t="array" ref="C1109">INDEX(Funciones!$G$2:$G$372,MATCH($A1109,Funciones!$B$2:$B$372,0))</f>
        <v>Guiar el vehículo bivial en trocha de 1.435 mm</v>
      </c>
      <c r="D1109" s="27" t="s">
        <v>4428</v>
      </c>
      <c r="E1109" s="27" t="s">
        <v>3637</v>
      </c>
      <c r="F1109" s="27" t="s">
        <v>4406</v>
      </c>
      <c r="G1109" s="27" t="s">
        <v>4407</v>
      </c>
      <c r="H1109" s="18" t="str">
        <f t="array" ref="H1109">_xlfn.XLOOKUP(E:E,'Calificación consecuencia'!B:B,'Calificación consecuencia'!K:K,"No encontrada",2)</f>
        <v>Media</v>
      </c>
      <c r="I1109" s="27" t="s">
        <v>1351</v>
      </c>
      <c r="J1109" s="30" t="s">
        <v>116</v>
      </c>
      <c r="K1109" s="21"/>
      <c r="L1109" s="21"/>
      <c r="M1109" s="30" t="s">
        <v>116</v>
      </c>
      <c r="N1109" s="29" t="s">
        <v>120</v>
      </c>
      <c r="O1109" s="21"/>
      <c r="P1109" s="21"/>
      <c r="Q1109" s="21"/>
      <c r="R1109" s="21"/>
      <c r="S1109" s="21"/>
      <c r="T1109" s="21"/>
      <c r="U1109" s="27" t="s">
        <v>230</v>
      </c>
      <c r="V1109" s="27" t="s">
        <v>230</v>
      </c>
    </row>
    <row r="1110" ht="14.25" customHeight="1">
      <c r="A1110" s="27" t="s">
        <v>1990</v>
      </c>
      <c r="B1110" s="27" t="s">
        <v>1989</v>
      </c>
      <c r="C1110" s="27" t="str">
        <f t="array" ref="C1110">INDEX(Funciones!$G$2:$G$372,MATCH($A1110,Funciones!$B$2:$B$372,0))</f>
        <v>Guiar el vehículo bivial en trocha de 1.435 mm</v>
      </c>
      <c r="D1110" s="27" t="s">
        <v>4429</v>
      </c>
      <c r="E1110" s="27" t="s">
        <v>3638</v>
      </c>
      <c r="F1110" s="27" t="s">
        <v>4409</v>
      </c>
      <c r="G1110" s="27" t="s">
        <v>4410</v>
      </c>
      <c r="H1110" s="18" t="str">
        <f t="array" ref="H1110">_xlfn.XLOOKUP(E:E,'Calificación consecuencia'!B:B,'Calificación consecuencia'!K:K,"No encontrada",2)</f>
        <v>Media</v>
      </c>
      <c r="I1110" s="27" t="s">
        <v>1351</v>
      </c>
      <c r="J1110" s="30" t="s">
        <v>116</v>
      </c>
      <c r="K1110" s="21"/>
      <c r="L1110" s="21"/>
      <c r="M1110" s="30" t="s">
        <v>116</v>
      </c>
      <c r="N1110" s="30" t="s">
        <v>116</v>
      </c>
      <c r="O1110" s="21"/>
      <c r="P1110" s="21"/>
      <c r="Q1110" s="21"/>
      <c r="R1110" s="21"/>
      <c r="S1110" s="21"/>
      <c r="T1110" s="21"/>
      <c r="U1110" s="27" t="s">
        <v>195</v>
      </c>
      <c r="V1110" s="27" t="s">
        <v>196</v>
      </c>
    </row>
    <row r="1111" ht="14.25" customHeight="1">
      <c r="A1111" s="9" t="s">
        <v>1998</v>
      </c>
      <c r="B1111" s="9" t="s">
        <v>1997</v>
      </c>
      <c r="C1111" s="9" t="str">
        <f t="array" ref="C1111">INDEX(Funciones!$G$2:$G$372,MATCH($A1111,Funciones!$B$2:$B$372,0))</f>
        <v>Soportar la carga por eje hasta _____ t</v>
      </c>
      <c r="D1111" s="9" t="s">
        <v>4087</v>
      </c>
      <c r="E1111" s="9" t="s">
        <v>1609</v>
      </c>
      <c r="F1111" s="9" t="s">
        <v>4088</v>
      </c>
      <c r="G1111" s="9" t="s">
        <v>3498</v>
      </c>
      <c r="H1111" s="18" t="str">
        <f t="array" ref="H1111">_xlfn.XLOOKUP(E:E,'Calificación consecuencia'!B:B,'Calificación consecuencia'!K:K,"No encontrada",2)</f>
        <v>Baja</v>
      </c>
      <c r="I1111" s="9" t="s">
        <v>425</v>
      </c>
      <c r="J1111" s="22" t="s">
        <v>120</v>
      </c>
      <c r="K1111" s="20" t="s">
        <v>116</v>
      </c>
      <c r="L1111" s="21"/>
      <c r="M1111" s="21"/>
      <c r="N1111" s="21"/>
      <c r="O1111" s="21"/>
      <c r="P1111" s="21"/>
      <c r="Q1111" s="21"/>
      <c r="R1111" s="21"/>
      <c r="S1111" s="21"/>
      <c r="T1111" s="21"/>
      <c r="U1111" s="9" t="s">
        <v>439</v>
      </c>
      <c r="V1111" s="9" t="s">
        <v>440</v>
      </c>
    </row>
    <row r="1112" ht="14.25" customHeight="1">
      <c r="A1112" s="9" t="s">
        <v>1998</v>
      </c>
      <c r="B1112" s="9" t="s">
        <v>1997</v>
      </c>
      <c r="C1112" s="9" t="str">
        <f t="array" ref="C1112">INDEX(Funciones!$G$2:$G$372,MATCH($A1112,Funciones!$B$2:$B$372,0))</f>
        <v>Soportar la carga por eje hasta _____ t</v>
      </c>
      <c r="D1112" s="9" t="s">
        <v>4087</v>
      </c>
      <c r="E1112" s="9" t="s">
        <v>1615</v>
      </c>
      <c r="F1112" s="9" t="s">
        <v>4089</v>
      </c>
      <c r="G1112" s="9" t="s">
        <v>3501</v>
      </c>
      <c r="H1112" s="18" t="str">
        <f t="array" ref="H1112">_xlfn.XLOOKUP(E:E,'Calificación consecuencia'!B:B,'Calificación consecuencia'!K:K,"No encontrada",2)</f>
        <v>Baja</v>
      </c>
      <c r="I1112" s="9" t="s">
        <v>425</v>
      </c>
      <c r="J1112" s="22" t="s">
        <v>120</v>
      </c>
      <c r="K1112" s="20" t="s">
        <v>116</v>
      </c>
      <c r="L1112" s="21"/>
      <c r="M1112" s="21"/>
      <c r="N1112" s="21"/>
      <c r="O1112" s="21"/>
      <c r="P1112" s="21"/>
      <c r="Q1112" s="21"/>
      <c r="R1112" s="21"/>
      <c r="S1112" s="21"/>
      <c r="T1112" s="21"/>
      <c r="U1112" s="9" t="s">
        <v>439</v>
      </c>
      <c r="V1112" s="9" t="s">
        <v>440</v>
      </c>
    </row>
    <row r="1113" ht="14.25" customHeight="1">
      <c r="A1113" s="9" t="s">
        <v>1998</v>
      </c>
      <c r="B1113" s="9" t="s">
        <v>1997</v>
      </c>
      <c r="C1113" s="9" t="str">
        <f t="array" ref="C1113">INDEX(Funciones!$G$2:$G$372,MATCH($A1113,Funciones!$B$2:$B$372,0))</f>
        <v>Soportar la carga por eje hasta _____ t</v>
      </c>
      <c r="D1113" s="9" t="s">
        <v>4090</v>
      </c>
      <c r="E1113" s="9" t="s">
        <v>1622</v>
      </c>
      <c r="F1113" s="9" t="s">
        <v>4091</v>
      </c>
      <c r="G1113" s="9" t="s">
        <v>3498</v>
      </c>
      <c r="H1113" s="18" t="str">
        <f t="array" ref="H1113">_xlfn.XLOOKUP(E:E,'Calificación consecuencia'!B:B,'Calificación consecuencia'!K:K,"No encontrada",2)</f>
        <v>Baja</v>
      </c>
      <c r="I1113" s="9" t="s">
        <v>1800</v>
      </c>
      <c r="J1113" s="22" t="s">
        <v>120</v>
      </c>
      <c r="K1113" s="20" t="s">
        <v>116</v>
      </c>
      <c r="L1113" s="21"/>
      <c r="M1113" s="21"/>
      <c r="N1113" s="21"/>
      <c r="O1113" s="21"/>
      <c r="P1113" s="21"/>
      <c r="Q1113" s="21"/>
      <c r="R1113" s="21"/>
      <c r="S1113" s="21"/>
      <c r="T1113" s="21"/>
      <c r="U1113" s="9" t="s">
        <v>439</v>
      </c>
      <c r="V1113" s="9" t="s">
        <v>440</v>
      </c>
    </row>
    <row r="1114" ht="14.25" customHeight="1">
      <c r="A1114" s="9" t="s">
        <v>1998</v>
      </c>
      <c r="B1114" s="9" t="s">
        <v>1997</v>
      </c>
      <c r="C1114" s="9" t="str">
        <f t="array" ref="C1114">INDEX(Funciones!$G$2:$G$372,MATCH($A1114,Funciones!$B$2:$B$372,0))</f>
        <v>Soportar la carga por eje hasta _____ t</v>
      </c>
      <c r="D1114" s="9" t="s">
        <v>4090</v>
      </c>
      <c r="E1114" s="9" t="s">
        <v>1625</v>
      </c>
      <c r="F1114" s="9" t="s">
        <v>4092</v>
      </c>
      <c r="G1114" s="9" t="s">
        <v>3513</v>
      </c>
      <c r="H1114" s="18" t="str">
        <f t="array" ref="H1114">_xlfn.XLOOKUP(E:E,'Calificación consecuencia'!B:B,'Calificación consecuencia'!K:K,"No encontrada",2)</f>
        <v>Media</v>
      </c>
      <c r="I1114" s="9" t="s">
        <v>1351</v>
      </c>
      <c r="J1114" s="22" t="s">
        <v>120</v>
      </c>
      <c r="K1114" s="20" t="s">
        <v>116</v>
      </c>
      <c r="L1114" s="21"/>
      <c r="M1114" s="21"/>
      <c r="N1114" s="21"/>
      <c r="O1114" s="21"/>
      <c r="P1114" s="21"/>
      <c r="Q1114" s="21"/>
      <c r="R1114" s="21"/>
      <c r="S1114" s="21"/>
      <c r="T1114" s="21"/>
      <c r="U1114" s="9" t="s">
        <v>439</v>
      </c>
      <c r="V1114" s="9" t="s">
        <v>440</v>
      </c>
    </row>
    <row r="1115" ht="14.25" customHeight="1">
      <c r="A1115" s="27" t="s">
        <v>2004</v>
      </c>
      <c r="B1115" s="27" t="s">
        <v>1997</v>
      </c>
      <c r="C1115" s="27" t="str">
        <f t="array" ref="C1115">INDEX(Funciones!$G$2:$G$372,MATCH($A1115,Funciones!$B$2:$B$372,0))</f>
        <v>Impedir el remonte de pestaña con cota qR ≥ 6,5 mm</v>
      </c>
      <c r="D1115" s="27" t="s">
        <v>3220</v>
      </c>
      <c r="E1115" s="27" t="s">
        <v>1127</v>
      </c>
      <c r="F1115" s="27" t="s">
        <v>3221</v>
      </c>
      <c r="G1115" s="27" t="s">
        <v>3222</v>
      </c>
      <c r="H1115" s="18" t="str">
        <f t="array" ref="H1115">_xlfn.XLOOKUP(E:E,'Calificación consecuencia'!B:B,'Calificación consecuencia'!K:K,"No encontrada",2)</f>
        <v>Baja</v>
      </c>
      <c r="I1115" s="27" t="s">
        <v>425</v>
      </c>
      <c r="J1115" s="29" t="s">
        <v>120</v>
      </c>
      <c r="K1115" s="30" t="s">
        <v>116</v>
      </c>
      <c r="L1115" s="21"/>
      <c r="M1115" s="21"/>
      <c r="N1115" s="21"/>
      <c r="O1115" s="21"/>
      <c r="P1115" s="21"/>
      <c r="Q1115" s="21"/>
      <c r="R1115" s="21"/>
      <c r="S1115" s="21"/>
      <c r="T1115" s="21"/>
      <c r="U1115" s="27" t="s">
        <v>439</v>
      </c>
      <c r="V1115" s="27" t="s">
        <v>440</v>
      </c>
    </row>
    <row r="1116" ht="14.25" customHeight="1">
      <c r="A1116" s="27" t="s">
        <v>2004</v>
      </c>
      <c r="B1116" s="27" t="s">
        <v>1997</v>
      </c>
      <c r="C1116" s="27" t="str">
        <f t="array" ref="C1116">INDEX(Funciones!$G$2:$G$372,MATCH($A1116,Funciones!$B$2:$B$372,0))</f>
        <v>Impedir el remonte de pestaña con cota qR ≥ 6,5 mm</v>
      </c>
      <c r="D1116" s="27" t="s">
        <v>3230</v>
      </c>
      <c r="E1116" s="27" t="s">
        <v>1134</v>
      </c>
      <c r="F1116" s="27" t="s">
        <v>3231</v>
      </c>
      <c r="G1116" s="27" t="s">
        <v>3232</v>
      </c>
      <c r="H1116" s="18" t="str">
        <f t="array" ref="H1116">_xlfn.XLOOKUP(E:E,'Calificación consecuencia'!B:B,'Calificación consecuencia'!K:K,"No encontrada",2)</f>
        <v>Media</v>
      </c>
      <c r="I1116" s="27" t="s">
        <v>1800</v>
      </c>
      <c r="J1116" s="29" t="s">
        <v>120</v>
      </c>
      <c r="K1116" s="30" t="s">
        <v>116</v>
      </c>
      <c r="L1116" s="21"/>
      <c r="M1116" s="21"/>
      <c r="N1116" s="21"/>
      <c r="O1116" s="21"/>
      <c r="P1116" s="21"/>
      <c r="Q1116" s="21"/>
      <c r="R1116" s="21"/>
      <c r="S1116" s="21"/>
      <c r="T1116" s="21"/>
      <c r="U1116" s="27" t="s">
        <v>439</v>
      </c>
      <c r="V1116" s="27" t="s">
        <v>440</v>
      </c>
    </row>
    <row r="1117" ht="14.25" customHeight="1">
      <c r="A1117" s="27" t="s">
        <v>2004</v>
      </c>
      <c r="B1117" s="27" t="s">
        <v>1997</v>
      </c>
      <c r="C1117" s="27" t="str">
        <f t="array" ref="C1117">INDEX(Funciones!$G$2:$G$372,MATCH($A1117,Funciones!$B$2:$B$372,0))</f>
        <v>Impedir el remonte de pestaña con cota qR ≥ 6,5 mm</v>
      </c>
      <c r="D1117" s="27" t="s">
        <v>3230</v>
      </c>
      <c r="E1117" s="27" t="s">
        <v>1141</v>
      </c>
      <c r="F1117" s="27" t="s">
        <v>3250</v>
      </c>
      <c r="G1117" s="27" t="s">
        <v>3251</v>
      </c>
      <c r="H1117" s="18" t="str">
        <f t="array" ref="H1117">_xlfn.XLOOKUP(E:E,'Calificación consecuencia'!B:B,'Calificación consecuencia'!K:K,"No encontrada",2)</f>
        <v>Media</v>
      </c>
      <c r="I1117" s="27" t="s">
        <v>425</v>
      </c>
      <c r="J1117" s="29" t="s">
        <v>120</v>
      </c>
      <c r="K1117" s="30" t="s">
        <v>116</v>
      </c>
      <c r="L1117" s="21"/>
      <c r="M1117" s="21"/>
      <c r="N1117" s="21"/>
      <c r="O1117" s="21"/>
      <c r="P1117" s="21"/>
      <c r="Q1117" s="21"/>
      <c r="R1117" s="21"/>
      <c r="S1117" s="21"/>
      <c r="T1117" s="21"/>
      <c r="U1117" s="27" t="s">
        <v>439</v>
      </c>
      <c r="V1117" s="27" t="s">
        <v>440</v>
      </c>
    </row>
    <row r="1118" ht="14.25" customHeight="1">
      <c r="A1118" s="27" t="s">
        <v>2004</v>
      </c>
      <c r="B1118" s="27" t="s">
        <v>1997</v>
      </c>
      <c r="C1118" s="27" t="str">
        <f t="array" ref="C1118">INDEX(Funciones!$G$2:$G$372,MATCH($A1118,Funciones!$B$2:$B$372,0))</f>
        <v>Impedir el remonte de pestaña con cota qR ≥ 6,5 mm</v>
      </c>
      <c r="D1118" s="27" t="s">
        <v>3230</v>
      </c>
      <c r="E1118" s="27" t="s">
        <v>1147</v>
      </c>
      <c r="F1118" s="27" t="s">
        <v>3271</v>
      </c>
      <c r="G1118" s="27" t="s">
        <v>3272</v>
      </c>
      <c r="H1118" s="18" t="str">
        <f t="array" ref="H1118">_xlfn.XLOOKUP(E:E,'Calificación consecuencia'!B:B,'Calificación consecuencia'!K:K,"No encontrada",2)</f>
        <v>Media</v>
      </c>
      <c r="I1118" s="27" t="s">
        <v>1800</v>
      </c>
      <c r="J1118" s="29" t="s">
        <v>120</v>
      </c>
      <c r="K1118" s="30" t="s">
        <v>116</v>
      </c>
      <c r="L1118" s="21"/>
      <c r="M1118" s="21"/>
      <c r="N1118" s="21"/>
      <c r="O1118" s="21"/>
      <c r="P1118" s="21"/>
      <c r="Q1118" s="21"/>
      <c r="R1118" s="21"/>
      <c r="S1118" s="21"/>
      <c r="T1118" s="21"/>
      <c r="U1118" s="27" t="s">
        <v>439</v>
      </c>
      <c r="V1118" s="27" t="s">
        <v>440</v>
      </c>
    </row>
    <row r="1119" ht="14.25" customHeight="1">
      <c r="A1119" s="9" t="s">
        <v>2005</v>
      </c>
      <c r="B1119" s="9" t="s">
        <v>1997</v>
      </c>
      <c r="C1119" s="9" t="str">
        <f t="array" ref="C1119">INDEX(Funciones!$G$2:$G$372,MATCH($A1119,Funciones!$B$2:$B$372,0))</f>
        <v>Mantener la distancia entre ruedas de 1.357 a 1.363 mm</v>
      </c>
      <c r="D1119" s="9" t="s">
        <v>3523</v>
      </c>
      <c r="E1119" s="9" t="s">
        <v>1644</v>
      </c>
      <c r="F1119" s="9" t="s">
        <v>3524</v>
      </c>
      <c r="G1119" s="9" t="s">
        <v>3525</v>
      </c>
      <c r="H1119" s="18" t="str">
        <f t="array" ref="H1119">_xlfn.XLOOKUP(E:E,'Calificación consecuencia'!B:B,'Calificación consecuencia'!K:K,"No encontrada",2)</f>
        <v>Baja</v>
      </c>
      <c r="I1119" s="9" t="s">
        <v>425</v>
      </c>
      <c r="J1119" s="22" t="s">
        <v>120</v>
      </c>
      <c r="K1119" s="20" t="s">
        <v>116</v>
      </c>
      <c r="L1119" s="21"/>
      <c r="M1119" s="21"/>
      <c r="N1119" s="21"/>
      <c r="O1119" s="21"/>
      <c r="P1119" s="21"/>
      <c r="Q1119" s="21"/>
      <c r="R1119" s="21"/>
      <c r="S1119" s="21"/>
      <c r="T1119" s="21"/>
      <c r="U1119" s="9" t="s">
        <v>439</v>
      </c>
      <c r="V1119" s="9" t="s">
        <v>440</v>
      </c>
    </row>
    <row r="1120" ht="14.25" customHeight="1">
      <c r="A1120" s="9" t="s">
        <v>2005</v>
      </c>
      <c r="B1120" s="9" t="s">
        <v>1997</v>
      </c>
      <c r="C1120" s="9" t="str">
        <f t="array" ref="C1120">INDEX(Funciones!$G$2:$G$372,MATCH($A1120,Funciones!$B$2:$B$372,0))</f>
        <v>Mantener la distancia entre ruedas de 1.357 a 1.363 mm</v>
      </c>
      <c r="D1120" s="9" t="s">
        <v>3526</v>
      </c>
      <c r="E1120" s="9" t="s">
        <v>1650</v>
      </c>
      <c r="F1120" s="9" t="s">
        <v>3527</v>
      </c>
      <c r="G1120" s="9" t="s">
        <v>3528</v>
      </c>
      <c r="H1120" s="18" t="str">
        <f t="array" ref="H1120">_xlfn.XLOOKUP(E:E,'Calificación consecuencia'!B:B,'Calificación consecuencia'!K:K,"No encontrada",2)</f>
        <v>Baja</v>
      </c>
      <c r="I1120" s="9" t="s">
        <v>1351</v>
      </c>
      <c r="J1120" s="22" t="s">
        <v>120</v>
      </c>
      <c r="K1120" s="20" t="s">
        <v>116</v>
      </c>
      <c r="L1120" s="21"/>
      <c r="M1120" s="21"/>
      <c r="N1120" s="21"/>
      <c r="O1120" s="21"/>
      <c r="P1120" s="21"/>
      <c r="Q1120" s="21"/>
      <c r="R1120" s="21"/>
      <c r="S1120" s="21"/>
      <c r="T1120" s="21"/>
      <c r="U1120" s="9" t="s">
        <v>439</v>
      </c>
      <c r="V1120" s="9" t="s">
        <v>440</v>
      </c>
    </row>
    <row r="1121" ht="14.25" customHeight="1">
      <c r="A1121" s="9" t="s">
        <v>2005</v>
      </c>
      <c r="B1121" s="9" t="s">
        <v>1997</v>
      </c>
      <c r="C1121" s="9" t="str">
        <f t="array" ref="C1121">INDEX(Funciones!$G$2:$G$372,MATCH($A1121,Funciones!$B$2:$B$372,0))</f>
        <v>Mantener la distancia entre ruedas de 1.357 a 1.363 mm</v>
      </c>
      <c r="D1121" s="9" t="s">
        <v>3529</v>
      </c>
      <c r="E1121" s="9" t="s">
        <v>1655</v>
      </c>
      <c r="F1121" s="9" t="s">
        <v>3530</v>
      </c>
      <c r="G1121" s="9" t="s">
        <v>3531</v>
      </c>
      <c r="H1121" s="18" t="str">
        <f t="array" ref="H1121">_xlfn.XLOOKUP(E:E,'Calificación consecuencia'!B:B,'Calificación consecuencia'!K:K,"No encontrada",2)</f>
        <v>Baja</v>
      </c>
      <c r="I1121" s="9" t="s">
        <v>1800</v>
      </c>
      <c r="J1121" s="22" t="s">
        <v>120</v>
      </c>
      <c r="K1121" s="20" t="s">
        <v>116</v>
      </c>
      <c r="L1121" s="21"/>
      <c r="M1121" s="21"/>
      <c r="N1121" s="21"/>
      <c r="O1121" s="21"/>
      <c r="P1121" s="21"/>
      <c r="Q1121" s="21"/>
      <c r="R1121" s="21"/>
      <c r="S1121" s="21"/>
      <c r="T1121" s="21"/>
      <c r="U1121" s="9" t="s">
        <v>439</v>
      </c>
      <c r="V1121" s="9" t="s">
        <v>440</v>
      </c>
    </row>
    <row r="1122" ht="14.25" customHeight="1">
      <c r="A1122" s="27" t="s">
        <v>2008</v>
      </c>
      <c r="B1122" s="27" t="s">
        <v>1997</v>
      </c>
      <c r="C1122" s="27" t="str">
        <f t="array" ref="C1122">INDEX(Funciones!$G$2:$G$372,MATCH($A1122,Funciones!$B$2:$B$372,0))</f>
        <v>Guiar el eje con pestaña de _____ mm</v>
      </c>
      <c r="D1122" s="27" t="s">
        <v>4093</v>
      </c>
      <c r="E1122" s="27" t="s">
        <v>1127</v>
      </c>
      <c r="F1122" s="27" t="s">
        <v>4094</v>
      </c>
      <c r="G1122" s="27" t="s">
        <v>3222</v>
      </c>
      <c r="H1122" s="18" t="str">
        <f t="array" ref="H1122">_xlfn.XLOOKUP(E:E,'Calificación consecuencia'!B:B,'Calificación consecuencia'!K:K,"No encontrada",2)</f>
        <v>Baja</v>
      </c>
      <c r="I1122" s="27" t="s">
        <v>425</v>
      </c>
      <c r="J1122" s="29" t="s">
        <v>120</v>
      </c>
      <c r="K1122" s="30" t="s">
        <v>116</v>
      </c>
      <c r="L1122" s="21"/>
      <c r="M1122" s="21"/>
      <c r="N1122" s="21"/>
      <c r="O1122" s="21"/>
      <c r="P1122" s="21"/>
      <c r="Q1122" s="21"/>
      <c r="R1122" s="21"/>
      <c r="S1122" s="21"/>
      <c r="T1122" s="21"/>
      <c r="U1122" s="27" t="s">
        <v>439</v>
      </c>
      <c r="V1122" s="27" t="s">
        <v>440</v>
      </c>
    </row>
    <row r="1123" ht="14.25" customHeight="1">
      <c r="A1123" s="27" t="s">
        <v>2008</v>
      </c>
      <c r="B1123" s="27" t="s">
        <v>1997</v>
      </c>
      <c r="C1123" s="27" t="str">
        <f t="array" ref="C1123">INDEX(Funciones!$G$2:$G$372,MATCH($A1123,Funciones!$B$2:$B$372,0))</f>
        <v>Guiar el eje con pestaña de _____ mm</v>
      </c>
      <c r="D1123" s="27" t="s">
        <v>4095</v>
      </c>
      <c r="E1123" s="27" t="s">
        <v>3154</v>
      </c>
      <c r="F1123" s="27" t="s">
        <v>4096</v>
      </c>
      <c r="G1123" s="27" t="s">
        <v>3232</v>
      </c>
      <c r="H1123" s="18" t="str">
        <f t="array" ref="H1123">_xlfn.XLOOKUP(E:E,'Calificación consecuencia'!B:B,'Calificación consecuencia'!K:K,"No encontrada",2)</f>
        <v>Media</v>
      </c>
      <c r="I1123" s="27" t="s">
        <v>1800</v>
      </c>
      <c r="J1123" s="29" t="s">
        <v>120</v>
      </c>
      <c r="K1123" s="30" t="s">
        <v>116</v>
      </c>
      <c r="L1123" s="21"/>
      <c r="M1123" s="21"/>
      <c r="N1123" s="21"/>
      <c r="O1123" s="21"/>
      <c r="P1123" s="21"/>
      <c r="Q1123" s="21"/>
      <c r="R1123" s="21"/>
      <c r="S1123" s="21"/>
      <c r="T1123" s="21"/>
      <c r="U1123" s="27" t="s">
        <v>439</v>
      </c>
      <c r="V1123" s="27" t="s">
        <v>440</v>
      </c>
    </row>
    <row r="1124" ht="14.25" customHeight="1">
      <c r="A1124" s="27" t="s">
        <v>2008</v>
      </c>
      <c r="B1124" s="27" t="s">
        <v>1997</v>
      </c>
      <c r="C1124" s="27" t="str">
        <f t="array" ref="C1124">INDEX(Funciones!$G$2:$G$372,MATCH($A1124,Funciones!$B$2:$B$372,0))</f>
        <v>Guiar el eje con pestaña de _____ mm</v>
      </c>
      <c r="D1124" s="27" t="s">
        <v>4095</v>
      </c>
      <c r="E1124" s="27" t="s">
        <v>1141</v>
      </c>
      <c r="F1124" s="27" t="s">
        <v>4097</v>
      </c>
      <c r="G1124" s="27" t="s">
        <v>3251</v>
      </c>
      <c r="H1124" s="18" t="str">
        <f t="array" ref="H1124">_xlfn.XLOOKUP(E:E,'Calificación consecuencia'!B:B,'Calificación consecuencia'!K:K,"No encontrada",2)</f>
        <v>Media</v>
      </c>
      <c r="I1124" s="27" t="s">
        <v>425</v>
      </c>
      <c r="J1124" s="29" t="s">
        <v>120</v>
      </c>
      <c r="K1124" s="30" t="s">
        <v>116</v>
      </c>
      <c r="L1124" s="21"/>
      <c r="M1124" s="21"/>
      <c r="N1124" s="21"/>
      <c r="O1124" s="21"/>
      <c r="P1124" s="21"/>
      <c r="Q1124" s="21"/>
      <c r="R1124" s="21"/>
      <c r="S1124" s="21"/>
      <c r="T1124" s="21"/>
      <c r="U1124" s="27" t="s">
        <v>439</v>
      </c>
      <c r="V1124" s="27" t="s">
        <v>440</v>
      </c>
    </row>
    <row r="1125" ht="14.25" customHeight="1">
      <c r="A1125" s="9" t="s">
        <v>2012</v>
      </c>
      <c r="B1125" s="9" t="s">
        <v>2010</v>
      </c>
      <c r="C1125" s="9" t="str">
        <f t="array" ref="C1125">INDEX(Funciones!$G$2:$G$372,MATCH($A1125,Funciones!$B$2:$B$372,0))</f>
        <v>Entregar potencia mecánica de _____ kW</v>
      </c>
      <c r="D1125" s="9" t="s">
        <v>4083</v>
      </c>
      <c r="E1125" s="9" t="s">
        <v>1339</v>
      </c>
      <c r="F1125" s="9" t="s">
        <v>3995</v>
      </c>
      <c r="G1125" s="9" t="s">
        <v>3374</v>
      </c>
      <c r="H1125" s="18" t="str">
        <f t="array" ref="H1125">_xlfn.XLOOKUP(E:E,'Calificación consecuencia'!B:B,'Calificación consecuencia'!K:K,"No encontrada",2)</f>
        <v>Media</v>
      </c>
      <c r="I1125" s="9" t="s">
        <v>1800</v>
      </c>
      <c r="J1125" s="20" t="s">
        <v>116</v>
      </c>
      <c r="K1125" s="21"/>
      <c r="L1125" s="21"/>
      <c r="M1125" s="22" t="s">
        <v>120</v>
      </c>
      <c r="N1125" s="21"/>
      <c r="O1125" s="20" t="s">
        <v>116</v>
      </c>
      <c r="P1125" s="20" t="s">
        <v>116</v>
      </c>
      <c r="Q1125" s="21"/>
      <c r="R1125" s="21"/>
      <c r="S1125" s="21"/>
      <c r="T1125" s="21"/>
      <c r="U1125" s="9" t="s">
        <v>345</v>
      </c>
      <c r="V1125" s="9" t="s">
        <v>196</v>
      </c>
    </row>
    <row r="1126" ht="14.25" customHeight="1">
      <c r="A1126" s="9" t="s">
        <v>2012</v>
      </c>
      <c r="B1126" s="9" t="s">
        <v>2010</v>
      </c>
      <c r="C1126" s="9" t="str">
        <f t="array" ref="C1126">INDEX(Funciones!$G$2:$G$372,MATCH($A1126,Funciones!$B$2:$B$372,0))</f>
        <v>Entregar potencia mecánica de _____ kW</v>
      </c>
      <c r="D1126" s="9" t="s">
        <v>4083</v>
      </c>
      <c r="E1126" s="9" t="s">
        <v>1786</v>
      </c>
      <c r="F1126" s="9" t="s">
        <v>3996</v>
      </c>
      <c r="G1126" s="9" t="s">
        <v>3378</v>
      </c>
      <c r="H1126" s="18" t="str">
        <f t="array" ref="H1126">_xlfn.XLOOKUP(E:E,'Calificación consecuencia'!B:B,'Calificación consecuencia'!K:K,"No encontrada",2)</f>
        <v>Baja</v>
      </c>
      <c r="I1126" s="9" t="s">
        <v>2106</v>
      </c>
      <c r="J1126" s="20" t="s">
        <v>116</v>
      </c>
      <c r="K1126" s="21"/>
      <c r="L1126" s="21"/>
      <c r="M1126" s="22" t="s">
        <v>120</v>
      </c>
      <c r="N1126" s="21"/>
      <c r="O1126" s="22" t="s">
        <v>120</v>
      </c>
      <c r="P1126" s="21"/>
      <c r="Q1126" s="21"/>
      <c r="R1126" s="21"/>
      <c r="S1126" s="22" t="s">
        <v>120</v>
      </c>
      <c r="T1126" s="21"/>
      <c r="U1126" s="9" t="s">
        <v>1680</v>
      </c>
      <c r="V1126" s="9" t="s">
        <v>1408</v>
      </c>
    </row>
    <row r="1127" ht="14.25" customHeight="1">
      <c r="A1127" s="9" t="s">
        <v>2012</v>
      </c>
      <c r="B1127" s="9" t="s">
        <v>2010</v>
      </c>
      <c r="C1127" s="9" t="str">
        <f t="array" ref="C1127">INDEX(Funciones!$G$2:$G$372,MATCH($A1127,Funciones!$B$2:$B$372,0))</f>
        <v>Entregar potencia mecánica de _____ kW</v>
      </c>
      <c r="D1127" s="9" t="s">
        <v>4084</v>
      </c>
      <c r="E1127" s="9" t="s">
        <v>1350</v>
      </c>
      <c r="F1127" s="9" t="s">
        <v>3998</v>
      </c>
      <c r="G1127" s="9" t="s">
        <v>3382</v>
      </c>
      <c r="H1127" s="18" t="str">
        <f t="array" ref="H1127">_xlfn.XLOOKUP(E:E,'Calificación consecuencia'!B:B,'Calificación consecuencia'!K:K,"No encontrada",2)</f>
        <v>Baja</v>
      </c>
      <c r="I1127" s="9" t="s">
        <v>2106</v>
      </c>
      <c r="J1127" s="20" t="s">
        <v>116</v>
      </c>
      <c r="K1127" s="21"/>
      <c r="L1127" s="21"/>
      <c r="M1127" s="22" t="s">
        <v>120</v>
      </c>
      <c r="N1127" s="21"/>
      <c r="O1127" s="22" t="s">
        <v>120</v>
      </c>
      <c r="P1127" s="21"/>
      <c r="Q1127" s="21"/>
      <c r="R1127" s="21"/>
      <c r="S1127" s="22" t="s">
        <v>120</v>
      </c>
      <c r="T1127" s="21"/>
      <c r="U1127" s="9" t="s">
        <v>1680</v>
      </c>
      <c r="V1127" s="9" t="s">
        <v>1408</v>
      </c>
    </row>
    <row r="1128" ht="14.25" customHeight="1">
      <c r="A1128" s="9" t="s">
        <v>2012</v>
      </c>
      <c r="B1128" s="9" t="s">
        <v>2010</v>
      </c>
      <c r="C1128" s="9" t="str">
        <f t="array" ref="C1128">INDEX(Funciones!$G$2:$G$372,MATCH($A1128,Funciones!$B$2:$B$372,0))</f>
        <v>Entregar potencia mecánica de _____ kW</v>
      </c>
      <c r="D1128" s="9" t="s">
        <v>4084</v>
      </c>
      <c r="E1128" s="9" t="s">
        <v>1794</v>
      </c>
      <c r="F1128" s="9" t="s">
        <v>3999</v>
      </c>
      <c r="G1128" s="9" t="s">
        <v>3614</v>
      </c>
      <c r="H1128" s="18" t="str">
        <f t="array" ref="H1128">_xlfn.XLOOKUP(E:E,'Calificación consecuencia'!B:B,'Calificación consecuencia'!K:K,"No encontrada",2)</f>
        <v>Baja</v>
      </c>
      <c r="I1128" s="9" t="s">
        <v>1800</v>
      </c>
      <c r="J1128" s="20" t="s">
        <v>116</v>
      </c>
      <c r="K1128" s="21"/>
      <c r="L1128" s="21"/>
      <c r="M1128" s="22" t="s">
        <v>120</v>
      </c>
      <c r="N1128" s="21"/>
      <c r="O1128" s="20" t="s">
        <v>116</v>
      </c>
      <c r="P1128" s="20" t="s">
        <v>116</v>
      </c>
      <c r="Q1128" s="21"/>
      <c r="R1128" s="21"/>
      <c r="S1128" s="21"/>
      <c r="T1128" s="21"/>
      <c r="U1128" s="9" t="s">
        <v>345</v>
      </c>
      <c r="V1128" s="9" t="s">
        <v>196</v>
      </c>
    </row>
    <row r="1129" ht="14.25" customHeight="1">
      <c r="A1129" s="9" t="s">
        <v>2012</v>
      </c>
      <c r="B1129" s="9" t="s">
        <v>2010</v>
      </c>
      <c r="C1129" s="9" t="str">
        <f t="array" ref="C1129">INDEX(Funciones!$G$2:$G$372,MATCH($A1129,Funciones!$B$2:$B$372,0))</f>
        <v>Entregar potencia mecánica de _____ kW</v>
      </c>
      <c r="D1129" s="9" t="s">
        <v>4084</v>
      </c>
      <c r="E1129" s="9" t="s">
        <v>2376</v>
      </c>
      <c r="F1129" s="9" t="s">
        <v>4000</v>
      </c>
      <c r="G1129" s="9" t="s">
        <v>1493</v>
      </c>
      <c r="H1129" s="18" t="str">
        <f t="array" ref="H1129">_xlfn.XLOOKUP(E:E,'Calificación consecuencia'!B:B,'Calificación consecuencia'!K:K,"No encontrada",2)</f>
        <v>Baja</v>
      </c>
      <c r="I1129" s="9" t="s">
        <v>2106</v>
      </c>
      <c r="J1129" s="20" t="s">
        <v>116</v>
      </c>
      <c r="K1129" s="21"/>
      <c r="L1129" s="21"/>
      <c r="M1129" s="22" t="s">
        <v>120</v>
      </c>
      <c r="N1129" s="21"/>
      <c r="O1129" s="22" t="s">
        <v>120</v>
      </c>
      <c r="P1129" s="21"/>
      <c r="Q1129" s="21"/>
      <c r="R1129" s="21"/>
      <c r="S1129" s="22" t="s">
        <v>120</v>
      </c>
      <c r="T1129" s="21"/>
      <c r="U1129" s="9" t="s">
        <v>1680</v>
      </c>
      <c r="V1129" s="9" t="s">
        <v>1408</v>
      </c>
    </row>
    <row r="1130" ht="14.25" customHeight="1">
      <c r="A1130" s="27" t="s">
        <v>2021</v>
      </c>
      <c r="B1130" s="27" t="s">
        <v>2020</v>
      </c>
      <c r="C1130" s="27" t="str">
        <f t="array" ref="C1130">INDEX(Funciones!$G$2:$G$372,MATCH($A1130,Funciones!$B$2:$B$372,0))</f>
        <v>Seleccionar la marcha con relación de transmisión de _____ a 1</v>
      </c>
      <c r="D1130" s="27" t="s">
        <v>4430</v>
      </c>
      <c r="E1130" s="27" t="s">
        <v>3660</v>
      </c>
      <c r="F1130" s="27" t="s">
        <v>4431</v>
      </c>
      <c r="G1130" s="27" t="s">
        <v>4432</v>
      </c>
      <c r="H1130" s="18" t="str">
        <f t="array" ref="H1130">_xlfn.XLOOKUP(E:E,'Calificación consecuencia'!B:B,'Calificación consecuencia'!K:K,"No encontrada",2)</f>
        <v>Baja</v>
      </c>
      <c r="I1130" s="27" t="s">
        <v>2106</v>
      </c>
      <c r="J1130" s="30" t="s">
        <v>116</v>
      </c>
      <c r="K1130" s="21"/>
      <c r="L1130" s="21"/>
      <c r="M1130" s="29" t="s">
        <v>120</v>
      </c>
      <c r="N1130" s="21"/>
      <c r="O1130" s="30" t="s">
        <v>116</v>
      </c>
      <c r="P1130" s="30" t="s">
        <v>116</v>
      </c>
      <c r="Q1130" s="21"/>
      <c r="R1130" s="21"/>
      <c r="S1130" s="21"/>
      <c r="T1130" s="21"/>
      <c r="U1130" s="27" t="s">
        <v>345</v>
      </c>
      <c r="V1130" s="27" t="s">
        <v>196</v>
      </c>
    </row>
    <row r="1131" ht="14.25" customHeight="1">
      <c r="A1131" s="27" t="s">
        <v>2021</v>
      </c>
      <c r="B1131" s="27" t="s">
        <v>2020</v>
      </c>
      <c r="C1131" s="27" t="str">
        <f t="array" ref="C1131">INDEX(Funciones!$G$2:$G$372,MATCH($A1131,Funciones!$B$2:$B$372,0))</f>
        <v>Seleccionar la marcha con relación de transmisión de _____ a 1</v>
      </c>
      <c r="D1131" s="27" t="s">
        <v>4430</v>
      </c>
      <c r="E1131" s="27" t="s">
        <v>3661</v>
      </c>
      <c r="F1131" s="27" t="s">
        <v>4433</v>
      </c>
      <c r="G1131" s="27" t="s">
        <v>4434</v>
      </c>
      <c r="H1131" s="18" t="str">
        <f t="array" ref="H1131">_xlfn.XLOOKUP(E:E,'Calificación consecuencia'!B:B,'Calificación consecuencia'!K:K,"No encontrada",2)</f>
        <v>Baja</v>
      </c>
      <c r="I1131" s="27" t="s">
        <v>2106</v>
      </c>
      <c r="J1131" s="30" t="s">
        <v>116</v>
      </c>
      <c r="K1131" s="21"/>
      <c r="L1131" s="21"/>
      <c r="M1131" s="29" t="s">
        <v>120</v>
      </c>
      <c r="N1131" s="21"/>
      <c r="O1131" s="30" t="s">
        <v>116</v>
      </c>
      <c r="P1131" s="30" t="s">
        <v>116</v>
      </c>
      <c r="Q1131" s="21"/>
      <c r="R1131" s="21"/>
      <c r="S1131" s="21"/>
      <c r="T1131" s="21"/>
      <c r="U1131" s="27" t="s">
        <v>345</v>
      </c>
      <c r="V1131" s="27" t="s">
        <v>196</v>
      </c>
    </row>
    <row r="1132" ht="14.25" customHeight="1">
      <c r="A1132" s="27" t="s">
        <v>2021</v>
      </c>
      <c r="B1132" s="27" t="s">
        <v>2020</v>
      </c>
      <c r="C1132" s="27" t="str">
        <f t="array" ref="C1132">INDEX(Funciones!$G$2:$G$372,MATCH($A1132,Funciones!$B$2:$B$372,0))</f>
        <v>Seleccionar la marcha con relación de transmisión de _____ a 1</v>
      </c>
      <c r="D1132" s="27" t="s">
        <v>4435</v>
      </c>
      <c r="E1132" s="27" t="s">
        <v>3662</v>
      </c>
      <c r="F1132" s="27" t="s">
        <v>4436</v>
      </c>
      <c r="G1132" s="27" t="s">
        <v>4437</v>
      </c>
      <c r="H1132" s="18" t="str">
        <f t="array" ref="H1132">_xlfn.XLOOKUP(E:E,'Calificación consecuencia'!B:B,'Calificación consecuencia'!K:K,"No encontrada",2)</f>
        <v>Baja</v>
      </c>
      <c r="I1132" s="27" t="s">
        <v>1800</v>
      </c>
      <c r="J1132" s="30" t="s">
        <v>116</v>
      </c>
      <c r="K1132" s="21"/>
      <c r="L1132" s="21"/>
      <c r="M1132" s="29" t="s">
        <v>120</v>
      </c>
      <c r="N1132" s="21"/>
      <c r="O1132" s="30" t="s">
        <v>116</v>
      </c>
      <c r="P1132" s="30" t="s">
        <v>116</v>
      </c>
      <c r="Q1132" s="21"/>
      <c r="R1132" s="21"/>
      <c r="S1132" s="21"/>
      <c r="T1132" s="21"/>
      <c r="U1132" s="27" t="s">
        <v>345</v>
      </c>
      <c r="V1132" s="27" t="s">
        <v>196</v>
      </c>
    </row>
    <row r="1133" ht="14.25" customHeight="1">
      <c r="A1133" s="9" t="s">
        <v>2033</v>
      </c>
      <c r="B1133" s="9" t="s">
        <v>2032</v>
      </c>
      <c r="C1133" s="9" t="str">
        <f t="array" ref="C1133">INDEX(Funciones!$G$2:$G$372,MATCH($A1133,Funciones!$B$2:$B$372,0))</f>
        <v>Comprimir el aire a una presión de _____ bar</v>
      </c>
      <c r="D1133" s="9" t="s">
        <v>3403</v>
      </c>
      <c r="E1133" s="9" t="s">
        <v>999</v>
      </c>
      <c r="F1133" s="9" t="s">
        <v>2657</v>
      </c>
      <c r="G1133" s="9" t="s">
        <v>2658</v>
      </c>
      <c r="H1133" s="18" t="str">
        <f t="array" ref="H1133">_xlfn.XLOOKUP(E:E,'Calificación consecuencia'!B:B,'Calificación consecuencia'!K:K,"No encontrada",2)</f>
        <v>Media</v>
      </c>
      <c r="I1133" s="9" t="s">
        <v>113</v>
      </c>
      <c r="J1133" s="20" t="s">
        <v>116</v>
      </c>
      <c r="K1133" s="21"/>
      <c r="L1133" s="21"/>
      <c r="M1133" s="20" t="s">
        <v>116</v>
      </c>
      <c r="N1133" s="20" t="s">
        <v>116</v>
      </c>
      <c r="O1133" s="21"/>
      <c r="P1133" s="21"/>
      <c r="Q1133" s="21"/>
      <c r="R1133" s="21"/>
      <c r="S1133" s="21"/>
      <c r="T1133" s="21"/>
      <c r="U1133" s="9" t="s">
        <v>195</v>
      </c>
      <c r="V1133" s="9" t="s">
        <v>196</v>
      </c>
    </row>
    <row r="1134" ht="14.25" customHeight="1">
      <c r="A1134" s="9" t="s">
        <v>2033</v>
      </c>
      <c r="B1134" s="9" t="s">
        <v>2032</v>
      </c>
      <c r="C1134" s="9" t="str">
        <f t="array" ref="C1134">INDEX(Funciones!$G$2:$G$372,MATCH($A1134,Funciones!$B$2:$B$372,0))</f>
        <v>Comprimir el aire a una presión de _____ bar</v>
      </c>
      <c r="D1134" s="9" t="s">
        <v>3403</v>
      </c>
      <c r="E1134" s="9" t="s">
        <v>1005</v>
      </c>
      <c r="F1134" s="9" t="s">
        <v>2677</v>
      </c>
      <c r="G1134" s="9" t="s">
        <v>2679</v>
      </c>
      <c r="H1134" s="18" t="str">
        <f t="array" ref="H1134">_xlfn.XLOOKUP(E:E,'Calificación consecuencia'!B:B,'Calificación consecuencia'!K:K,"No encontrada",2)</f>
        <v>Baja</v>
      </c>
      <c r="I1134" s="9" t="s">
        <v>113</v>
      </c>
      <c r="J1134" s="20" t="s">
        <v>116</v>
      </c>
      <c r="K1134" s="21"/>
      <c r="L1134" s="21"/>
      <c r="M1134" s="20" t="s">
        <v>116</v>
      </c>
      <c r="N1134" s="20" t="s">
        <v>116</v>
      </c>
      <c r="O1134" s="21"/>
      <c r="P1134" s="21"/>
      <c r="Q1134" s="21"/>
      <c r="R1134" s="21"/>
      <c r="S1134" s="21"/>
      <c r="T1134" s="21"/>
      <c r="U1134" s="9" t="s">
        <v>195</v>
      </c>
      <c r="V1134" s="9" t="s">
        <v>196</v>
      </c>
    </row>
    <row r="1135" ht="14.25" customHeight="1">
      <c r="A1135" s="9" t="s">
        <v>2033</v>
      </c>
      <c r="B1135" s="9" t="s">
        <v>2032</v>
      </c>
      <c r="C1135" s="9" t="str">
        <f t="array" ref="C1135">INDEX(Funciones!$G$2:$G$372,MATCH($A1135,Funciones!$B$2:$B$372,0))</f>
        <v>Comprimir el aire a una presión de _____ bar</v>
      </c>
      <c r="D1135" s="9" t="s">
        <v>3403</v>
      </c>
      <c r="E1135" s="9" t="s">
        <v>1017</v>
      </c>
      <c r="F1135" s="9" t="s">
        <v>2709</v>
      </c>
      <c r="G1135" s="9" t="s">
        <v>2710</v>
      </c>
      <c r="H1135" s="18" t="str">
        <f t="array" ref="H1135">_xlfn.XLOOKUP(E:E,'Calificación consecuencia'!B:B,'Calificación consecuencia'!K:K,"No encontrada",2)</f>
        <v>Media</v>
      </c>
      <c r="I1135" s="9" t="s">
        <v>113</v>
      </c>
      <c r="J1135" s="20" t="s">
        <v>116</v>
      </c>
      <c r="K1135" s="21"/>
      <c r="L1135" s="21"/>
      <c r="M1135" s="20" t="s">
        <v>116</v>
      </c>
      <c r="N1135" s="20" t="s">
        <v>116</v>
      </c>
      <c r="O1135" s="21"/>
      <c r="P1135" s="21"/>
      <c r="Q1135" s="21"/>
      <c r="R1135" s="21"/>
      <c r="S1135" s="21"/>
      <c r="T1135" s="21"/>
      <c r="U1135" s="9" t="s">
        <v>195</v>
      </c>
      <c r="V1135" s="9" t="s">
        <v>196</v>
      </c>
    </row>
    <row r="1136" ht="14.25" customHeight="1">
      <c r="A1136" s="9" t="s">
        <v>2033</v>
      </c>
      <c r="B1136" s="9" t="s">
        <v>2032</v>
      </c>
      <c r="C1136" s="9" t="str">
        <f t="array" ref="C1136">INDEX(Funciones!$G$2:$G$372,MATCH($A1136,Funciones!$B$2:$B$372,0))</f>
        <v>Comprimir el aire a una presión de _____ bar</v>
      </c>
      <c r="D1136" s="9" t="s">
        <v>3404</v>
      </c>
      <c r="E1136" s="9" t="s">
        <v>727</v>
      </c>
      <c r="F1136" s="9" t="s">
        <v>3405</v>
      </c>
      <c r="G1136" s="9" t="s">
        <v>1792</v>
      </c>
      <c r="H1136" s="18" t="str">
        <f t="array" ref="H1136">_xlfn.XLOOKUP(E:E,'Calificación consecuencia'!B:B,'Calificación consecuencia'!K:K,"No encontrada",2)</f>
        <v>Baja</v>
      </c>
      <c r="I1136" s="9" t="s">
        <v>1800</v>
      </c>
      <c r="J1136" s="20" t="s">
        <v>116</v>
      </c>
      <c r="K1136" s="21"/>
      <c r="L1136" s="21"/>
      <c r="M1136" s="22" t="s">
        <v>120</v>
      </c>
      <c r="N1136" s="21"/>
      <c r="O1136" s="20" t="s">
        <v>116</v>
      </c>
      <c r="P1136" s="20" t="s">
        <v>116</v>
      </c>
      <c r="Q1136" s="21"/>
      <c r="R1136" s="21"/>
      <c r="S1136" s="21"/>
      <c r="T1136" s="21"/>
      <c r="U1136" s="9" t="s">
        <v>345</v>
      </c>
      <c r="V1136" s="9" t="s">
        <v>196</v>
      </c>
    </row>
    <row r="1137" ht="14.25" customHeight="1">
      <c r="A1137" s="9" t="s">
        <v>2033</v>
      </c>
      <c r="B1137" s="9" t="s">
        <v>2032</v>
      </c>
      <c r="C1137" s="9" t="str">
        <f t="array" ref="C1137">INDEX(Funciones!$G$2:$G$372,MATCH($A1137,Funciones!$B$2:$B$372,0))</f>
        <v>Comprimir el aire a una presión de _____ bar</v>
      </c>
      <c r="D1137" s="9" t="s">
        <v>3404</v>
      </c>
      <c r="E1137" s="9" t="s">
        <v>1036</v>
      </c>
      <c r="F1137" s="9" t="s">
        <v>3406</v>
      </c>
      <c r="G1137" s="9" t="s">
        <v>2810</v>
      </c>
      <c r="H1137" s="18" t="str">
        <f t="array" ref="H1137">_xlfn.XLOOKUP(E:E,'Calificación consecuencia'!B:B,'Calificación consecuencia'!K:K,"No encontrada",2)</f>
        <v>Baja</v>
      </c>
      <c r="I1137" s="9" t="s">
        <v>339</v>
      </c>
      <c r="J1137" s="20" t="s">
        <v>116</v>
      </c>
      <c r="K1137" s="21"/>
      <c r="L1137" s="21"/>
      <c r="M1137" s="22" t="s">
        <v>120</v>
      </c>
      <c r="N1137" s="21"/>
      <c r="O1137" s="20" t="s">
        <v>116</v>
      </c>
      <c r="P1137" s="20" t="s">
        <v>116</v>
      </c>
      <c r="Q1137" s="21"/>
      <c r="R1137" s="21"/>
      <c r="S1137" s="21"/>
      <c r="T1137" s="21"/>
      <c r="U1137" s="9" t="s">
        <v>345</v>
      </c>
      <c r="V1137" s="9" t="s">
        <v>196</v>
      </c>
    </row>
    <row r="1138" ht="14.25" customHeight="1">
      <c r="A1138" s="9" t="s">
        <v>2033</v>
      </c>
      <c r="B1138" s="9" t="s">
        <v>2032</v>
      </c>
      <c r="C1138" s="9" t="str">
        <f t="array" ref="C1138">INDEX(Funciones!$G$2:$G$372,MATCH($A1138,Funciones!$B$2:$B$372,0))</f>
        <v>Comprimir el aire a una presión de _____ bar</v>
      </c>
      <c r="D1138" s="9" t="s">
        <v>3409</v>
      </c>
      <c r="E1138" s="9" t="s">
        <v>1421</v>
      </c>
      <c r="F1138" s="9" t="s">
        <v>3410</v>
      </c>
      <c r="G1138" s="9" t="s">
        <v>2841</v>
      </c>
      <c r="H1138" s="18" t="str">
        <f t="array" ref="H1138">_xlfn.XLOOKUP(E:E,'Calificación consecuencia'!B:B,'Calificación consecuencia'!K:K,"No encontrada",2)</f>
        <v>Baja</v>
      </c>
      <c r="I1138" s="9" t="s">
        <v>339</v>
      </c>
      <c r="J1138" s="20" t="s">
        <v>116</v>
      </c>
      <c r="K1138" s="21"/>
      <c r="L1138" s="21"/>
      <c r="M1138" s="22" t="s">
        <v>120</v>
      </c>
      <c r="N1138" s="21"/>
      <c r="O1138" s="20" t="s">
        <v>116</v>
      </c>
      <c r="P1138" s="22" t="s">
        <v>120</v>
      </c>
      <c r="Q1138" s="20" t="s">
        <v>116</v>
      </c>
      <c r="R1138" s="21"/>
      <c r="S1138" s="21"/>
      <c r="T1138" s="21"/>
      <c r="U1138" s="9" t="s">
        <v>785</v>
      </c>
      <c r="V1138" s="9" t="s">
        <v>786</v>
      </c>
    </row>
    <row r="1139" ht="14.25" customHeight="1">
      <c r="A1139" s="9" t="s">
        <v>2033</v>
      </c>
      <c r="B1139" s="9" t="s">
        <v>2032</v>
      </c>
      <c r="C1139" s="9" t="str">
        <f t="array" ref="C1139">INDEX(Funciones!$G$2:$G$372,MATCH($A1139,Funciones!$B$2:$B$372,0))</f>
        <v>Comprimir el aire a una presión de _____ bar</v>
      </c>
      <c r="D1139" s="9" t="s">
        <v>3409</v>
      </c>
      <c r="E1139" s="9" t="s">
        <v>1426</v>
      </c>
      <c r="F1139" s="9" t="s">
        <v>3411</v>
      </c>
      <c r="G1139" s="9" t="s">
        <v>1888</v>
      </c>
      <c r="H1139" s="18" t="str">
        <f t="array" ref="H1139">_xlfn.XLOOKUP(E:E,'Calificación consecuencia'!B:B,'Calificación consecuencia'!K:K,"No encontrada",2)</f>
        <v>Baja</v>
      </c>
      <c r="I1139" s="9" t="s">
        <v>339</v>
      </c>
      <c r="J1139" s="20" t="s">
        <v>116</v>
      </c>
      <c r="K1139" s="21"/>
      <c r="L1139" s="21"/>
      <c r="M1139" s="22" t="s">
        <v>120</v>
      </c>
      <c r="N1139" s="21"/>
      <c r="O1139" s="20" t="s">
        <v>116</v>
      </c>
      <c r="P1139" s="22" t="s">
        <v>120</v>
      </c>
      <c r="Q1139" s="20" t="s">
        <v>116</v>
      </c>
      <c r="R1139" s="21"/>
      <c r="S1139" s="21"/>
      <c r="T1139" s="21"/>
      <c r="U1139" s="9" t="s">
        <v>785</v>
      </c>
      <c r="V1139" s="9" t="s">
        <v>786</v>
      </c>
    </row>
    <row r="1140" ht="14.25" customHeight="1">
      <c r="A1140" s="27" t="s">
        <v>2036</v>
      </c>
      <c r="B1140" s="27" t="s">
        <v>2032</v>
      </c>
      <c r="C1140" s="27" t="str">
        <f t="array" ref="C1140">INDEX(Funciones!$G$2:$G$372,MATCH($A1140,Funciones!$B$2:$B$372,0))</f>
        <v>Suministrar caudal de aire de _____ L/min</v>
      </c>
      <c r="D1140" s="27" t="s">
        <v>4438</v>
      </c>
      <c r="E1140" s="27" t="s">
        <v>999</v>
      </c>
      <c r="F1140" s="27" t="s">
        <v>2657</v>
      </c>
      <c r="G1140" s="27" t="s">
        <v>2658</v>
      </c>
      <c r="H1140" s="18" t="str">
        <f t="array" ref="H1140">_xlfn.XLOOKUP(E:E,'Calificación consecuencia'!B:B,'Calificación consecuencia'!K:K,"No encontrada",2)</f>
        <v>Media</v>
      </c>
      <c r="I1140" s="27" t="s">
        <v>113</v>
      </c>
      <c r="J1140" s="30" t="s">
        <v>116</v>
      </c>
      <c r="K1140" s="21"/>
      <c r="L1140" s="21"/>
      <c r="M1140" s="30" t="s">
        <v>116</v>
      </c>
      <c r="N1140" s="30" t="s">
        <v>116</v>
      </c>
      <c r="O1140" s="21"/>
      <c r="P1140" s="21"/>
      <c r="Q1140" s="21"/>
      <c r="R1140" s="21"/>
      <c r="S1140" s="21"/>
      <c r="T1140" s="21"/>
      <c r="U1140" s="27" t="s">
        <v>195</v>
      </c>
      <c r="V1140" s="27" t="s">
        <v>196</v>
      </c>
    </row>
    <row r="1141" ht="14.25" customHeight="1">
      <c r="A1141" s="27" t="s">
        <v>2036</v>
      </c>
      <c r="B1141" s="27" t="s">
        <v>2032</v>
      </c>
      <c r="C1141" s="27" t="str">
        <f t="array" ref="C1141">INDEX(Funciones!$G$2:$G$372,MATCH($A1141,Funciones!$B$2:$B$372,0))</f>
        <v>Suministrar caudal de aire de _____ L/min</v>
      </c>
      <c r="D1141" s="27" t="s">
        <v>4438</v>
      </c>
      <c r="E1141" s="27" t="s">
        <v>1005</v>
      </c>
      <c r="F1141" s="27" t="s">
        <v>2677</v>
      </c>
      <c r="G1141" s="27" t="s">
        <v>2679</v>
      </c>
      <c r="H1141" s="18" t="str">
        <f t="array" ref="H1141">_xlfn.XLOOKUP(E:E,'Calificación consecuencia'!B:B,'Calificación consecuencia'!K:K,"No encontrada",2)</f>
        <v>Baja</v>
      </c>
      <c r="I1141" s="27" t="s">
        <v>113</v>
      </c>
      <c r="J1141" s="30" t="s">
        <v>116</v>
      </c>
      <c r="K1141" s="21"/>
      <c r="L1141" s="21"/>
      <c r="M1141" s="30" t="s">
        <v>116</v>
      </c>
      <c r="N1141" s="30" t="s">
        <v>116</v>
      </c>
      <c r="O1141" s="21"/>
      <c r="P1141" s="21"/>
      <c r="Q1141" s="21"/>
      <c r="R1141" s="21"/>
      <c r="S1141" s="21"/>
      <c r="T1141" s="21"/>
      <c r="U1141" s="27" t="s">
        <v>195</v>
      </c>
      <c r="V1141" s="27" t="s">
        <v>196</v>
      </c>
    </row>
    <row r="1142" ht="14.25" customHeight="1">
      <c r="A1142" s="27" t="s">
        <v>2036</v>
      </c>
      <c r="B1142" s="27" t="s">
        <v>2032</v>
      </c>
      <c r="C1142" s="27" t="str">
        <f t="array" ref="C1142">INDEX(Funciones!$G$2:$G$372,MATCH($A1142,Funciones!$B$2:$B$372,0))</f>
        <v>Suministrar caudal de aire de _____ L/min</v>
      </c>
      <c r="D1142" s="27" t="s">
        <v>4438</v>
      </c>
      <c r="E1142" s="27" t="s">
        <v>1017</v>
      </c>
      <c r="F1142" s="27" t="s">
        <v>2709</v>
      </c>
      <c r="G1142" s="27" t="s">
        <v>2710</v>
      </c>
      <c r="H1142" s="18" t="str">
        <f t="array" ref="H1142">_xlfn.XLOOKUP(E:E,'Calificación consecuencia'!B:B,'Calificación consecuencia'!K:K,"No encontrada",2)</f>
        <v>Media</v>
      </c>
      <c r="I1142" s="27" t="s">
        <v>113</v>
      </c>
      <c r="J1142" s="30" t="s">
        <v>116</v>
      </c>
      <c r="K1142" s="21"/>
      <c r="L1142" s="21"/>
      <c r="M1142" s="30" t="s">
        <v>116</v>
      </c>
      <c r="N1142" s="30" t="s">
        <v>116</v>
      </c>
      <c r="O1142" s="21"/>
      <c r="P1142" s="21"/>
      <c r="Q1142" s="21"/>
      <c r="R1142" s="21"/>
      <c r="S1142" s="21"/>
      <c r="T1142" s="21"/>
      <c r="U1142" s="27" t="s">
        <v>195</v>
      </c>
      <c r="V1142" s="27" t="s">
        <v>196</v>
      </c>
    </row>
    <row r="1143" ht="14.25" customHeight="1">
      <c r="A1143" s="27" t="s">
        <v>2036</v>
      </c>
      <c r="B1143" s="27" t="s">
        <v>2032</v>
      </c>
      <c r="C1143" s="27" t="str">
        <f t="array" ref="C1143">INDEX(Funciones!$G$2:$G$372,MATCH($A1143,Funciones!$B$2:$B$372,0))</f>
        <v>Suministrar caudal de aire de _____ L/min</v>
      </c>
      <c r="D1143" s="27" t="s">
        <v>4439</v>
      </c>
      <c r="E1143" s="27" t="s">
        <v>727</v>
      </c>
      <c r="F1143" s="27" t="s">
        <v>2744</v>
      </c>
      <c r="G1143" s="27" t="s">
        <v>1792</v>
      </c>
      <c r="H1143" s="18" t="str">
        <f t="array" ref="H1143">_xlfn.XLOOKUP(E:E,'Calificación consecuencia'!B:B,'Calificación consecuencia'!K:K,"No encontrada",2)</f>
        <v>Baja</v>
      </c>
      <c r="I1143" s="27" t="s">
        <v>1800</v>
      </c>
      <c r="J1143" s="30" t="s">
        <v>116</v>
      </c>
      <c r="K1143" s="21"/>
      <c r="L1143" s="21"/>
      <c r="M1143" s="29" t="s">
        <v>120</v>
      </c>
      <c r="N1143" s="21"/>
      <c r="O1143" s="30" t="s">
        <v>116</v>
      </c>
      <c r="P1143" s="30" t="s">
        <v>116</v>
      </c>
      <c r="Q1143" s="21"/>
      <c r="R1143" s="21"/>
      <c r="S1143" s="21"/>
      <c r="T1143" s="21"/>
      <c r="U1143" s="27" t="s">
        <v>345</v>
      </c>
      <c r="V1143" s="27" t="s">
        <v>196</v>
      </c>
    </row>
    <row r="1144" ht="14.25" customHeight="1">
      <c r="A1144" s="27" t="s">
        <v>2036</v>
      </c>
      <c r="B1144" s="27" t="s">
        <v>2032</v>
      </c>
      <c r="C1144" s="27" t="str">
        <f t="array" ref="C1144">INDEX(Funciones!$G$2:$G$372,MATCH($A1144,Funciones!$B$2:$B$372,0))</f>
        <v>Suministrar caudal de aire de _____ L/min</v>
      </c>
      <c r="D1144" s="27" t="s">
        <v>4439</v>
      </c>
      <c r="E1144" s="27" t="s">
        <v>1031</v>
      </c>
      <c r="F1144" s="27" t="s">
        <v>2776</v>
      </c>
      <c r="G1144" s="27" t="s">
        <v>2777</v>
      </c>
      <c r="H1144" s="18" t="str">
        <f t="array" ref="H1144">_xlfn.XLOOKUP(E:E,'Calificación consecuencia'!B:B,'Calificación consecuencia'!K:K,"No encontrada",2)</f>
        <v>Baja</v>
      </c>
      <c r="I1144" s="27" t="s">
        <v>339</v>
      </c>
      <c r="J1144" s="30" t="s">
        <v>116</v>
      </c>
      <c r="K1144" s="21"/>
      <c r="L1144" s="21"/>
      <c r="M1144" s="29" t="s">
        <v>120</v>
      </c>
      <c r="N1144" s="21"/>
      <c r="O1144" s="30" t="s">
        <v>116</v>
      </c>
      <c r="P1144" s="29" t="s">
        <v>120</v>
      </c>
      <c r="Q1144" s="30" t="s">
        <v>116</v>
      </c>
      <c r="R1144" s="21"/>
      <c r="S1144" s="21"/>
      <c r="T1144" s="21"/>
      <c r="U1144" s="27" t="s">
        <v>785</v>
      </c>
      <c r="V1144" s="27" t="s">
        <v>786</v>
      </c>
    </row>
    <row r="1145" ht="14.25" customHeight="1">
      <c r="A1145" s="27" t="s">
        <v>2036</v>
      </c>
      <c r="B1145" s="27" t="s">
        <v>2032</v>
      </c>
      <c r="C1145" s="27" t="str">
        <f t="array" ref="C1145">INDEX(Funciones!$G$2:$G$372,MATCH($A1145,Funciones!$B$2:$B$372,0))</f>
        <v>Suministrar caudal de aire de _____ L/min</v>
      </c>
      <c r="D1145" s="27" t="s">
        <v>4439</v>
      </c>
      <c r="E1145" s="27" t="s">
        <v>1036</v>
      </c>
      <c r="F1145" s="27" t="s">
        <v>2808</v>
      </c>
      <c r="G1145" s="27" t="s">
        <v>2810</v>
      </c>
      <c r="H1145" s="18" t="str">
        <f t="array" ref="H1145">_xlfn.XLOOKUP(E:E,'Calificación consecuencia'!B:B,'Calificación consecuencia'!K:K,"No encontrada",2)</f>
        <v>Baja</v>
      </c>
      <c r="I1145" s="27" t="s">
        <v>339</v>
      </c>
      <c r="J1145" s="30" t="s">
        <v>116</v>
      </c>
      <c r="K1145" s="21"/>
      <c r="L1145" s="21"/>
      <c r="M1145" s="29" t="s">
        <v>120</v>
      </c>
      <c r="N1145" s="21"/>
      <c r="O1145" s="30" t="s">
        <v>116</v>
      </c>
      <c r="P1145" s="30" t="s">
        <v>116</v>
      </c>
      <c r="Q1145" s="21"/>
      <c r="R1145" s="21"/>
      <c r="S1145" s="21"/>
      <c r="T1145" s="21"/>
      <c r="U1145" s="27" t="s">
        <v>345</v>
      </c>
      <c r="V1145" s="27" t="s">
        <v>196</v>
      </c>
    </row>
    <row r="1146" ht="14.25" customHeight="1">
      <c r="A1146" s="27" t="s">
        <v>2036</v>
      </c>
      <c r="B1146" s="27" t="s">
        <v>2032</v>
      </c>
      <c r="C1146" s="27" t="str">
        <f t="array" ref="C1146">INDEX(Funciones!$G$2:$G$372,MATCH($A1146,Funciones!$B$2:$B$372,0))</f>
        <v>Suministrar caudal de aire de _____ L/min</v>
      </c>
      <c r="D1146" s="27" t="s">
        <v>4439</v>
      </c>
      <c r="E1146" s="27" t="s">
        <v>1041</v>
      </c>
      <c r="F1146" s="27" t="s">
        <v>2838</v>
      </c>
      <c r="G1146" s="27" t="s">
        <v>2841</v>
      </c>
      <c r="H1146" s="18" t="str">
        <f t="array" ref="H1146">_xlfn.XLOOKUP(E:E,'Calificación consecuencia'!B:B,'Calificación consecuencia'!K:K,"No encontrada",2)</f>
        <v>Baja</v>
      </c>
      <c r="I1146" s="27" t="s">
        <v>339</v>
      </c>
      <c r="J1146" s="30" t="s">
        <v>116</v>
      </c>
      <c r="K1146" s="21"/>
      <c r="L1146" s="21"/>
      <c r="M1146" s="29" t="s">
        <v>120</v>
      </c>
      <c r="N1146" s="21"/>
      <c r="O1146" s="30" t="s">
        <v>116</v>
      </c>
      <c r="P1146" s="29" t="s">
        <v>120</v>
      </c>
      <c r="Q1146" s="30" t="s">
        <v>116</v>
      </c>
      <c r="R1146" s="21"/>
      <c r="S1146" s="21"/>
      <c r="T1146" s="21"/>
      <c r="U1146" s="27" t="s">
        <v>785</v>
      </c>
      <c r="V1146" s="27" t="s">
        <v>786</v>
      </c>
    </row>
    <row r="1147" ht="14.25" customHeight="1">
      <c r="A1147" s="27" t="s">
        <v>2036</v>
      </c>
      <c r="B1147" s="27" t="s">
        <v>2032</v>
      </c>
      <c r="C1147" s="27" t="str">
        <f t="array" ref="C1147">INDEX(Funciones!$G$2:$G$372,MATCH($A1147,Funciones!$B$2:$B$372,0))</f>
        <v>Suministrar caudal de aire de _____ L/min</v>
      </c>
      <c r="D1147" s="27" t="s">
        <v>4439</v>
      </c>
      <c r="E1147" s="27" t="s">
        <v>1047</v>
      </c>
      <c r="F1147" s="27" t="s">
        <v>2875</v>
      </c>
      <c r="G1147" s="27" t="s">
        <v>1888</v>
      </c>
      <c r="H1147" s="18" t="str">
        <f t="array" ref="H1147">_xlfn.XLOOKUP(E:E,'Calificación consecuencia'!B:B,'Calificación consecuencia'!K:K,"No encontrada",2)</f>
        <v>Baja</v>
      </c>
      <c r="I1147" s="27" t="s">
        <v>339</v>
      </c>
      <c r="J1147" s="30" t="s">
        <v>116</v>
      </c>
      <c r="K1147" s="21"/>
      <c r="L1147" s="21"/>
      <c r="M1147" s="29" t="s">
        <v>120</v>
      </c>
      <c r="N1147" s="21"/>
      <c r="O1147" s="30" t="s">
        <v>116</v>
      </c>
      <c r="P1147" s="29" t="s">
        <v>120</v>
      </c>
      <c r="Q1147" s="30" t="s">
        <v>116</v>
      </c>
      <c r="R1147" s="21"/>
      <c r="S1147" s="21"/>
      <c r="T1147" s="21"/>
      <c r="U1147" s="27" t="s">
        <v>785</v>
      </c>
      <c r="V1147" s="27" t="s">
        <v>786</v>
      </c>
    </row>
    <row r="1148" ht="14.25" customHeight="1">
      <c r="A1148" s="9" t="s">
        <v>2040</v>
      </c>
      <c r="B1148" s="9" t="s">
        <v>2039</v>
      </c>
      <c r="C1148" s="9" t="str">
        <f t="array" ref="C1148">INDEX(Funciones!$G$2:$G$372,MATCH($A1148,Funciones!$B$2:$B$372,0))</f>
        <v>Comprimir el aire a una presión de _____ bar</v>
      </c>
      <c r="D1148" s="9" t="s">
        <v>3403</v>
      </c>
      <c r="E1148" s="9" t="s">
        <v>999</v>
      </c>
      <c r="F1148" s="9" t="s">
        <v>2657</v>
      </c>
      <c r="G1148" s="9" t="s">
        <v>2658</v>
      </c>
      <c r="H1148" s="18" t="str">
        <f t="array" ref="H1148">_xlfn.XLOOKUP(E:E,'Calificación consecuencia'!B:B,'Calificación consecuencia'!K:K,"No encontrada",2)</f>
        <v>Media</v>
      </c>
      <c r="I1148" s="9" t="s">
        <v>113</v>
      </c>
      <c r="J1148" s="20" t="s">
        <v>116</v>
      </c>
      <c r="K1148" s="21"/>
      <c r="L1148" s="21"/>
      <c r="M1148" s="20" t="s">
        <v>116</v>
      </c>
      <c r="N1148" s="20" t="s">
        <v>116</v>
      </c>
      <c r="O1148" s="21"/>
      <c r="P1148" s="21"/>
      <c r="Q1148" s="21"/>
      <c r="R1148" s="21"/>
      <c r="S1148" s="21"/>
      <c r="T1148" s="21"/>
      <c r="U1148" s="9" t="s">
        <v>195</v>
      </c>
      <c r="V1148" s="9" t="s">
        <v>196</v>
      </c>
    </row>
    <row r="1149" ht="14.25" customHeight="1">
      <c r="A1149" s="9" t="s">
        <v>2040</v>
      </c>
      <c r="B1149" s="9" t="s">
        <v>2039</v>
      </c>
      <c r="C1149" s="9" t="str">
        <f t="array" ref="C1149">INDEX(Funciones!$G$2:$G$372,MATCH($A1149,Funciones!$B$2:$B$372,0))</f>
        <v>Comprimir el aire a una presión de _____ bar</v>
      </c>
      <c r="D1149" s="9" t="s">
        <v>3403</v>
      </c>
      <c r="E1149" s="9" t="s">
        <v>1005</v>
      </c>
      <c r="F1149" s="9" t="s">
        <v>2677</v>
      </c>
      <c r="G1149" s="9" t="s">
        <v>2679</v>
      </c>
      <c r="H1149" s="18" t="str">
        <f t="array" ref="H1149">_xlfn.XLOOKUP(E:E,'Calificación consecuencia'!B:B,'Calificación consecuencia'!K:K,"No encontrada",2)</f>
        <v>Baja</v>
      </c>
      <c r="I1149" s="9" t="s">
        <v>113</v>
      </c>
      <c r="J1149" s="20" t="s">
        <v>116</v>
      </c>
      <c r="K1149" s="21"/>
      <c r="L1149" s="21"/>
      <c r="M1149" s="20" t="s">
        <v>116</v>
      </c>
      <c r="N1149" s="20" t="s">
        <v>116</v>
      </c>
      <c r="O1149" s="21"/>
      <c r="P1149" s="21"/>
      <c r="Q1149" s="21"/>
      <c r="R1149" s="21"/>
      <c r="S1149" s="21"/>
      <c r="T1149" s="21"/>
      <c r="U1149" s="9" t="s">
        <v>195</v>
      </c>
      <c r="V1149" s="9" t="s">
        <v>196</v>
      </c>
    </row>
    <row r="1150" ht="14.25" customHeight="1">
      <c r="A1150" s="9" t="s">
        <v>2040</v>
      </c>
      <c r="B1150" s="9" t="s">
        <v>2039</v>
      </c>
      <c r="C1150" s="9" t="str">
        <f t="array" ref="C1150">INDEX(Funciones!$G$2:$G$372,MATCH($A1150,Funciones!$B$2:$B$372,0))</f>
        <v>Comprimir el aire a una presión de _____ bar</v>
      </c>
      <c r="D1150" s="9" t="s">
        <v>3403</v>
      </c>
      <c r="E1150" s="9" t="s">
        <v>1017</v>
      </c>
      <c r="F1150" s="9" t="s">
        <v>2709</v>
      </c>
      <c r="G1150" s="9" t="s">
        <v>2710</v>
      </c>
      <c r="H1150" s="18" t="str">
        <f t="array" ref="H1150">_xlfn.XLOOKUP(E:E,'Calificación consecuencia'!B:B,'Calificación consecuencia'!K:K,"No encontrada",2)</f>
        <v>Media</v>
      </c>
      <c r="I1150" s="9" t="s">
        <v>113</v>
      </c>
      <c r="J1150" s="20" t="s">
        <v>116</v>
      </c>
      <c r="K1150" s="21"/>
      <c r="L1150" s="21"/>
      <c r="M1150" s="20" t="s">
        <v>116</v>
      </c>
      <c r="N1150" s="20" t="s">
        <v>116</v>
      </c>
      <c r="O1150" s="21"/>
      <c r="P1150" s="21"/>
      <c r="Q1150" s="21"/>
      <c r="R1150" s="21"/>
      <c r="S1150" s="21"/>
      <c r="T1150" s="21"/>
      <c r="U1150" s="9" t="s">
        <v>195</v>
      </c>
      <c r="V1150" s="9" t="s">
        <v>196</v>
      </c>
    </row>
    <row r="1151" ht="14.25" customHeight="1">
      <c r="A1151" s="9" t="s">
        <v>2040</v>
      </c>
      <c r="B1151" s="9" t="s">
        <v>2039</v>
      </c>
      <c r="C1151" s="9" t="str">
        <f t="array" ref="C1151">INDEX(Funciones!$G$2:$G$372,MATCH($A1151,Funciones!$B$2:$B$372,0))</f>
        <v>Comprimir el aire a una presión de _____ bar</v>
      </c>
      <c r="D1151" s="9" t="s">
        <v>3404</v>
      </c>
      <c r="E1151" s="9" t="s">
        <v>727</v>
      </c>
      <c r="F1151" s="9" t="s">
        <v>3405</v>
      </c>
      <c r="G1151" s="9" t="s">
        <v>1792</v>
      </c>
      <c r="H1151" s="18" t="str">
        <f t="array" ref="H1151">_xlfn.XLOOKUP(E:E,'Calificación consecuencia'!B:B,'Calificación consecuencia'!K:K,"No encontrada",2)</f>
        <v>Baja</v>
      </c>
      <c r="I1151" s="9" t="s">
        <v>1800</v>
      </c>
      <c r="J1151" s="20" t="s">
        <v>116</v>
      </c>
      <c r="K1151" s="21"/>
      <c r="L1151" s="21"/>
      <c r="M1151" s="22" t="s">
        <v>120</v>
      </c>
      <c r="N1151" s="21"/>
      <c r="O1151" s="20" t="s">
        <v>116</v>
      </c>
      <c r="P1151" s="20" t="s">
        <v>116</v>
      </c>
      <c r="Q1151" s="21"/>
      <c r="R1151" s="21"/>
      <c r="S1151" s="21"/>
      <c r="T1151" s="21"/>
      <c r="U1151" s="9" t="s">
        <v>345</v>
      </c>
      <c r="V1151" s="9" t="s">
        <v>196</v>
      </c>
    </row>
    <row r="1152" ht="14.25" customHeight="1">
      <c r="A1152" s="9" t="s">
        <v>2040</v>
      </c>
      <c r="B1152" s="9" t="s">
        <v>2039</v>
      </c>
      <c r="C1152" s="9" t="str">
        <f t="array" ref="C1152">INDEX(Funciones!$G$2:$G$372,MATCH($A1152,Funciones!$B$2:$B$372,0))</f>
        <v>Comprimir el aire a una presión de _____ bar</v>
      </c>
      <c r="D1152" s="9" t="s">
        <v>3404</v>
      </c>
      <c r="E1152" s="9" t="s">
        <v>1036</v>
      </c>
      <c r="F1152" s="9" t="s">
        <v>3406</v>
      </c>
      <c r="G1152" s="9" t="s">
        <v>2810</v>
      </c>
      <c r="H1152" s="18" t="str">
        <f t="array" ref="H1152">_xlfn.XLOOKUP(E:E,'Calificación consecuencia'!B:B,'Calificación consecuencia'!K:K,"No encontrada",2)</f>
        <v>Baja</v>
      </c>
      <c r="I1152" s="9" t="s">
        <v>339</v>
      </c>
      <c r="J1152" s="20" t="s">
        <v>116</v>
      </c>
      <c r="K1152" s="21"/>
      <c r="L1152" s="21"/>
      <c r="M1152" s="22" t="s">
        <v>120</v>
      </c>
      <c r="N1152" s="21"/>
      <c r="O1152" s="20" t="s">
        <v>116</v>
      </c>
      <c r="P1152" s="20" t="s">
        <v>116</v>
      </c>
      <c r="Q1152" s="21"/>
      <c r="R1152" s="21"/>
      <c r="S1152" s="21"/>
      <c r="T1152" s="21"/>
      <c r="U1152" s="9" t="s">
        <v>345</v>
      </c>
      <c r="V1152" s="9" t="s">
        <v>196</v>
      </c>
    </row>
    <row r="1153" ht="14.25" customHeight="1">
      <c r="A1153" s="9" t="s">
        <v>2040</v>
      </c>
      <c r="B1153" s="9" t="s">
        <v>2039</v>
      </c>
      <c r="C1153" s="9" t="str">
        <f t="array" ref="C1153">INDEX(Funciones!$G$2:$G$372,MATCH($A1153,Funciones!$B$2:$B$372,0))</f>
        <v>Comprimir el aire a una presión de _____ bar</v>
      </c>
      <c r="D1153" s="9" t="s">
        <v>3409</v>
      </c>
      <c r="E1153" s="9" t="s">
        <v>1421</v>
      </c>
      <c r="F1153" s="9" t="s">
        <v>3410</v>
      </c>
      <c r="G1153" s="9" t="s">
        <v>2841</v>
      </c>
      <c r="H1153" s="18" t="str">
        <f t="array" ref="H1153">_xlfn.XLOOKUP(E:E,'Calificación consecuencia'!B:B,'Calificación consecuencia'!K:K,"No encontrada",2)</f>
        <v>Baja</v>
      </c>
      <c r="I1153" s="9" t="s">
        <v>339</v>
      </c>
      <c r="J1153" s="20" t="s">
        <v>116</v>
      </c>
      <c r="K1153" s="21"/>
      <c r="L1153" s="21"/>
      <c r="M1153" s="22" t="s">
        <v>120</v>
      </c>
      <c r="N1153" s="21"/>
      <c r="O1153" s="20" t="s">
        <v>116</v>
      </c>
      <c r="P1153" s="22" t="s">
        <v>120</v>
      </c>
      <c r="Q1153" s="20" t="s">
        <v>116</v>
      </c>
      <c r="R1153" s="21"/>
      <c r="S1153" s="21"/>
      <c r="T1153" s="21"/>
      <c r="U1153" s="9" t="s">
        <v>785</v>
      </c>
      <c r="V1153" s="9" t="s">
        <v>786</v>
      </c>
    </row>
    <row r="1154" ht="14.25" customHeight="1">
      <c r="A1154" s="9" t="s">
        <v>2040</v>
      </c>
      <c r="B1154" s="9" t="s">
        <v>2039</v>
      </c>
      <c r="C1154" s="9" t="str">
        <f t="array" ref="C1154">INDEX(Funciones!$G$2:$G$372,MATCH($A1154,Funciones!$B$2:$B$372,0))</f>
        <v>Comprimir el aire a una presión de _____ bar</v>
      </c>
      <c r="D1154" s="9" t="s">
        <v>3409</v>
      </c>
      <c r="E1154" s="9" t="s">
        <v>1426</v>
      </c>
      <c r="F1154" s="9" t="s">
        <v>3411</v>
      </c>
      <c r="G1154" s="9" t="s">
        <v>1888</v>
      </c>
      <c r="H1154" s="18" t="str">
        <f t="array" ref="H1154">_xlfn.XLOOKUP(E:E,'Calificación consecuencia'!B:B,'Calificación consecuencia'!K:K,"No encontrada",2)</f>
        <v>Baja</v>
      </c>
      <c r="I1154" s="9" t="s">
        <v>339</v>
      </c>
      <c r="J1154" s="20" t="s">
        <v>116</v>
      </c>
      <c r="K1154" s="21"/>
      <c r="L1154" s="21"/>
      <c r="M1154" s="22" t="s">
        <v>120</v>
      </c>
      <c r="N1154" s="21"/>
      <c r="O1154" s="20" t="s">
        <v>116</v>
      </c>
      <c r="P1154" s="22" t="s">
        <v>120</v>
      </c>
      <c r="Q1154" s="20" t="s">
        <v>116</v>
      </c>
      <c r="R1154" s="21"/>
      <c r="S1154" s="21"/>
      <c r="T1154" s="21"/>
      <c r="U1154" s="9" t="s">
        <v>785</v>
      </c>
      <c r="V1154" s="9" t="s">
        <v>786</v>
      </c>
    </row>
    <row r="1155" ht="14.25" customHeight="1">
      <c r="A1155" s="27" t="s">
        <v>2046</v>
      </c>
      <c r="B1155" s="27" t="s">
        <v>2039</v>
      </c>
      <c r="C1155" s="27" t="str">
        <f t="array" ref="C1155">INDEX(Funciones!$G$2:$G$372,MATCH($A1155,Funciones!$B$2:$B$372,0))</f>
        <v>Suministrar caudal de aire de _____ L/min</v>
      </c>
      <c r="D1155" s="27" t="s">
        <v>4438</v>
      </c>
      <c r="E1155" s="27" t="s">
        <v>999</v>
      </c>
      <c r="F1155" s="27" t="s">
        <v>2657</v>
      </c>
      <c r="G1155" s="27" t="s">
        <v>2658</v>
      </c>
      <c r="H1155" s="18" t="str">
        <f t="array" ref="H1155">_xlfn.XLOOKUP(E:E,'Calificación consecuencia'!B:B,'Calificación consecuencia'!K:K,"No encontrada",2)</f>
        <v>Media</v>
      </c>
      <c r="I1155" s="27" t="s">
        <v>113</v>
      </c>
      <c r="J1155" s="30" t="s">
        <v>116</v>
      </c>
      <c r="K1155" s="21"/>
      <c r="L1155" s="21"/>
      <c r="M1155" s="30" t="s">
        <v>116</v>
      </c>
      <c r="N1155" s="30" t="s">
        <v>116</v>
      </c>
      <c r="O1155" s="21"/>
      <c r="P1155" s="21"/>
      <c r="Q1155" s="21"/>
      <c r="R1155" s="21"/>
      <c r="S1155" s="21"/>
      <c r="T1155" s="21"/>
      <c r="U1155" s="27" t="s">
        <v>195</v>
      </c>
      <c r="V1155" s="27" t="s">
        <v>196</v>
      </c>
    </row>
    <row r="1156" ht="14.25" customHeight="1">
      <c r="A1156" s="27" t="s">
        <v>2046</v>
      </c>
      <c r="B1156" s="27" t="s">
        <v>2039</v>
      </c>
      <c r="C1156" s="27" t="str">
        <f t="array" ref="C1156">INDEX(Funciones!$G$2:$G$372,MATCH($A1156,Funciones!$B$2:$B$372,0))</f>
        <v>Suministrar caudal de aire de _____ L/min</v>
      </c>
      <c r="D1156" s="27" t="s">
        <v>4438</v>
      </c>
      <c r="E1156" s="27" t="s">
        <v>1005</v>
      </c>
      <c r="F1156" s="27" t="s">
        <v>2677</v>
      </c>
      <c r="G1156" s="27" t="s">
        <v>2679</v>
      </c>
      <c r="H1156" s="18" t="str">
        <f t="array" ref="H1156">_xlfn.XLOOKUP(E:E,'Calificación consecuencia'!B:B,'Calificación consecuencia'!K:K,"No encontrada",2)</f>
        <v>Baja</v>
      </c>
      <c r="I1156" s="27" t="s">
        <v>113</v>
      </c>
      <c r="J1156" s="30" t="s">
        <v>116</v>
      </c>
      <c r="K1156" s="21"/>
      <c r="L1156" s="21"/>
      <c r="M1156" s="30" t="s">
        <v>116</v>
      </c>
      <c r="N1156" s="30" t="s">
        <v>116</v>
      </c>
      <c r="O1156" s="21"/>
      <c r="P1156" s="21"/>
      <c r="Q1156" s="21"/>
      <c r="R1156" s="21"/>
      <c r="S1156" s="21"/>
      <c r="T1156" s="21"/>
      <c r="U1156" s="27" t="s">
        <v>195</v>
      </c>
      <c r="V1156" s="27" t="s">
        <v>196</v>
      </c>
    </row>
    <row r="1157" ht="14.25" customHeight="1">
      <c r="A1157" s="27" t="s">
        <v>2046</v>
      </c>
      <c r="B1157" s="27" t="s">
        <v>2039</v>
      </c>
      <c r="C1157" s="27" t="str">
        <f t="array" ref="C1157">INDEX(Funciones!$G$2:$G$372,MATCH($A1157,Funciones!$B$2:$B$372,0))</f>
        <v>Suministrar caudal de aire de _____ L/min</v>
      </c>
      <c r="D1157" s="27" t="s">
        <v>4438</v>
      </c>
      <c r="E1157" s="27" t="s">
        <v>1017</v>
      </c>
      <c r="F1157" s="27" t="s">
        <v>2709</v>
      </c>
      <c r="G1157" s="27" t="s">
        <v>2710</v>
      </c>
      <c r="H1157" s="18" t="str">
        <f t="array" ref="H1157">_xlfn.XLOOKUP(E:E,'Calificación consecuencia'!B:B,'Calificación consecuencia'!K:K,"No encontrada",2)</f>
        <v>Media</v>
      </c>
      <c r="I1157" s="27" t="s">
        <v>113</v>
      </c>
      <c r="J1157" s="30" t="s">
        <v>116</v>
      </c>
      <c r="K1157" s="21"/>
      <c r="L1157" s="21"/>
      <c r="M1157" s="30" t="s">
        <v>116</v>
      </c>
      <c r="N1157" s="30" t="s">
        <v>116</v>
      </c>
      <c r="O1157" s="21"/>
      <c r="P1157" s="21"/>
      <c r="Q1157" s="21"/>
      <c r="R1157" s="21"/>
      <c r="S1157" s="21"/>
      <c r="T1157" s="21"/>
      <c r="U1157" s="27" t="s">
        <v>195</v>
      </c>
      <c r="V1157" s="27" t="s">
        <v>196</v>
      </c>
    </row>
    <row r="1158" ht="14.25" customHeight="1">
      <c r="A1158" s="27" t="s">
        <v>2046</v>
      </c>
      <c r="B1158" s="27" t="s">
        <v>2039</v>
      </c>
      <c r="C1158" s="27" t="str">
        <f t="array" ref="C1158">INDEX(Funciones!$G$2:$G$372,MATCH($A1158,Funciones!$B$2:$B$372,0))</f>
        <v>Suministrar caudal de aire de _____ L/min</v>
      </c>
      <c r="D1158" s="27" t="s">
        <v>4439</v>
      </c>
      <c r="E1158" s="27" t="s">
        <v>727</v>
      </c>
      <c r="F1158" s="27" t="s">
        <v>2744</v>
      </c>
      <c r="G1158" s="27" t="s">
        <v>1792</v>
      </c>
      <c r="H1158" s="18" t="str">
        <f t="array" ref="H1158">_xlfn.XLOOKUP(E:E,'Calificación consecuencia'!B:B,'Calificación consecuencia'!K:K,"No encontrada",2)</f>
        <v>Baja</v>
      </c>
      <c r="I1158" s="27" t="s">
        <v>1800</v>
      </c>
      <c r="J1158" s="30" t="s">
        <v>116</v>
      </c>
      <c r="K1158" s="21"/>
      <c r="L1158" s="21"/>
      <c r="M1158" s="29" t="s">
        <v>120</v>
      </c>
      <c r="N1158" s="21"/>
      <c r="O1158" s="30" t="s">
        <v>116</v>
      </c>
      <c r="P1158" s="30" t="s">
        <v>116</v>
      </c>
      <c r="Q1158" s="21"/>
      <c r="R1158" s="21"/>
      <c r="S1158" s="21"/>
      <c r="T1158" s="21"/>
      <c r="U1158" s="27" t="s">
        <v>345</v>
      </c>
      <c r="V1158" s="27" t="s">
        <v>196</v>
      </c>
    </row>
    <row r="1159" ht="14.25" customHeight="1">
      <c r="A1159" s="27" t="s">
        <v>2046</v>
      </c>
      <c r="B1159" s="27" t="s">
        <v>2039</v>
      </c>
      <c r="C1159" s="27" t="str">
        <f t="array" ref="C1159">INDEX(Funciones!$G$2:$G$372,MATCH($A1159,Funciones!$B$2:$B$372,0))</f>
        <v>Suministrar caudal de aire de _____ L/min</v>
      </c>
      <c r="D1159" s="27" t="s">
        <v>4439</v>
      </c>
      <c r="E1159" s="27" t="s">
        <v>1031</v>
      </c>
      <c r="F1159" s="27" t="s">
        <v>2776</v>
      </c>
      <c r="G1159" s="27" t="s">
        <v>2777</v>
      </c>
      <c r="H1159" s="18" t="str">
        <f t="array" ref="H1159">_xlfn.XLOOKUP(E:E,'Calificación consecuencia'!B:B,'Calificación consecuencia'!K:K,"No encontrada",2)</f>
        <v>Baja</v>
      </c>
      <c r="I1159" s="27" t="s">
        <v>339</v>
      </c>
      <c r="J1159" s="30" t="s">
        <v>116</v>
      </c>
      <c r="K1159" s="21"/>
      <c r="L1159" s="21"/>
      <c r="M1159" s="29" t="s">
        <v>120</v>
      </c>
      <c r="N1159" s="21"/>
      <c r="O1159" s="30" t="s">
        <v>116</v>
      </c>
      <c r="P1159" s="29" t="s">
        <v>120</v>
      </c>
      <c r="Q1159" s="30" t="s">
        <v>116</v>
      </c>
      <c r="R1159" s="21"/>
      <c r="S1159" s="21"/>
      <c r="T1159" s="21"/>
      <c r="U1159" s="27" t="s">
        <v>785</v>
      </c>
      <c r="V1159" s="27" t="s">
        <v>786</v>
      </c>
    </row>
    <row r="1160" ht="14.25" customHeight="1">
      <c r="A1160" s="27" t="s">
        <v>2046</v>
      </c>
      <c r="B1160" s="27" t="s">
        <v>2039</v>
      </c>
      <c r="C1160" s="27" t="str">
        <f t="array" ref="C1160">INDEX(Funciones!$G$2:$G$372,MATCH($A1160,Funciones!$B$2:$B$372,0))</f>
        <v>Suministrar caudal de aire de _____ L/min</v>
      </c>
      <c r="D1160" s="27" t="s">
        <v>4439</v>
      </c>
      <c r="E1160" s="27" t="s">
        <v>1036</v>
      </c>
      <c r="F1160" s="27" t="s">
        <v>2808</v>
      </c>
      <c r="G1160" s="27" t="s">
        <v>2810</v>
      </c>
      <c r="H1160" s="18" t="str">
        <f t="array" ref="H1160">_xlfn.XLOOKUP(E:E,'Calificación consecuencia'!B:B,'Calificación consecuencia'!K:K,"No encontrada",2)</f>
        <v>Baja</v>
      </c>
      <c r="I1160" s="27" t="s">
        <v>339</v>
      </c>
      <c r="J1160" s="30" t="s">
        <v>116</v>
      </c>
      <c r="K1160" s="21"/>
      <c r="L1160" s="21"/>
      <c r="M1160" s="29" t="s">
        <v>120</v>
      </c>
      <c r="N1160" s="21"/>
      <c r="O1160" s="30" t="s">
        <v>116</v>
      </c>
      <c r="P1160" s="30" t="s">
        <v>116</v>
      </c>
      <c r="Q1160" s="21"/>
      <c r="R1160" s="21"/>
      <c r="S1160" s="21"/>
      <c r="T1160" s="21"/>
      <c r="U1160" s="27" t="s">
        <v>345</v>
      </c>
      <c r="V1160" s="27" t="s">
        <v>196</v>
      </c>
    </row>
    <row r="1161" ht="14.25" customHeight="1">
      <c r="A1161" s="27" t="s">
        <v>2046</v>
      </c>
      <c r="B1161" s="27" t="s">
        <v>2039</v>
      </c>
      <c r="C1161" s="27" t="str">
        <f t="array" ref="C1161">INDEX(Funciones!$G$2:$G$372,MATCH($A1161,Funciones!$B$2:$B$372,0))</f>
        <v>Suministrar caudal de aire de _____ L/min</v>
      </c>
      <c r="D1161" s="27" t="s">
        <v>4439</v>
      </c>
      <c r="E1161" s="27" t="s">
        <v>1041</v>
      </c>
      <c r="F1161" s="27" t="s">
        <v>2838</v>
      </c>
      <c r="G1161" s="27" t="s">
        <v>2841</v>
      </c>
      <c r="H1161" s="18" t="str">
        <f t="array" ref="H1161">_xlfn.XLOOKUP(E:E,'Calificación consecuencia'!B:B,'Calificación consecuencia'!K:K,"No encontrada",2)</f>
        <v>Baja</v>
      </c>
      <c r="I1161" s="27" t="s">
        <v>339</v>
      </c>
      <c r="J1161" s="30" t="s">
        <v>116</v>
      </c>
      <c r="K1161" s="21"/>
      <c r="L1161" s="21"/>
      <c r="M1161" s="29" t="s">
        <v>120</v>
      </c>
      <c r="N1161" s="21"/>
      <c r="O1161" s="30" t="s">
        <v>116</v>
      </c>
      <c r="P1161" s="29" t="s">
        <v>120</v>
      </c>
      <c r="Q1161" s="30" t="s">
        <v>116</v>
      </c>
      <c r="R1161" s="21"/>
      <c r="S1161" s="21"/>
      <c r="T1161" s="21"/>
      <c r="U1161" s="27" t="s">
        <v>785</v>
      </c>
      <c r="V1161" s="27" t="s">
        <v>786</v>
      </c>
    </row>
    <row r="1162" ht="14.25" customHeight="1">
      <c r="A1162" s="27" t="s">
        <v>2046</v>
      </c>
      <c r="B1162" s="27" t="s">
        <v>2039</v>
      </c>
      <c r="C1162" s="27" t="str">
        <f t="array" ref="C1162">INDEX(Funciones!$G$2:$G$372,MATCH($A1162,Funciones!$B$2:$B$372,0))</f>
        <v>Suministrar caudal de aire de _____ L/min</v>
      </c>
      <c r="D1162" s="27" t="s">
        <v>4439</v>
      </c>
      <c r="E1162" s="27" t="s">
        <v>1047</v>
      </c>
      <c r="F1162" s="27" t="s">
        <v>2875</v>
      </c>
      <c r="G1162" s="27" t="s">
        <v>1888</v>
      </c>
      <c r="H1162" s="18" t="str">
        <f t="array" ref="H1162">_xlfn.XLOOKUP(E:E,'Calificación consecuencia'!B:B,'Calificación consecuencia'!K:K,"No encontrada",2)</f>
        <v>Baja</v>
      </c>
      <c r="I1162" s="27" t="s">
        <v>339</v>
      </c>
      <c r="J1162" s="30" t="s">
        <v>116</v>
      </c>
      <c r="K1162" s="21"/>
      <c r="L1162" s="21"/>
      <c r="M1162" s="29" t="s">
        <v>120</v>
      </c>
      <c r="N1162" s="21"/>
      <c r="O1162" s="30" t="s">
        <v>116</v>
      </c>
      <c r="P1162" s="29" t="s">
        <v>120</v>
      </c>
      <c r="Q1162" s="30" t="s">
        <v>116</v>
      </c>
      <c r="R1162" s="21"/>
      <c r="S1162" s="21"/>
      <c r="T1162" s="21"/>
      <c r="U1162" s="27" t="s">
        <v>785</v>
      </c>
      <c r="V1162" s="27" t="s">
        <v>786</v>
      </c>
    </row>
    <row r="1163" ht="14.25" customHeight="1">
      <c r="A1163" s="9" t="s">
        <v>2049</v>
      </c>
      <c r="B1163" s="9" t="s">
        <v>2048</v>
      </c>
      <c r="C1163" s="9" t="str">
        <f t="array" ref="C1163">INDEX(Funciones!$G$2:$G$372,MATCH($A1163,Funciones!$B$2:$B$372,0))</f>
        <v>Comprimir el aire a una presión de _____ bar</v>
      </c>
      <c r="D1163" s="9" t="s">
        <v>3403</v>
      </c>
      <c r="E1163" s="9" t="s">
        <v>999</v>
      </c>
      <c r="F1163" s="9" t="s">
        <v>4440</v>
      </c>
      <c r="G1163" s="9" t="s">
        <v>2658</v>
      </c>
      <c r="H1163" s="18" t="str">
        <f t="array" ref="H1163">_xlfn.XLOOKUP(E:E,'Calificación consecuencia'!B:B,'Calificación consecuencia'!K:K,"No encontrada",2)</f>
        <v>Media</v>
      </c>
      <c r="I1163" s="9" t="s">
        <v>113</v>
      </c>
      <c r="J1163" s="20" t="s">
        <v>116</v>
      </c>
      <c r="K1163" s="21"/>
      <c r="L1163" s="21"/>
      <c r="M1163" s="20" t="s">
        <v>116</v>
      </c>
      <c r="N1163" s="20" t="s">
        <v>116</v>
      </c>
      <c r="O1163" s="21"/>
      <c r="P1163" s="21"/>
      <c r="Q1163" s="21"/>
      <c r="R1163" s="21"/>
      <c r="S1163" s="21"/>
      <c r="T1163" s="21"/>
      <c r="U1163" s="9" t="s">
        <v>195</v>
      </c>
      <c r="V1163" s="9" t="s">
        <v>196</v>
      </c>
    </row>
    <row r="1164" ht="14.25" customHeight="1">
      <c r="A1164" s="9" t="s">
        <v>2049</v>
      </c>
      <c r="B1164" s="9" t="s">
        <v>2048</v>
      </c>
      <c r="C1164" s="9" t="str">
        <f t="array" ref="C1164">INDEX(Funciones!$G$2:$G$372,MATCH($A1164,Funciones!$B$2:$B$372,0))</f>
        <v>Comprimir el aire a una presión de _____ bar</v>
      </c>
      <c r="D1164" s="9" t="s">
        <v>3403</v>
      </c>
      <c r="E1164" s="9" t="s">
        <v>1017</v>
      </c>
      <c r="F1164" s="9" t="s">
        <v>4441</v>
      </c>
      <c r="G1164" s="9" t="s">
        <v>2710</v>
      </c>
      <c r="H1164" s="18" t="str">
        <f t="array" ref="H1164">_xlfn.XLOOKUP(E:E,'Calificación consecuencia'!B:B,'Calificación consecuencia'!K:K,"No encontrada",2)</f>
        <v>Media</v>
      </c>
      <c r="I1164" s="9" t="s">
        <v>113</v>
      </c>
      <c r="J1164" s="20" t="s">
        <v>116</v>
      </c>
      <c r="K1164" s="21"/>
      <c r="L1164" s="21"/>
      <c r="M1164" s="20" t="s">
        <v>116</v>
      </c>
      <c r="N1164" s="20" t="s">
        <v>116</v>
      </c>
      <c r="O1164" s="21"/>
      <c r="P1164" s="21"/>
      <c r="Q1164" s="21"/>
      <c r="R1164" s="21"/>
      <c r="S1164" s="21"/>
      <c r="T1164" s="21"/>
      <c r="U1164" s="9" t="s">
        <v>195</v>
      </c>
      <c r="V1164" s="9" t="s">
        <v>196</v>
      </c>
    </row>
    <row r="1165" ht="14.25" customHeight="1">
      <c r="A1165" s="9" t="s">
        <v>2049</v>
      </c>
      <c r="B1165" s="9" t="s">
        <v>2048</v>
      </c>
      <c r="C1165" s="9" t="str">
        <f t="array" ref="C1165">INDEX(Funciones!$G$2:$G$372,MATCH($A1165,Funciones!$B$2:$B$372,0))</f>
        <v>Comprimir el aire a una presión de _____ bar</v>
      </c>
      <c r="D1165" s="9" t="s">
        <v>3404</v>
      </c>
      <c r="E1165" s="9" t="s">
        <v>727</v>
      </c>
      <c r="F1165" s="9" t="s">
        <v>4442</v>
      </c>
      <c r="G1165" s="9" t="s">
        <v>1792</v>
      </c>
      <c r="H1165" s="18" t="str">
        <f t="array" ref="H1165">_xlfn.XLOOKUP(E:E,'Calificación consecuencia'!B:B,'Calificación consecuencia'!K:K,"No encontrada",2)</f>
        <v>Baja</v>
      </c>
      <c r="I1165" s="9" t="s">
        <v>1800</v>
      </c>
      <c r="J1165" s="20" t="s">
        <v>116</v>
      </c>
      <c r="K1165" s="21"/>
      <c r="L1165" s="21"/>
      <c r="M1165" s="22" t="s">
        <v>120</v>
      </c>
      <c r="N1165" s="21"/>
      <c r="O1165" s="20" t="s">
        <v>116</v>
      </c>
      <c r="P1165" s="20" t="s">
        <v>116</v>
      </c>
      <c r="Q1165" s="21"/>
      <c r="R1165" s="21"/>
      <c r="S1165" s="21"/>
      <c r="T1165" s="21"/>
      <c r="U1165" s="9" t="s">
        <v>345</v>
      </c>
      <c r="V1165" s="9" t="s">
        <v>196</v>
      </c>
    </row>
    <row r="1166" ht="14.25" customHeight="1">
      <c r="A1166" s="27" t="s">
        <v>2052</v>
      </c>
      <c r="B1166" s="27" t="s">
        <v>2048</v>
      </c>
      <c r="C1166" s="27" t="str">
        <f t="array" ref="C1166">INDEX(Funciones!$G$2:$G$372,MATCH($A1166,Funciones!$B$2:$B$372,0))</f>
        <v>Suministrar caudal de aire mínimo de 815 L/min</v>
      </c>
      <c r="D1166" s="27" t="s">
        <v>4443</v>
      </c>
      <c r="E1166" s="27" t="s">
        <v>999</v>
      </c>
      <c r="F1166" s="27" t="s">
        <v>4444</v>
      </c>
      <c r="G1166" s="27" t="s">
        <v>2658</v>
      </c>
      <c r="H1166" s="18" t="str">
        <f t="array" ref="H1166">_xlfn.XLOOKUP(E:E,'Calificación consecuencia'!B:B,'Calificación consecuencia'!K:K,"No encontrada",2)</f>
        <v>Media</v>
      </c>
      <c r="I1166" s="27" t="s">
        <v>113</v>
      </c>
      <c r="J1166" s="30" t="s">
        <v>116</v>
      </c>
      <c r="K1166" s="21"/>
      <c r="L1166" s="21"/>
      <c r="M1166" s="30" t="s">
        <v>116</v>
      </c>
      <c r="N1166" s="30" t="s">
        <v>116</v>
      </c>
      <c r="O1166" s="21"/>
      <c r="P1166" s="21"/>
      <c r="Q1166" s="21"/>
      <c r="R1166" s="21"/>
      <c r="S1166" s="21"/>
      <c r="T1166" s="21"/>
      <c r="U1166" s="27" t="s">
        <v>195</v>
      </c>
      <c r="V1166" s="27" t="s">
        <v>196</v>
      </c>
    </row>
    <row r="1167" ht="14.25" customHeight="1">
      <c r="A1167" s="27" t="s">
        <v>2052</v>
      </c>
      <c r="B1167" s="27" t="s">
        <v>2048</v>
      </c>
      <c r="C1167" s="27" t="str">
        <f t="array" ref="C1167">INDEX(Funciones!$G$2:$G$372,MATCH($A1167,Funciones!$B$2:$B$372,0))</f>
        <v>Suministrar caudal de aire mínimo de 815 L/min</v>
      </c>
      <c r="D1167" s="27" t="s">
        <v>4443</v>
      </c>
      <c r="E1167" s="27" t="s">
        <v>1017</v>
      </c>
      <c r="F1167" s="27" t="s">
        <v>4445</v>
      </c>
      <c r="G1167" s="27" t="s">
        <v>2710</v>
      </c>
      <c r="H1167" s="18" t="str">
        <f t="array" ref="H1167">_xlfn.XLOOKUP(E:E,'Calificación consecuencia'!B:B,'Calificación consecuencia'!K:K,"No encontrada",2)</f>
        <v>Media</v>
      </c>
      <c r="I1167" s="27" t="s">
        <v>113</v>
      </c>
      <c r="J1167" s="30" t="s">
        <v>116</v>
      </c>
      <c r="K1167" s="21"/>
      <c r="L1167" s="21"/>
      <c r="M1167" s="30" t="s">
        <v>116</v>
      </c>
      <c r="N1167" s="30" t="s">
        <v>116</v>
      </c>
      <c r="O1167" s="21"/>
      <c r="P1167" s="21"/>
      <c r="Q1167" s="21"/>
      <c r="R1167" s="21"/>
      <c r="S1167" s="21"/>
      <c r="T1167" s="21"/>
      <c r="U1167" s="27" t="s">
        <v>195</v>
      </c>
      <c r="V1167" s="27" t="s">
        <v>196</v>
      </c>
    </row>
    <row r="1168" ht="14.25" customHeight="1">
      <c r="A1168" s="27" t="s">
        <v>2052</v>
      </c>
      <c r="B1168" s="27" t="s">
        <v>2048</v>
      </c>
      <c r="C1168" s="27" t="str">
        <f t="array" ref="C1168">INDEX(Funciones!$G$2:$G$372,MATCH($A1168,Funciones!$B$2:$B$372,0))</f>
        <v>Suministrar caudal de aire mínimo de 815 L/min</v>
      </c>
      <c r="D1168" s="27" t="s">
        <v>4446</v>
      </c>
      <c r="E1168" s="27" t="s">
        <v>727</v>
      </c>
      <c r="F1168" s="27" t="s">
        <v>4447</v>
      </c>
      <c r="G1168" s="27" t="s">
        <v>1792</v>
      </c>
      <c r="H1168" s="18" t="str">
        <f t="array" ref="H1168">_xlfn.XLOOKUP(E:E,'Calificación consecuencia'!B:B,'Calificación consecuencia'!K:K,"No encontrada",2)</f>
        <v>Baja</v>
      </c>
      <c r="I1168" s="27" t="s">
        <v>1800</v>
      </c>
      <c r="J1168" s="30" t="s">
        <v>116</v>
      </c>
      <c r="K1168" s="21"/>
      <c r="L1168" s="21"/>
      <c r="M1168" s="29" t="s">
        <v>120</v>
      </c>
      <c r="N1168" s="21"/>
      <c r="O1168" s="30" t="s">
        <v>116</v>
      </c>
      <c r="P1168" s="30" t="s">
        <v>116</v>
      </c>
      <c r="Q1168" s="21"/>
      <c r="R1168" s="21"/>
      <c r="S1168" s="21"/>
      <c r="T1168" s="21"/>
      <c r="U1168" s="27" t="s">
        <v>345</v>
      </c>
      <c r="V1168" s="27" t="s">
        <v>196</v>
      </c>
    </row>
    <row r="1169" ht="14.25" customHeight="1">
      <c r="A1169" s="27" t="s">
        <v>2052</v>
      </c>
      <c r="B1169" s="27" t="s">
        <v>2048</v>
      </c>
      <c r="C1169" s="27" t="str">
        <f t="array" ref="C1169">INDEX(Funciones!$G$2:$G$372,MATCH($A1169,Funciones!$B$2:$B$372,0))</f>
        <v>Suministrar caudal de aire mínimo de 815 L/min</v>
      </c>
      <c r="D1169" s="27" t="s">
        <v>4446</v>
      </c>
      <c r="E1169" s="27" t="s">
        <v>1031</v>
      </c>
      <c r="F1169" s="27" t="s">
        <v>4448</v>
      </c>
      <c r="G1169" s="27" t="s">
        <v>2777</v>
      </c>
      <c r="H1169" s="18" t="str">
        <f t="array" ref="H1169">_xlfn.XLOOKUP(E:E,'Calificación consecuencia'!B:B,'Calificación consecuencia'!K:K,"No encontrada",2)</f>
        <v>Baja</v>
      </c>
      <c r="I1169" s="27" t="s">
        <v>339</v>
      </c>
      <c r="J1169" s="30" t="s">
        <v>116</v>
      </c>
      <c r="K1169" s="21"/>
      <c r="L1169" s="21"/>
      <c r="M1169" s="29" t="s">
        <v>120</v>
      </c>
      <c r="N1169" s="21"/>
      <c r="O1169" s="30" t="s">
        <v>116</v>
      </c>
      <c r="P1169" s="29" t="s">
        <v>120</v>
      </c>
      <c r="Q1169" s="30" t="s">
        <v>116</v>
      </c>
      <c r="R1169" s="21"/>
      <c r="S1169" s="21"/>
      <c r="T1169" s="21"/>
      <c r="U1169" s="27" t="s">
        <v>785</v>
      </c>
      <c r="V1169" s="27" t="s">
        <v>786</v>
      </c>
    </row>
    <row r="1170" ht="14.25" customHeight="1">
      <c r="A1170" s="9" t="s">
        <v>2060</v>
      </c>
      <c r="B1170" s="9" t="s">
        <v>2059</v>
      </c>
      <c r="C1170" s="9" t="str">
        <f t="array" ref="C1170">INDEX(Funciones!$G$2:$G$372,MATCH($A1170,Funciones!$B$2:$B$372,0))</f>
        <v>Mantener la temperatura del aceite del compresor por debajo de _____ °C</v>
      </c>
      <c r="D1170" s="9" t="s">
        <v>4449</v>
      </c>
      <c r="E1170" s="9" t="s">
        <v>3673</v>
      </c>
      <c r="F1170" s="9" t="s">
        <v>4450</v>
      </c>
      <c r="G1170" s="9" t="s">
        <v>1764</v>
      </c>
      <c r="H1170" s="18" t="str">
        <f t="array" ref="H1170">_xlfn.XLOOKUP(E:E,'Calificación consecuencia'!B:B,'Calificación consecuencia'!K:K,"No encontrada",2)</f>
        <v>Baja</v>
      </c>
      <c r="I1170" s="9" t="s">
        <v>339</v>
      </c>
      <c r="J1170" s="20" t="s">
        <v>116</v>
      </c>
      <c r="K1170" s="21"/>
      <c r="L1170" s="21"/>
      <c r="M1170" s="22" t="s">
        <v>120</v>
      </c>
      <c r="N1170" s="21"/>
      <c r="O1170" s="20" t="s">
        <v>116</v>
      </c>
      <c r="P1170" s="20" t="s">
        <v>116</v>
      </c>
      <c r="Q1170" s="21"/>
      <c r="R1170" s="21"/>
      <c r="S1170" s="21"/>
      <c r="T1170" s="21"/>
      <c r="U1170" s="9" t="s">
        <v>345</v>
      </c>
      <c r="V1170" s="9" t="s">
        <v>196</v>
      </c>
    </row>
    <row r="1171" ht="14.25" customHeight="1">
      <c r="A1171" s="9" t="s">
        <v>2060</v>
      </c>
      <c r="B1171" s="9" t="s">
        <v>2059</v>
      </c>
      <c r="C1171" s="9" t="str">
        <f t="array" ref="C1171">INDEX(Funciones!$G$2:$G$372,MATCH($A1171,Funciones!$B$2:$B$372,0))</f>
        <v>Mantener la temperatura del aceite del compresor por debajo de _____ °C</v>
      </c>
      <c r="D1171" s="9" t="s">
        <v>4449</v>
      </c>
      <c r="E1171" s="9" t="s">
        <v>3676</v>
      </c>
      <c r="F1171" s="9" t="s">
        <v>4451</v>
      </c>
      <c r="G1171" s="9" t="s">
        <v>4452</v>
      </c>
      <c r="H1171" s="18" t="str">
        <f t="array" ref="H1171">_xlfn.XLOOKUP(E:E,'Calificación consecuencia'!B:B,'Calificación consecuencia'!K:K,"No encontrada",2)</f>
        <v>Media</v>
      </c>
      <c r="I1171" s="9" t="s">
        <v>339</v>
      </c>
      <c r="J1171" s="20" t="s">
        <v>116</v>
      </c>
      <c r="K1171" s="21"/>
      <c r="L1171" s="21"/>
      <c r="M1171" s="22" t="s">
        <v>120</v>
      </c>
      <c r="N1171" s="21"/>
      <c r="O1171" s="20" t="s">
        <v>116</v>
      </c>
      <c r="P1171" s="22" t="s">
        <v>120</v>
      </c>
      <c r="Q1171" s="22" t="s">
        <v>120</v>
      </c>
      <c r="R1171" s="22" t="s">
        <v>120</v>
      </c>
      <c r="S1171" s="21"/>
      <c r="T1171" s="21"/>
      <c r="U1171" s="9" t="s">
        <v>230</v>
      </c>
      <c r="V1171" s="9" t="s">
        <v>230</v>
      </c>
    </row>
    <row r="1172" ht="14.25" customHeight="1">
      <c r="A1172" s="9" t="s">
        <v>2060</v>
      </c>
      <c r="B1172" s="9" t="s">
        <v>2059</v>
      </c>
      <c r="C1172" s="9" t="str">
        <f t="array" ref="C1172">INDEX(Funciones!$G$2:$G$372,MATCH($A1172,Funciones!$B$2:$B$372,0))</f>
        <v>Mantener la temperatura del aceite del compresor por debajo de _____ °C</v>
      </c>
      <c r="D1172" s="9" t="s">
        <v>4453</v>
      </c>
      <c r="E1172" s="9" t="s">
        <v>3677</v>
      </c>
      <c r="F1172" s="9" t="s">
        <v>4454</v>
      </c>
      <c r="G1172" s="9" t="s">
        <v>4455</v>
      </c>
      <c r="H1172" s="18" t="str">
        <f t="array" ref="H1172">_xlfn.XLOOKUP(E:E,'Calificación consecuencia'!B:B,'Calificación consecuencia'!K:K,"No encontrada",2)</f>
        <v>Baja</v>
      </c>
      <c r="I1172" s="9" t="s">
        <v>2106</v>
      </c>
      <c r="J1172" s="20" t="s">
        <v>116</v>
      </c>
      <c r="K1172" s="21"/>
      <c r="L1172" s="21"/>
      <c r="M1172" s="22" t="s">
        <v>120</v>
      </c>
      <c r="N1172" s="21"/>
      <c r="O1172" s="22" t="s">
        <v>120</v>
      </c>
      <c r="P1172" s="21"/>
      <c r="Q1172" s="21"/>
      <c r="R1172" s="21"/>
      <c r="S1172" s="22" t="s">
        <v>120</v>
      </c>
      <c r="T1172" s="21"/>
      <c r="U1172" s="9" t="s">
        <v>1680</v>
      </c>
      <c r="V1172" s="9" t="s">
        <v>1408</v>
      </c>
    </row>
    <row r="1173" ht="14.25" customHeight="1">
      <c r="A1173" s="9" t="s">
        <v>2060</v>
      </c>
      <c r="B1173" s="9" t="s">
        <v>2059</v>
      </c>
      <c r="C1173" s="9" t="str">
        <f t="array" ref="C1173">INDEX(Funciones!$G$2:$G$372,MATCH($A1173,Funciones!$B$2:$B$372,0))</f>
        <v>Mantener la temperatura del aceite del compresor por debajo de _____ °C</v>
      </c>
      <c r="D1173" s="9" t="s">
        <v>4453</v>
      </c>
      <c r="E1173" s="9" t="s">
        <v>3678</v>
      </c>
      <c r="F1173" s="9" t="s">
        <v>4456</v>
      </c>
      <c r="G1173" s="9" t="s">
        <v>4457</v>
      </c>
      <c r="H1173" s="18" t="str">
        <f t="array" ref="H1173">_xlfn.XLOOKUP(E:E,'Calificación consecuencia'!B:B,'Calificación consecuencia'!K:K,"No encontrada",2)</f>
        <v>Baja</v>
      </c>
      <c r="I1173" s="9" t="s">
        <v>2106</v>
      </c>
      <c r="J1173" s="20" t="s">
        <v>116</v>
      </c>
      <c r="K1173" s="21"/>
      <c r="L1173" s="21"/>
      <c r="M1173" s="22" t="s">
        <v>120</v>
      </c>
      <c r="N1173" s="21"/>
      <c r="O1173" s="22" t="s">
        <v>120</v>
      </c>
      <c r="P1173" s="21"/>
      <c r="Q1173" s="21"/>
      <c r="R1173" s="21"/>
      <c r="S1173" s="22" t="s">
        <v>120</v>
      </c>
      <c r="T1173" s="21"/>
      <c r="U1173" s="9" t="s">
        <v>1680</v>
      </c>
      <c r="V1173" s="9" t="s">
        <v>1408</v>
      </c>
    </row>
    <row r="1174" ht="14.25" customHeight="1">
      <c r="A1174" s="27" t="s">
        <v>2071</v>
      </c>
      <c r="B1174" s="27" t="s">
        <v>2070</v>
      </c>
      <c r="C1174" s="27" t="str">
        <f t="array" ref="C1174">INDEX(Funciones!$G$2:$G$372,MATCH($A1174,Funciones!$B$2:$B$372,0))</f>
        <v>Accionar el compresor con potencia de _____ kW</v>
      </c>
      <c r="D1174" s="27" t="s">
        <v>4458</v>
      </c>
      <c r="E1174" s="27" t="s">
        <v>3679</v>
      </c>
      <c r="F1174" s="27" t="s">
        <v>4459</v>
      </c>
      <c r="G1174" s="27" t="s">
        <v>4460</v>
      </c>
      <c r="H1174" s="18" t="str">
        <f t="array" ref="H1174">_xlfn.XLOOKUP(E:E,'Calificación consecuencia'!B:B,'Calificación consecuencia'!K:K,"No encontrada",2)</f>
        <v>Media</v>
      </c>
      <c r="I1174" s="27" t="s">
        <v>113</v>
      </c>
      <c r="J1174" s="30" t="s">
        <v>116</v>
      </c>
      <c r="K1174" s="21"/>
      <c r="L1174" s="21"/>
      <c r="M1174" s="30" t="s">
        <v>116</v>
      </c>
      <c r="N1174" s="30" t="s">
        <v>116</v>
      </c>
      <c r="O1174" s="21"/>
      <c r="P1174" s="21"/>
      <c r="Q1174" s="21"/>
      <c r="R1174" s="21"/>
      <c r="S1174" s="21"/>
      <c r="T1174" s="21"/>
      <c r="U1174" s="27" t="s">
        <v>195</v>
      </c>
      <c r="V1174" s="27" t="s">
        <v>196</v>
      </c>
    </row>
    <row r="1175" ht="14.25" customHeight="1">
      <c r="A1175" s="27" t="s">
        <v>2071</v>
      </c>
      <c r="B1175" s="27" t="s">
        <v>2070</v>
      </c>
      <c r="C1175" s="27" t="str">
        <f t="array" ref="C1175">INDEX(Funciones!$G$2:$G$372,MATCH($A1175,Funciones!$B$2:$B$372,0))</f>
        <v>Accionar el compresor con potencia de _____ kW</v>
      </c>
      <c r="D1175" s="27" t="s">
        <v>4458</v>
      </c>
      <c r="E1175" s="27" t="s">
        <v>3680</v>
      </c>
      <c r="F1175" s="27" t="s">
        <v>4461</v>
      </c>
      <c r="G1175" s="27" t="s">
        <v>4462</v>
      </c>
      <c r="H1175" s="18" t="str">
        <f t="array" ref="H1175">_xlfn.XLOOKUP(E:E,'Calificación consecuencia'!B:B,'Calificación consecuencia'!K:K,"No encontrada",2)</f>
        <v>Baja</v>
      </c>
      <c r="I1175" s="27" t="s">
        <v>113</v>
      </c>
      <c r="J1175" s="30" t="s">
        <v>116</v>
      </c>
      <c r="K1175" s="21"/>
      <c r="L1175" s="21"/>
      <c r="M1175" s="30" t="s">
        <v>116</v>
      </c>
      <c r="N1175" s="30" t="s">
        <v>116</v>
      </c>
      <c r="O1175" s="21"/>
      <c r="P1175" s="21"/>
      <c r="Q1175" s="21"/>
      <c r="R1175" s="21"/>
      <c r="S1175" s="21"/>
      <c r="T1175" s="21"/>
      <c r="U1175" s="27" t="s">
        <v>195</v>
      </c>
      <c r="V1175" s="27" t="s">
        <v>196</v>
      </c>
    </row>
    <row r="1176" ht="14.25" customHeight="1">
      <c r="A1176" s="27" t="s">
        <v>2071</v>
      </c>
      <c r="B1176" s="27" t="s">
        <v>2070</v>
      </c>
      <c r="C1176" s="27" t="str">
        <f t="array" ref="C1176">INDEX(Funciones!$G$2:$G$372,MATCH($A1176,Funciones!$B$2:$B$372,0))</f>
        <v>Accionar el compresor con potencia de _____ kW</v>
      </c>
      <c r="D1176" s="27" t="s">
        <v>4458</v>
      </c>
      <c r="E1176" s="27" t="s">
        <v>3681</v>
      </c>
      <c r="F1176" s="27" t="s">
        <v>4463</v>
      </c>
      <c r="G1176" s="27" t="s">
        <v>4464</v>
      </c>
      <c r="H1176" s="18" t="str">
        <f t="array" ref="H1176">_xlfn.XLOOKUP(E:E,'Calificación consecuencia'!B:B,'Calificación consecuencia'!K:K,"No encontrada",2)</f>
        <v>Media</v>
      </c>
      <c r="I1176" s="27" t="s">
        <v>113</v>
      </c>
      <c r="J1176" s="30" t="s">
        <v>116</v>
      </c>
      <c r="K1176" s="21"/>
      <c r="L1176" s="21"/>
      <c r="M1176" s="30" t="s">
        <v>116</v>
      </c>
      <c r="N1176" s="29" t="s">
        <v>120</v>
      </c>
      <c r="O1176" s="21"/>
      <c r="P1176" s="21"/>
      <c r="Q1176" s="21"/>
      <c r="R1176" s="21"/>
      <c r="S1176" s="21"/>
      <c r="T1176" s="21"/>
      <c r="U1176" s="27" t="s">
        <v>230</v>
      </c>
      <c r="V1176" s="27" t="s">
        <v>230</v>
      </c>
    </row>
    <row r="1177" ht="14.25" customHeight="1">
      <c r="A1177" s="27" t="s">
        <v>2071</v>
      </c>
      <c r="B1177" s="27" t="s">
        <v>2070</v>
      </c>
      <c r="C1177" s="27" t="str">
        <f t="array" ref="C1177">INDEX(Funciones!$G$2:$G$372,MATCH($A1177,Funciones!$B$2:$B$372,0))</f>
        <v>Accionar el compresor con potencia de _____ kW</v>
      </c>
      <c r="D1177" s="27" t="s">
        <v>4465</v>
      </c>
      <c r="E1177" s="27" t="s">
        <v>1988</v>
      </c>
      <c r="F1177" s="27" t="s">
        <v>4466</v>
      </c>
      <c r="G1177" s="27" t="s">
        <v>3737</v>
      </c>
      <c r="H1177" s="18" t="str">
        <f t="array" ref="H1177">_xlfn.XLOOKUP(E:E,'Calificación consecuencia'!B:B,'Calificación consecuencia'!K:K,"No encontrada",2)</f>
        <v>Baja</v>
      </c>
      <c r="I1177" s="27" t="s">
        <v>339</v>
      </c>
      <c r="J1177" s="30" t="s">
        <v>116</v>
      </c>
      <c r="K1177" s="21"/>
      <c r="L1177" s="21"/>
      <c r="M1177" s="29" t="s">
        <v>120</v>
      </c>
      <c r="N1177" s="21"/>
      <c r="O1177" s="30" t="s">
        <v>116</v>
      </c>
      <c r="P1177" s="30" t="s">
        <v>116</v>
      </c>
      <c r="Q1177" s="21"/>
      <c r="R1177" s="21"/>
      <c r="S1177" s="21"/>
      <c r="T1177" s="21"/>
      <c r="U1177" s="27" t="s">
        <v>345</v>
      </c>
      <c r="V1177" s="27" t="s">
        <v>196</v>
      </c>
    </row>
    <row r="1178" ht="14.25" customHeight="1">
      <c r="A1178" s="9" t="s">
        <v>2084</v>
      </c>
      <c r="B1178" s="9" t="s">
        <v>2083</v>
      </c>
      <c r="C1178" s="9" t="str">
        <f t="array" ref="C1178">INDEX(Funciones!$G$2:$G$372,MATCH($A1178,Funciones!$B$2:$B$372,0))</f>
        <v>Suministrar caudal de aire de _____ L/min</v>
      </c>
      <c r="D1178" s="9" t="s">
        <v>4438</v>
      </c>
      <c r="E1178" s="9" t="s">
        <v>999</v>
      </c>
      <c r="F1178" s="9" t="s">
        <v>2657</v>
      </c>
      <c r="G1178" s="9" t="s">
        <v>2658</v>
      </c>
      <c r="H1178" s="18" t="str">
        <f t="array" ref="H1178">_xlfn.XLOOKUP(E:E,'Calificación consecuencia'!B:B,'Calificación consecuencia'!K:K,"No encontrada",2)</f>
        <v>Media</v>
      </c>
      <c r="I1178" s="9" t="s">
        <v>113</v>
      </c>
      <c r="J1178" s="20" t="s">
        <v>116</v>
      </c>
      <c r="K1178" s="21"/>
      <c r="L1178" s="21"/>
      <c r="M1178" s="20" t="s">
        <v>116</v>
      </c>
      <c r="N1178" s="20" t="s">
        <v>116</v>
      </c>
      <c r="O1178" s="21"/>
      <c r="P1178" s="21"/>
      <c r="Q1178" s="21"/>
      <c r="R1178" s="21"/>
      <c r="S1178" s="21"/>
      <c r="T1178" s="21"/>
      <c r="U1178" s="9" t="s">
        <v>195</v>
      </c>
      <c r="V1178" s="9" t="s">
        <v>196</v>
      </c>
    </row>
    <row r="1179" ht="14.25" customHeight="1">
      <c r="A1179" s="9" t="s">
        <v>2084</v>
      </c>
      <c r="B1179" s="9" t="s">
        <v>2083</v>
      </c>
      <c r="C1179" s="9" t="str">
        <f t="array" ref="C1179">INDEX(Funciones!$G$2:$G$372,MATCH($A1179,Funciones!$B$2:$B$372,0))</f>
        <v>Suministrar caudal de aire de _____ L/min</v>
      </c>
      <c r="D1179" s="9" t="s">
        <v>4438</v>
      </c>
      <c r="E1179" s="9" t="s">
        <v>1005</v>
      </c>
      <c r="F1179" s="9" t="s">
        <v>2677</v>
      </c>
      <c r="G1179" s="9" t="s">
        <v>2679</v>
      </c>
      <c r="H1179" s="18" t="str">
        <f t="array" ref="H1179">_xlfn.XLOOKUP(E:E,'Calificación consecuencia'!B:B,'Calificación consecuencia'!K:K,"No encontrada",2)</f>
        <v>Baja</v>
      </c>
      <c r="I1179" s="9" t="s">
        <v>113</v>
      </c>
      <c r="J1179" s="20" t="s">
        <v>116</v>
      </c>
      <c r="K1179" s="21"/>
      <c r="L1179" s="21"/>
      <c r="M1179" s="20" t="s">
        <v>116</v>
      </c>
      <c r="N1179" s="20" t="s">
        <v>116</v>
      </c>
      <c r="O1179" s="21"/>
      <c r="P1179" s="21"/>
      <c r="Q1179" s="21"/>
      <c r="R1179" s="21"/>
      <c r="S1179" s="21"/>
      <c r="T1179" s="21"/>
      <c r="U1179" s="9" t="s">
        <v>195</v>
      </c>
      <c r="V1179" s="9" t="s">
        <v>196</v>
      </c>
    </row>
    <row r="1180" ht="14.25" customHeight="1">
      <c r="A1180" s="9" t="s">
        <v>2084</v>
      </c>
      <c r="B1180" s="9" t="s">
        <v>2083</v>
      </c>
      <c r="C1180" s="9" t="str">
        <f t="array" ref="C1180">INDEX(Funciones!$G$2:$G$372,MATCH($A1180,Funciones!$B$2:$B$372,0))</f>
        <v>Suministrar caudal de aire de _____ L/min</v>
      </c>
      <c r="D1180" s="9" t="s">
        <v>4438</v>
      </c>
      <c r="E1180" s="9" t="s">
        <v>1017</v>
      </c>
      <c r="F1180" s="9" t="s">
        <v>2709</v>
      </c>
      <c r="G1180" s="9" t="s">
        <v>2710</v>
      </c>
      <c r="H1180" s="18" t="str">
        <f t="array" ref="H1180">_xlfn.XLOOKUP(E:E,'Calificación consecuencia'!B:B,'Calificación consecuencia'!K:K,"No encontrada",2)</f>
        <v>Media</v>
      </c>
      <c r="I1180" s="9" t="s">
        <v>113</v>
      </c>
      <c r="J1180" s="20" t="s">
        <v>116</v>
      </c>
      <c r="K1180" s="21"/>
      <c r="L1180" s="21"/>
      <c r="M1180" s="20" t="s">
        <v>116</v>
      </c>
      <c r="N1180" s="20" t="s">
        <v>116</v>
      </c>
      <c r="O1180" s="21"/>
      <c r="P1180" s="21"/>
      <c r="Q1180" s="21"/>
      <c r="R1180" s="21"/>
      <c r="S1180" s="21"/>
      <c r="T1180" s="21"/>
      <c r="U1180" s="9" t="s">
        <v>195</v>
      </c>
      <c r="V1180" s="9" t="s">
        <v>196</v>
      </c>
    </row>
    <row r="1181" ht="14.25" customHeight="1">
      <c r="A1181" s="9" t="s">
        <v>2084</v>
      </c>
      <c r="B1181" s="9" t="s">
        <v>2083</v>
      </c>
      <c r="C1181" s="9" t="str">
        <f t="array" ref="C1181">INDEX(Funciones!$G$2:$G$372,MATCH($A1181,Funciones!$B$2:$B$372,0))</f>
        <v>Suministrar caudal de aire de _____ L/min</v>
      </c>
      <c r="D1181" s="9" t="s">
        <v>4439</v>
      </c>
      <c r="E1181" s="9" t="s">
        <v>727</v>
      </c>
      <c r="F1181" s="9" t="s">
        <v>2744</v>
      </c>
      <c r="G1181" s="9" t="s">
        <v>1792</v>
      </c>
      <c r="H1181" s="18" t="str">
        <f t="array" ref="H1181">_xlfn.XLOOKUP(E:E,'Calificación consecuencia'!B:B,'Calificación consecuencia'!K:K,"No encontrada",2)</f>
        <v>Baja</v>
      </c>
      <c r="I1181" s="9" t="s">
        <v>1800</v>
      </c>
      <c r="J1181" s="20" t="s">
        <v>116</v>
      </c>
      <c r="K1181" s="21"/>
      <c r="L1181" s="21"/>
      <c r="M1181" s="22" t="s">
        <v>120</v>
      </c>
      <c r="N1181" s="21"/>
      <c r="O1181" s="20" t="s">
        <v>116</v>
      </c>
      <c r="P1181" s="20" t="s">
        <v>116</v>
      </c>
      <c r="Q1181" s="21"/>
      <c r="R1181" s="21"/>
      <c r="S1181" s="21"/>
      <c r="T1181" s="21"/>
      <c r="U1181" s="9" t="s">
        <v>345</v>
      </c>
      <c r="V1181" s="9" t="s">
        <v>196</v>
      </c>
    </row>
    <row r="1182" ht="14.25" customHeight="1">
      <c r="A1182" s="9" t="s">
        <v>2084</v>
      </c>
      <c r="B1182" s="9" t="s">
        <v>2083</v>
      </c>
      <c r="C1182" s="9" t="str">
        <f t="array" ref="C1182">INDEX(Funciones!$G$2:$G$372,MATCH($A1182,Funciones!$B$2:$B$372,0))</f>
        <v>Suministrar caudal de aire de _____ L/min</v>
      </c>
      <c r="D1182" s="9" t="s">
        <v>4439</v>
      </c>
      <c r="E1182" s="9" t="s">
        <v>1031</v>
      </c>
      <c r="F1182" s="9" t="s">
        <v>2776</v>
      </c>
      <c r="G1182" s="9" t="s">
        <v>2777</v>
      </c>
      <c r="H1182" s="18" t="str">
        <f t="array" ref="H1182">_xlfn.XLOOKUP(E:E,'Calificación consecuencia'!B:B,'Calificación consecuencia'!K:K,"No encontrada",2)</f>
        <v>Baja</v>
      </c>
      <c r="I1182" s="9" t="s">
        <v>339</v>
      </c>
      <c r="J1182" s="20" t="s">
        <v>116</v>
      </c>
      <c r="K1182" s="21"/>
      <c r="L1182" s="21"/>
      <c r="M1182" s="22" t="s">
        <v>120</v>
      </c>
      <c r="N1182" s="21"/>
      <c r="O1182" s="20" t="s">
        <v>116</v>
      </c>
      <c r="P1182" s="22" t="s">
        <v>120</v>
      </c>
      <c r="Q1182" s="20" t="s">
        <v>116</v>
      </c>
      <c r="R1182" s="21"/>
      <c r="S1182" s="21"/>
      <c r="T1182" s="21"/>
      <c r="U1182" s="9" t="s">
        <v>785</v>
      </c>
      <c r="V1182" s="9" t="s">
        <v>786</v>
      </c>
    </row>
    <row r="1183" ht="14.25" customHeight="1">
      <c r="A1183" s="9" t="s">
        <v>2084</v>
      </c>
      <c r="B1183" s="9" t="s">
        <v>2083</v>
      </c>
      <c r="C1183" s="9" t="str">
        <f t="array" ref="C1183">INDEX(Funciones!$G$2:$G$372,MATCH($A1183,Funciones!$B$2:$B$372,0))</f>
        <v>Suministrar caudal de aire de _____ L/min</v>
      </c>
      <c r="D1183" s="9" t="s">
        <v>4439</v>
      </c>
      <c r="E1183" s="9" t="s">
        <v>1036</v>
      </c>
      <c r="F1183" s="9" t="s">
        <v>2808</v>
      </c>
      <c r="G1183" s="9" t="s">
        <v>2810</v>
      </c>
      <c r="H1183" s="18" t="str">
        <f t="array" ref="H1183">_xlfn.XLOOKUP(E:E,'Calificación consecuencia'!B:B,'Calificación consecuencia'!K:K,"No encontrada",2)</f>
        <v>Baja</v>
      </c>
      <c r="I1183" s="9" t="s">
        <v>339</v>
      </c>
      <c r="J1183" s="20" t="s">
        <v>116</v>
      </c>
      <c r="K1183" s="21"/>
      <c r="L1183" s="21"/>
      <c r="M1183" s="22" t="s">
        <v>120</v>
      </c>
      <c r="N1183" s="21"/>
      <c r="O1183" s="20" t="s">
        <v>116</v>
      </c>
      <c r="P1183" s="20" t="s">
        <v>116</v>
      </c>
      <c r="Q1183" s="21"/>
      <c r="R1183" s="21"/>
      <c r="S1183" s="21"/>
      <c r="T1183" s="21"/>
      <c r="U1183" s="9" t="s">
        <v>345</v>
      </c>
      <c r="V1183" s="9" t="s">
        <v>196</v>
      </c>
    </row>
    <row r="1184" ht="14.25" customHeight="1">
      <c r="A1184" s="9" t="s">
        <v>2084</v>
      </c>
      <c r="B1184" s="9" t="s">
        <v>2083</v>
      </c>
      <c r="C1184" s="9" t="str">
        <f t="array" ref="C1184">INDEX(Funciones!$G$2:$G$372,MATCH($A1184,Funciones!$B$2:$B$372,0))</f>
        <v>Suministrar caudal de aire de _____ L/min</v>
      </c>
      <c r="D1184" s="9" t="s">
        <v>4439</v>
      </c>
      <c r="E1184" s="9" t="s">
        <v>1041</v>
      </c>
      <c r="F1184" s="9" t="s">
        <v>2838</v>
      </c>
      <c r="G1184" s="9" t="s">
        <v>2841</v>
      </c>
      <c r="H1184" s="18" t="str">
        <f t="array" ref="H1184">_xlfn.XLOOKUP(E:E,'Calificación consecuencia'!B:B,'Calificación consecuencia'!K:K,"No encontrada",2)</f>
        <v>Baja</v>
      </c>
      <c r="I1184" s="9" t="s">
        <v>339</v>
      </c>
      <c r="J1184" s="20" t="s">
        <v>116</v>
      </c>
      <c r="K1184" s="21"/>
      <c r="L1184" s="21"/>
      <c r="M1184" s="22" t="s">
        <v>120</v>
      </c>
      <c r="N1184" s="21"/>
      <c r="O1184" s="20" t="s">
        <v>116</v>
      </c>
      <c r="P1184" s="22" t="s">
        <v>120</v>
      </c>
      <c r="Q1184" s="20" t="s">
        <v>116</v>
      </c>
      <c r="R1184" s="21"/>
      <c r="S1184" s="21"/>
      <c r="T1184" s="21"/>
      <c r="U1184" s="9" t="s">
        <v>785</v>
      </c>
      <c r="V1184" s="9" t="s">
        <v>786</v>
      </c>
    </row>
    <row r="1185" ht="14.25" customHeight="1">
      <c r="A1185" s="9" t="s">
        <v>2084</v>
      </c>
      <c r="B1185" s="9" t="s">
        <v>2083</v>
      </c>
      <c r="C1185" s="9" t="str">
        <f t="array" ref="C1185">INDEX(Funciones!$G$2:$G$372,MATCH($A1185,Funciones!$B$2:$B$372,0))</f>
        <v>Suministrar caudal de aire de _____ L/min</v>
      </c>
      <c r="D1185" s="9" t="s">
        <v>4439</v>
      </c>
      <c r="E1185" s="9" t="s">
        <v>1047</v>
      </c>
      <c r="F1185" s="9" t="s">
        <v>2875</v>
      </c>
      <c r="G1185" s="9" t="s">
        <v>1888</v>
      </c>
      <c r="H1185" s="18" t="str">
        <f t="array" ref="H1185">_xlfn.XLOOKUP(E:E,'Calificación consecuencia'!B:B,'Calificación consecuencia'!K:K,"No encontrada",2)</f>
        <v>Baja</v>
      </c>
      <c r="I1185" s="9" t="s">
        <v>339</v>
      </c>
      <c r="J1185" s="20" t="s">
        <v>116</v>
      </c>
      <c r="K1185" s="21"/>
      <c r="L1185" s="21"/>
      <c r="M1185" s="22" t="s">
        <v>120</v>
      </c>
      <c r="N1185" s="21"/>
      <c r="O1185" s="20" t="s">
        <v>116</v>
      </c>
      <c r="P1185" s="22" t="s">
        <v>120</v>
      </c>
      <c r="Q1185" s="20" t="s">
        <v>116</v>
      </c>
      <c r="R1185" s="21"/>
      <c r="S1185" s="21"/>
      <c r="T1185" s="21"/>
      <c r="U1185" s="9" t="s">
        <v>785</v>
      </c>
      <c r="V1185" s="9" t="s">
        <v>786</v>
      </c>
    </row>
    <row r="1186" ht="14.25" customHeight="1">
      <c r="A1186" s="27" t="s">
        <v>2094</v>
      </c>
      <c r="B1186" s="27" t="s">
        <v>2092</v>
      </c>
      <c r="C1186" s="27" t="str">
        <f t="array" ref="C1186">INDEX(Funciones!$G$2:$G$372,MATCH($A1186,Funciones!$B$2:$B$372,0))</f>
        <v>Suministrar aire auxiliar a presión regulada de _____ bar</v>
      </c>
      <c r="D1186" s="27" t="s">
        <v>4467</v>
      </c>
      <c r="E1186" s="27" t="s">
        <v>3685</v>
      </c>
      <c r="F1186" s="27" t="s">
        <v>4468</v>
      </c>
      <c r="G1186" s="27" t="s">
        <v>4177</v>
      </c>
      <c r="H1186" s="18" t="str">
        <f t="array" ref="H1186">_xlfn.XLOOKUP(E:E,'Calificación consecuencia'!B:B,'Calificación consecuencia'!K:K,"No encontrada",2)</f>
        <v>Media</v>
      </c>
      <c r="I1186" s="27" t="s">
        <v>425</v>
      </c>
      <c r="J1186" s="30" t="s">
        <v>116</v>
      </c>
      <c r="K1186" s="21"/>
      <c r="L1186" s="21"/>
      <c r="M1186" s="30" t="s">
        <v>116</v>
      </c>
      <c r="N1186" s="30" t="s">
        <v>116</v>
      </c>
      <c r="O1186" s="21"/>
      <c r="P1186" s="21"/>
      <c r="Q1186" s="21"/>
      <c r="R1186" s="21"/>
      <c r="S1186" s="21"/>
      <c r="T1186" s="21"/>
      <c r="U1186" s="27" t="s">
        <v>195</v>
      </c>
      <c r="V1186" s="27" t="s">
        <v>196</v>
      </c>
    </row>
    <row r="1187" ht="14.25" customHeight="1">
      <c r="A1187" s="27" t="s">
        <v>2094</v>
      </c>
      <c r="B1187" s="27" t="s">
        <v>2092</v>
      </c>
      <c r="C1187" s="27" t="str">
        <f t="array" ref="C1187">INDEX(Funciones!$G$2:$G$372,MATCH($A1187,Funciones!$B$2:$B$372,0))</f>
        <v>Suministrar aire auxiliar a presión regulada de _____ bar</v>
      </c>
      <c r="D1187" s="27" t="s">
        <v>4469</v>
      </c>
      <c r="E1187" s="27" t="s">
        <v>3686</v>
      </c>
      <c r="F1187" s="27" t="s">
        <v>4470</v>
      </c>
      <c r="G1187" s="27" t="s">
        <v>4471</v>
      </c>
      <c r="H1187" s="18" t="str">
        <f t="array" ref="H1187">_xlfn.XLOOKUP(E:E,'Calificación consecuencia'!B:B,'Calificación consecuencia'!K:K,"No encontrada",2)</f>
        <v>Baja</v>
      </c>
      <c r="I1187" s="27" t="s">
        <v>2106</v>
      </c>
      <c r="J1187" s="30" t="s">
        <v>116</v>
      </c>
      <c r="K1187" s="21"/>
      <c r="L1187" s="21"/>
      <c r="M1187" s="29" t="s">
        <v>120</v>
      </c>
      <c r="N1187" s="21"/>
      <c r="O1187" s="29" t="s">
        <v>120</v>
      </c>
      <c r="P1187" s="21"/>
      <c r="Q1187" s="21"/>
      <c r="R1187" s="21"/>
      <c r="S1187" s="29" t="s">
        <v>120</v>
      </c>
      <c r="T1187" s="21"/>
      <c r="U1187" s="27" t="s">
        <v>1680</v>
      </c>
      <c r="V1187" s="27" t="s">
        <v>1408</v>
      </c>
    </row>
    <row r="1188" ht="14.25" customHeight="1">
      <c r="A1188" s="9" t="s">
        <v>2105</v>
      </c>
      <c r="B1188" s="9" t="s">
        <v>2104</v>
      </c>
      <c r="C1188" s="9" t="str">
        <f t="array" ref="C1188">INDEX(Funciones!$G$2:$G$372,MATCH($A1188,Funciones!$B$2:$B$372,0))</f>
        <v>Retener las partículas del aire de tamaño mayor a _____ µm</v>
      </c>
      <c r="D1188" s="9" t="s">
        <v>4472</v>
      </c>
      <c r="E1188" s="9" t="s">
        <v>3687</v>
      </c>
      <c r="F1188" s="9" t="s">
        <v>4473</v>
      </c>
      <c r="G1188" s="9" t="s">
        <v>4356</v>
      </c>
      <c r="H1188" s="18" t="str">
        <f t="array" ref="H1188">_xlfn.XLOOKUP(E:E,'Calificación consecuencia'!B:B,'Calificación consecuencia'!K:K,"No encontrada",2)</f>
        <v>Baja</v>
      </c>
      <c r="I1188" s="9" t="s">
        <v>425</v>
      </c>
      <c r="J1188" s="22" t="s">
        <v>120</v>
      </c>
      <c r="K1188" s="20" t="s">
        <v>116</v>
      </c>
      <c r="L1188" s="21"/>
      <c r="M1188" s="21"/>
      <c r="N1188" s="21"/>
      <c r="O1188" s="21"/>
      <c r="P1188" s="21"/>
      <c r="Q1188" s="21"/>
      <c r="R1188" s="21"/>
      <c r="S1188" s="21"/>
      <c r="T1188" s="21"/>
      <c r="U1188" s="9" t="s">
        <v>439</v>
      </c>
      <c r="V1188" s="9" t="s">
        <v>440</v>
      </c>
    </row>
    <row r="1189" ht="14.25" customHeight="1">
      <c r="A1189" s="9" t="s">
        <v>2105</v>
      </c>
      <c r="B1189" s="9" t="s">
        <v>2104</v>
      </c>
      <c r="C1189" s="9" t="str">
        <f t="array" ref="C1189">INDEX(Funciones!$G$2:$G$372,MATCH($A1189,Funciones!$B$2:$B$372,0))</f>
        <v>Retener las partículas del aire de tamaño mayor a _____ µm</v>
      </c>
      <c r="D1189" s="9" t="s">
        <v>4474</v>
      </c>
      <c r="E1189" s="9" t="s">
        <v>3537</v>
      </c>
      <c r="F1189" s="9" t="s">
        <v>4475</v>
      </c>
      <c r="G1189" s="9" t="s">
        <v>4361</v>
      </c>
      <c r="H1189" s="18" t="str">
        <f t="array" ref="H1189">_xlfn.XLOOKUP(E:E,'Calificación consecuencia'!B:B,'Calificación consecuencia'!K:K,"No encontrada",2)</f>
        <v>Baja</v>
      </c>
      <c r="I1189" s="9" t="s">
        <v>2106</v>
      </c>
      <c r="J1189" s="22" t="s">
        <v>120</v>
      </c>
      <c r="K1189" s="20" t="s">
        <v>116</v>
      </c>
      <c r="L1189" s="21"/>
      <c r="M1189" s="21"/>
      <c r="N1189" s="21"/>
      <c r="O1189" s="21"/>
      <c r="P1189" s="21"/>
      <c r="Q1189" s="21"/>
      <c r="R1189" s="21"/>
      <c r="S1189" s="21"/>
      <c r="T1189" s="21"/>
      <c r="U1189" s="9" t="s">
        <v>439</v>
      </c>
      <c r="V1189" s="9" t="s">
        <v>440</v>
      </c>
    </row>
    <row r="1190" ht="14.25" customHeight="1">
      <c r="A1190" s="27" t="s">
        <v>2119</v>
      </c>
      <c r="B1190" s="27" t="s">
        <v>2118</v>
      </c>
      <c r="C1190" s="27" t="str">
        <f t="array" ref="C1190">INDEX(Funciones!$G$2:$G$372,MATCH($A1190,Funciones!$B$2:$B$372,0))</f>
        <v>Soportar la carga por eje hasta _____ t</v>
      </c>
      <c r="D1190" s="27" t="s">
        <v>4476</v>
      </c>
      <c r="E1190" s="27" t="s">
        <v>1609</v>
      </c>
      <c r="F1190" s="27" t="s">
        <v>4088</v>
      </c>
      <c r="G1190" s="27" t="s">
        <v>3498</v>
      </c>
      <c r="H1190" s="18" t="str">
        <f t="array" ref="H1190">_xlfn.XLOOKUP(E:E,'Calificación consecuencia'!B:B,'Calificación consecuencia'!K:K,"No encontrada",2)</f>
        <v>Baja</v>
      </c>
      <c r="I1190" s="27" t="s">
        <v>425</v>
      </c>
      <c r="J1190" s="29" t="s">
        <v>120</v>
      </c>
      <c r="K1190" s="30" t="s">
        <v>116</v>
      </c>
      <c r="L1190" s="21"/>
      <c r="M1190" s="21"/>
      <c r="N1190" s="21"/>
      <c r="O1190" s="21"/>
      <c r="P1190" s="21"/>
      <c r="Q1190" s="21"/>
      <c r="R1190" s="21"/>
      <c r="S1190" s="21"/>
      <c r="T1190" s="21"/>
      <c r="U1190" s="27" t="s">
        <v>439</v>
      </c>
      <c r="V1190" s="27" t="s">
        <v>440</v>
      </c>
    </row>
    <row r="1191" ht="14.25" customHeight="1">
      <c r="A1191" s="27" t="s">
        <v>2119</v>
      </c>
      <c r="B1191" s="27" t="s">
        <v>2118</v>
      </c>
      <c r="C1191" s="27" t="str">
        <f t="array" ref="C1191">INDEX(Funciones!$G$2:$G$372,MATCH($A1191,Funciones!$B$2:$B$372,0))</f>
        <v>Soportar la carga por eje hasta _____ t</v>
      </c>
      <c r="D1191" s="27" t="s">
        <v>4476</v>
      </c>
      <c r="E1191" s="27" t="s">
        <v>1615</v>
      </c>
      <c r="F1191" s="27" t="s">
        <v>4089</v>
      </c>
      <c r="G1191" s="27" t="s">
        <v>3501</v>
      </c>
      <c r="H1191" s="18" t="str">
        <f t="array" ref="H1191">_xlfn.XLOOKUP(E:E,'Calificación consecuencia'!B:B,'Calificación consecuencia'!K:K,"No encontrada",2)</f>
        <v>Baja</v>
      </c>
      <c r="I1191" s="27" t="s">
        <v>425</v>
      </c>
      <c r="J1191" s="29" t="s">
        <v>120</v>
      </c>
      <c r="K1191" s="30" t="s">
        <v>116</v>
      </c>
      <c r="L1191" s="21"/>
      <c r="M1191" s="21"/>
      <c r="N1191" s="21"/>
      <c r="O1191" s="21"/>
      <c r="P1191" s="21"/>
      <c r="Q1191" s="21"/>
      <c r="R1191" s="21"/>
      <c r="S1191" s="21"/>
      <c r="T1191" s="21"/>
      <c r="U1191" s="27" t="s">
        <v>439</v>
      </c>
      <c r="V1191" s="27" t="s">
        <v>440</v>
      </c>
    </row>
    <row r="1192" ht="14.25" customHeight="1">
      <c r="A1192" s="27" t="s">
        <v>2119</v>
      </c>
      <c r="B1192" s="27" t="s">
        <v>2118</v>
      </c>
      <c r="C1192" s="27" t="str">
        <f t="array" ref="C1192">INDEX(Funciones!$G$2:$G$372,MATCH($A1192,Funciones!$B$2:$B$372,0))</f>
        <v>Soportar la carga por eje hasta _____ t</v>
      </c>
      <c r="D1192" s="27" t="s">
        <v>4477</v>
      </c>
      <c r="E1192" s="27" t="s">
        <v>1622</v>
      </c>
      <c r="F1192" s="27" t="s">
        <v>4091</v>
      </c>
      <c r="G1192" s="27" t="s">
        <v>3498</v>
      </c>
      <c r="H1192" s="18" t="str">
        <f t="array" ref="H1192">_xlfn.XLOOKUP(E:E,'Calificación consecuencia'!B:B,'Calificación consecuencia'!K:K,"No encontrada",2)</f>
        <v>Baja</v>
      </c>
      <c r="I1192" s="27" t="s">
        <v>339</v>
      </c>
      <c r="J1192" s="29" t="s">
        <v>120</v>
      </c>
      <c r="K1192" s="30" t="s">
        <v>116</v>
      </c>
      <c r="L1192" s="21"/>
      <c r="M1192" s="21"/>
      <c r="N1192" s="21"/>
      <c r="O1192" s="21"/>
      <c r="P1192" s="21"/>
      <c r="Q1192" s="21"/>
      <c r="R1192" s="21"/>
      <c r="S1192" s="21"/>
      <c r="T1192" s="21"/>
      <c r="U1192" s="27" t="s">
        <v>439</v>
      </c>
      <c r="V1192" s="27" t="s">
        <v>440</v>
      </c>
    </row>
    <row r="1193" ht="14.25" customHeight="1">
      <c r="A1193" s="27" t="s">
        <v>2119</v>
      </c>
      <c r="B1193" s="27" t="s">
        <v>2118</v>
      </c>
      <c r="C1193" s="27" t="str">
        <f t="array" ref="C1193">INDEX(Funciones!$G$2:$G$372,MATCH($A1193,Funciones!$B$2:$B$372,0))</f>
        <v>Soportar la carga por eje hasta _____ t</v>
      </c>
      <c r="D1193" s="27" t="s">
        <v>4477</v>
      </c>
      <c r="E1193" s="27" t="s">
        <v>1625</v>
      </c>
      <c r="F1193" s="27" t="s">
        <v>4092</v>
      </c>
      <c r="G1193" s="27" t="s">
        <v>3513</v>
      </c>
      <c r="H1193" s="18" t="str">
        <f t="array" ref="H1193">_xlfn.XLOOKUP(E:E,'Calificación consecuencia'!B:B,'Calificación consecuencia'!K:K,"No encontrada",2)</f>
        <v>Media</v>
      </c>
      <c r="I1193" s="27" t="s">
        <v>339</v>
      </c>
      <c r="J1193" s="29" t="s">
        <v>120</v>
      </c>
      <c r="K1193" s="30" t="s">
        <v>116</v>
      </c>
      <c r="L1193" s="21"/>
      <c r="M1193" s="21"/>
      <c r="N1193" s="21"/>
      <c r="O1193" s="21"/>
      <c r="P1193" s="21"/>
      <c r="Q1193" s="21"/>
      <c r="R1193" s="21"/>
      <c r="S1193" s="21"/>
      <c r="T1193" s="21"/>
      <c r="U1193" s="27" t="s">
        <v>439</v>
      </c>
      <c r="V1193" s="27" t="s">
        <v>440</v>
      </c>
    </row>
    <row r="1194" ht="14.25" customHeight="1">
      <c r="A1194" s="9" t="s">
        <v>2128</v>
      </c>
      <c r="B1194" s="9" t="s">
        <v>2118</v>
      </c>
      <c r="C1194" s="9" t="str">
        <f t="array" ref="C1194">INDEX(Funciones!$G$2:$G$372,MATCH($A1194,Funciones!$B$2:$B$372,0))</f>
        <v>Conservar el diámetro de rueda mínimo de 800 mm</v>
      </c>
      <c r="D1194" s="9" t="s">
        <v>4478</v>
      </c>
      <c r="E1194" s="9" t="s">
        <v>3688</v>
      </c>
      <c r="F1194" s="9" t="s">
        <v>4479</v>
      </c>
      <c r="G1194" s="9" t="s">
        <v>4480</v>
      </c>
      <c r="H1194" s="18" t="str">
        <f t="array" ref="H1194">_xlfn.XLOOKUP(E:E,'Calificación consecuencia'!B:B,'Calificación consecuencia'!K:K,"No encontrada",2)</f>
        <v>Media</v>
      </c>
      <c r="I1194" s="9" t="s">
        <v>425</v>
      </c>
      <c r="J1194" s="20" t="s">
        <v>116</v>
      </c>
      <c r="K1194" s="21"/>
      <c r="L1194" s="21"/>
      <c r="M1194" s="20" t="s">
        <v>116</v>
      </c>
      <c r="N1194" s="20" t="s">
        <v>116</v>
      </c>
      <c r="O1194" s="21"/>
      <c r="P1194" s="21"/>
      <c r="Q1194" s="21"/>
      <c r="R1194" s="21"/>
      <c r="S1194" s="21"/>
      <c r="T1194" s="21"/>
      <c r="U1194" s="9" t="s">
        <v>195</v>
      </c>
      <c r="V1194" s="9" t="s">
        <v>196</v>
      </c>
    </row>
    <row r="1195" ht="14.25" customHeight="1">
      <c r="A1195" s="9" t="s">
        <v>2128</v>
      </c>
      <c r="B1195" s="9" t="s">
        <v>2118</v>
      </c>
      <c r="C1195" s="9" t="str">
        <f t="array" ref="C1195">INDEX(Funciones!$G$2:$G$372,MATCH($A1195,Funciones!$B$2:$B$372,0))</f>
        <v>Conservar el diámetro de rueda mínimo de 800 mm</v>
      </c>
      <c r="D1195" s="9" t="s">
        <v>4481</v>
      </c>
      <c r="E1195" s="9" t="s">
        <v>3689</v>
      </c>
      <c r="F1195" s="9" t="s">
        <v>4482</v>
      </c>
      <c r="G1195" s="9" t="s">
        <v>4483</v>
      </c>
      <c r="H1195" s="18" t="str">
        <f t="array" ref="H1195">_xlfn.XLOOKUP(E:E,'Calificación consecuencia'!B:B,'Calificación consecuencia'!K:K,"No encontrada",2)</f>
        <v>Media</v>
      </c>
      <c r="I1195" s="9" t="s">
        <v>425</v>
      </c>
      <c r="J1195" s="20" t="s">
        <v>116</v>
      </c>
      <c r="K1195" s="21"/>
      <c r="L1195" s="21"/>
      <c r="M1195" s="20" t="s">
        <v>116</v>
      </c>
      <c r="N1195" s="20" t="s">
        <v>116</v>
      </c>
      <c r="O1195" s="21"/>
      <c r="P1195" s="21"/>
      <c r="Q1195" s="21"/>
      <c r="R1195" s="21"/>
      <c r="S1195" s="21"/>
      <c r="T1195" s="21"/>
      <c r="U1195" s="9" t="s">
        <v>195</v>
      </c>
      <c r="V1195" s="9" t="s">
        <v>196</v>
      </c>
    </row>
    <row r="1196" ht="14.25" customHeight="1">
      <c r="A1196" s="27" t="s">
        <v>2136</v>
      </c>
      <c r="B1196" s="27" t="s">
        <v>2118</v>
      </c>
      <c r="C1196" s="27" t="str">
        <f t="array" ref="C1196">INDEX(Funciones!$G$2:$G$372,MATCH($A1196,Funciones!$B$2:$B$372,0))</f>
        <v>Guiar el eje con pestaña de 25 a 33 mm</v>
      </c>
      <c r="D1196" s="27" t="s">
        <v>4484</v>
      </c>
      <c r="E1196" s="27" t="s">
        <v>3690</v>
      </c>
      <c r="F1196" s="27" t="s">
        <v>4485</v>
      </c>
      <c r="G1196" s="27" t="s">
        <v>3222</v>
      </c>
      <c r="H1196" s="18" t="str">
        <f t="array" ref="H1196">_xlfn.XLOOKUP(E:E,'Calificación consecuencia'!B:B,'Calificación consecuencia'!K:K,"No encontrada",2)</f>
        <v>Baja</v>
      </c>
      <c r="I1196" s="27" t="s">
        <v>425</v>
      </c>
      <c r="J1196" s="29" t="s">
        <v>120</v>
      </c>
      <c r="K1196" s="30" t="s">
        <v>116</v>
      </c>
      <c r="L1196" s="21"/>
      <c r="M1196" s="21"/>
      <c r="N1196" s="21"/>
      <c r="O1196" s="21"/>
      <c r="P1196" s="21"/>
      <c r="Q1196" s="21"/>
      <c r="R1196" s="21"/>
      <c r="S1196" s="21"/>
      <c r="T1196" s="21"/>
      <c r="U1196" s="27" t="s">
        <v>439</v>
      </c>
      <c r="V1196" s="27" t="s">
        <v>440</v>
      </c>
    </row>
    <row r="1197" ht="14.25" customHeight="1">
      <c r="A1197" s="27" t="s">
        <v>2136</v>
      </c>
      <c r="B1197" s="27" t="s">
        <v>2118</v>
      </c>
      <c r="C1197" s="27" t="str">
        <f t="array" ref="C1197">INDEX(Funciones!$G$2:$G$372,MATCH($A1197,Funciones!$B$2:$B$372,0))</f>
        <v>Guiar el eje con pestaña de 25 a 33 mm</v>
      </c>
      <c r="D1197" s="27" t="s">
        <v>4486</v>
      </c>
      <c r="E1197" s="27" t="s">
        <v>3154</v>
      </c>
      <c r="F1197" s="27" t="s">
        <v>4487</v>
      </c>
      <c r="G1197" s="27" t="s">
        <v>3232</v>
      </c>
      <c r="H1197" s="18" t="str">
        <f t="array" ref="H1197">_xlfn.XLOOKUP(E:E,'Calificación consecuencia'!B:B,'Calificación consecuencia'!K:K,"No encontrada",2)</f>
        <v>Media</v>
      </c>
      <c r="I1197" s="27" t="s">
        <v>425</v>
      </c>
      <c r="J1197" s="29" t="s">
        <v>120</v>
      </c>
      <c r="K1197" s="30" t="s">
        <v>116</v>
      </c>
      <c r="L1197" s="21"/>
      <c r="M1197" s="21"/>
      <c r="N1197" s="21"/>
      <c r="O1197" s="21"/>
      <c r="P1197" s="21"/>
      <c r="Q1197" s="21"/>
      <c r="R1197" s="21"/>
      <c r="S1197" s="21"/>
      <c r="T1197" s="21"/>
      <c r="U1197" s="27" t="s">
        <v>439</v>
      </c>
      <c r="V1197" s="27" t="s">
        <v>440</v>
      </c>
    </row>
    <row r="1198" ht="14.25" customHeight="1">
      <c r="A1198" s="27" t="s">
        <v>2136</v>
      </c>
      <c r="B1198" s="27" t="s">
        <v>2118</v>
      </c>
      <c r="C1198" s="27" t="str">
        <f t="array" ref="C1198">INDEX(Funciones!$G$2:$G$372,MATCH($A1198,Funciones!$B$2:$B$372,0))</f>
        <v>Guiar el eje con pestaña de 25 a 33 mm</v>
      </c>
      <c r="D1198" s="27" t="s">
        <v>4488</v>
      </c>
      <c r="E1198" s="27" t="s">
        <v>3691</v>
      </c>
      <c r="F1198" s="27" t="s">
        <v>4489</v>
      </c>
      <c r="G1198" s="27" t="s">
        <v>4490</v>
      </c>
      <c r="H1198" s="18" t="str">
        <f t="array" ref="H1198">_xlfn.XLOOKUP(E:E,'Calificación consecuencia'!B:B,'Calificación consecuencia'!K:K,"No encontrada",2)</f>
        <v>Media</v>
      </c>
      <c r="I1198" s="27" t="s">
        <v>425</v>
      </c>
      <c r="J1198" s="29" t="s">
        <v>120</v>
      </c>
      <c r="K1198" s="30" t="s">
        <v>116</v>
      </c>
      <c r="L1198" s="21"/>
      <c r="M1198" s="21"/>
      <c r="N1198" s="21"/>
      <c r="O1198" s="21"/>
      <c r="P1198" s="21"/>
      <c r="Q1198" s="21"/>
      <c r="R1198" s="21"/>
      <c r="S1198" s="21"/>
      <c r="T1198" s="21"/>
      <c r="U1198" s="27" t="s">
        <v>439</v>
      </c>
      <c r="V1198" s="27" t="s">
        <v>440</v>
      </c>
    </row>
    <row r="1199" ht="14.25" customHeight="1">
      <c r="A1199" s="9" t="s">
        <v>2141</v>
      </c>
      <c r="B1199" s="9" t="s">
        <v>2118</v>
      </c>
      <c r="C1199" s="9" t="str">
        <f t="array" ref="C1199">INDEX(Funciones!$G$2:$G$372,MATCH($A1199,Funciones!$B$2:$B$372,0))</f>
        <v>Impedir el remonte de pestaña con cota qR ≥ 6,5 mm</v>
      </c>
      <c r="D1199" s="9" t="s">
        <v>3220</v>
      </c>
      <c r="E1199" s="9" t="s">
        <v>1127</v>
      </c>
      <c r="F1199" s="9" t="s">
        <v>3221</v>
      </c>
      <c r="G1199" s="9" t="s">
        <v>3222</v>
      </c>
      <c r="H1199" s="18" t="str">
        <f t="array" ref="H1199">_xlfn.XLOOKUP(E:E,'Calificación consecuencia'!B:B,'Calificación consecuencia'!K:K,"No encontrada",2)</f>
        <v>Baja</v>
      </c>
      <c r="I1199" s="9" t="s">
        <v>425</v>
      </c>
      <c r="J1199" s="22" t="s">
        <v>120</v>
      </c>
      <c r="K1199" s="20" t="s">
        <v>116</v>
      </c>
      <c r="L1199" s="21"/>
      <c r="M1199" s="21"/>
      <c r="N1199" s="21"/>
      <c r="O1199" s="21"/>
      <c r="P1199" s="21"/>
      <c r="Q1199" s="21"/>
      <c r="R1199" s="21"/>
      <c r="S1199" s="21"/>
      <c r="T1199" s="21"/>
      <c r="U1199" s="9" t="s">
        <v>439</v>
      </c>
      <c r="V1199" s="9" t="s">
        <v>440</v>
      </c>
    </row>
    <row r="1200" ht="14.25" customHeight="1">
      <c r="A1200" s="9" t="s">
        <v>2141</v>
      </c>
      <c r="B1200" s="9" t="s">
        <v>2118</v>
      </c>
      <c r="C1200" s="9" t="str">
        <f t="array" ref="C1200">INDEX(Funciones!$G$2:$G$372,MATCH($A1200,Funciones!$B$2:$B$372,0))</f>
        <v>Impedir el remonte de pestaña con cota qR ≥ 6,5 mm</v>
      </c>
      <c r="D1200" s="9" t="s">
        <v>3230</v>
      </c>
      <c r="E1200" s="9" t="s">
        <v>1134</v>
      </c>
      <c r="F1200" s="9" t="s">
        <v>3231</v>
      </c>
      <c r="G1200" s="9" t="s">
        <v>3232</v>
      </c>
      <c r="H1200" s="18" t="str">
        <f t="array" ref="H1200">_xlfn.XLOOKUP(E:E,'Calificación consecuencia'!B:B,'Calificación consecuencia'!K:K,"No encontrada",2)</f>
        <v>Media</v>
      </c>
      <c r="I1200" s="9" t="s">
        <v>425</v>
      </c>
      <c r="J1200" s="22" t="s">
        <v>120</v>
      </c>
      <c r="K1200" s="20" t="s">
        <v>116</v>
      </c>
      <c r="L1200" s="21"/>
      <c r="M1200" s="21"/>
      <c r="N1200" s="21"/>
      <c r="O1200" s="21"/>
      <c r="P1200" s="21"/>
      <c r="Q1200" s="21"/>
      <c r="R1200" s="21"/>
      <c r="S1200" s="21"/>
      <c r="T1200" s="21"/>
      <c r="U1200" s="9" t="s">
        <v>439</v>
      </c>
      <c r="V1200" s="9" t="s">
        <v>440</v>
      </c>
    </row>
    <row r="1201" ht="14.25" customHeight="1">
      <c r="A1201" s="9" t="s">
        <v>2141</v>
      </c>
      <c r="B1201" s="9" t="s">
        <v>2118</v>
      </c>
      <c r="C1201" s="9" t="str">
        <f t="array" ref="C1201">INDEX(Funciones!$G$2:$G$372,MATCH($A1201,Funciones!$B$2:$B$372,0))</f>
        <v>Impedir el remonte de pestaña con cota qR ≥ 6,5 mm</v>
      </c>
      <c r="D1201" s="9" t="s">
        <v>3230</v>
      </c>
      <c r="E1201" s="9" t="s">
        <v>1141</v>
      </c>
      <c r="F1201" s="9" t="s">
        <v>3250</v>
      </c>
      <c r="G1201" s="9" t="s">
        <v>3251</v>
      </c>
      <c r="H1201" s="18" t="str">
        <f t="array" ref="H1201">_xlfn.XLOOKUP(E:E,'Calificación consecuencia'!B:B,'Calificación consecuencia'!K:K,"No encontrada",2)</f>
        <v>Media</v>
      </c>
      <c r="I1201" s="9" t="s">
        <v>425</v>
      </c>
      <c r="J1201" s="22" t="s">
        <v>120</v>
      </c>
      <c r="K1201" s="20" t="s">
        <v>116</v>
      </c>
      <c r="L1201" s="21"/>
      <c r="M1201" s="21"/>
      <c r="N1201" s="21"/>
      <c r="O1201" s="21"/>
      <c r="P1201" s="21"/>
      <c r="Q1201" s="21"/>
      <c r="R1201" s="21"/>
      <c r="S1201" s="21"/>
      <c r="T1201" s="21"/>
      <c r="U1201" s="9" t="s">
        <v>439</v>
      </c>
      <c r="V1201" s="9" t="s">
        <v>440</v>
      </c>
    </row>
    <row r="1202" ht="14.25" customHeight="1">
      <c r="A1202" s="9" t="s">
        <v>2141</v>
      </c>
      <c r="B1202" s="9" t="s">
        <v>2118</v>
      </c>
      <c r="C1202" s="9" t="str">
        <f t="array" ref="C1202">INDEX(Funciones!$G$2:$G$372,MATCH($A1202,Funciones!$B$2:$B$372,0))</f>
        <v>Impedir el remonte de pestaña con cota qR ≥ 6,5 mm</v>
      </c>
      <c r="D1202" s="9" t="s">
        <v>3230</v>
      </c>
      <c r="E1202" s="9" t="s">
        <v>1147</v>
      </c>
      <c r="F1202" s="9" t="s">
        <v>3271</v>
      </c>
      <c r="G1202" s="9" t="s">
        <v>3272</v>
      </c>
      <c r="H1202" s="18" t="str">
        <f t="array" ref="H1202">_xlfn.XLOOKUP(E:E,'Calificación consecuencia'!B:B,'Calificación consecuencia'!K:K,"No encontrada",2)</f>
        <v>Media</v>
      </c>
      <c r="I1202" s="9" t="s">
        <v>425</v>
      </c>
      <c r="J1202" s="22" t="s">
        <v>120</v>
      </c>
      <c r="K1202" s="20" t="s">
        <v>116</v>
      </c>
      <c r="L1202" s="21"/>
      <c r="M1202" s="21"/>
      <c r="N1202" s="21"/>
      <c r="O1202" s="21"/>
      <c r="P1202" s="21"/>
      <c r="Q1202" s="21"/>
      <c r="R1202" s="21"/>
      <c r="S1202" s="21"/>
      <c r="T1202" s="21"/>
      <c r="U1202" s="9" t="s">
        <v>439</v>
      </c>
      <c r="V1202" s="9" t="s">
        <v>440</v>
      </c>
    </row>
    <row r="1203" ht="14.25" customHeight="1">
      <c r="A1203" s="27" t="s">
        <v>2142</v>
      </c>
      <c r="B1203" s="27" t="s">
        <v>2118</v>
      </c>
      <c r="C1203" s="27" t="str">
        <f t="array" ref="C1203">INDEX(Funciones!$G$2:$G$372,MATCH($A1203,Funciones!$B$2:$B$372,0))</f>
        <v>Limitar la altura de pestaña de 27,5 a 36 mm</v>
      </c>
      <c r="D1203" s="27" t="s">
        <v>4491</v>
      </c>
      <c r="E1203" s="27" t="s">
        <v>3690</v>
      </c>
      <c r="F1203" s="27" t="s">
        <v>4492</v>
      </c>
      <c r="G1203" s="27" t="s">
        <v>3222</v>
      </c>
      <c r="H1203" s="18" t="str">
        <f t="array" ref="H1203">_xlfn.XLOOKUP(E:E,'Calificación consecuencia'!B:B,'Calificación consecuencia'!K:K,"No encontrada",2)</f>
        <v>Baja</v>
      </c>
      <c r="I1203" s="27" t="s">
        <v>425</v>
      </c>
      <c r="J1203" s="29" t="s">
        <v>120</v>
      </c>
      <c r="K1203" s="30" t="s">
        <v>116</v>
      </c>
      <c r="L1203" s="21"/>
      <c r="M1203" s="21"/>
      <c r="N1203" s="21"/>
      <c r="O1203" s="21"/>
      <c r="P1203" s="21"/>
      <c r="Q1203" s="21"/>
      <c r="R1203" s="21"/>
      <c r="S1203" s="21"/>
      <c r="T1203" s="21"/>
      <c r="U1203" s="27" t="s">
        <v>439</v>
      </c>
      <c r="V1203" s="27" t="s">
        <v>440</v>
      </c>
    </row>
    <row r="1204" ht="14.25" customHeight="1">
      <c r="A1204" s="27" t="s">
        <v>2142</v>
      </c>
      <c r="B1204" s="27" t="s">
        <v>2118</v>
      </c>
      <c r="C1204" s="27" t="str">
        <f t="array" ref="C1204">INDEX(Funciones!$G$2:$G$372,MATCH($A1204,Funciones!$B$2:$B$372,0))</f>
        <v>Limitar la altura de pestaña de 27,5 a 36 mm</v>
      </c>
      <c r="D1204" s="27" t="s">
        <v>4493</v>
      </c>
      <c r="E1204" s="27" t="s">
        <v>3154</v>
      </c>
      <c r="F1204" s="27" t="s">
        <v>4494</v>
      </c>
      <c r="G1204" s="27" t="s">
        <v>3232</v>
      </c>
      <c r="H1204" s="18" t="str">
        <f t="array" ref="H1204">_xlfn.XLOOKUP(E:E,'Calificación consecuencia'!B:B,'Calificación consecuencia'!K:K,"No encontrada",2)</f>
        <v>Media</v>
      </c>
      <c r="I1204" s="27" t="s">
        <v>425</v>
      </c>
      <c r="J1204" s="29" t="s">
        <v>120</v>
      </c>
      <c r="K1204" s="30" t="s">
        <v>116</v>
      </c>
      <c r="L1204" s="21"/>
      <c r="M1204" s="21"/>
      <c r="N1204" s="21"/>
      <c r="O1204" s="21"/>
      <c r="P1204" s="21"/>
      <c r="Q1204" s="21"/>
      <c r="R1204" s="21"/>
      <c r="S1204" s="21"/>
      <c r="T1204" s="21"/>
      <c r="U1204" s="27" t="s">
        <v>439</v>
      </c>
      <c r="V1204" s="27" t="s">
        <v>440</v>
      </c>
    </row>
    <row r="1205" ht="14.25" customHeight="1">
      <c r="A1205" s="27" t="s">
        <v>2142</v>
      </c>
      <c r="B1205" s="27" t="s">
        <v>2118</v>
      </c>
      <c r="C1205" s="27" t="str">
        <f t="array" ref="C1205">INDEX(Funciones!$G$2:$G$372,MATCH($A1205,Funciones!$B$2:$B$372,0))</f>
        <v>Limitar la altura de pestaña de 27,5 a 36 mm</v>
      </c>
      <c r="D1205" s="27" t="s">
        <v>4495</v>
      </c>
      <c r="E1205" s="27" t="s">
        <v>3691</v>
      </c>
      <c r="F1205" s="27" t="s">
        <v>4496</v>
      </c>
      <c r="G1205" s="27" t="s">
        <v>4490</v>
      </c>
      <c r="H1205" s="18" t="str">
        <f t="array" ref="H1205">_xlfn.XLOOKUP(E:E,'Calificación consecuencia'!B:B,'Calificación consecuencia'!K:K,"No encontrada",2)</f>
        <v>Media</v>
      </c>
      <c r="I1205" s="27" t="s">
        <v>425</v>
      </c>
      <c r="J1205" s="29" t="s">
        <v>120</v>
      </c>
      <c r="K1205" s="30" t="s">
        <v>116</v>
      </c>
      <c r="L1205" s="21"/>
      <c r="M1205" s="21"/>
      <c r="N1205" s="21"/>
      <c r="O1205" s="21"/>
      <c r="P1205" s="21"/>
      <c r="Q1205" s="21"/>
      <c r="R1205" s="21"/>
      <c r="S1205" s="21"/>
      <c r="T1205" s="21"/>
      <c r="U1205" s="27" t="s">
        <v>439</v>
      </c>
      <c r="V1205" s="27" t="s">
        <v>440</v>
      </c>
    </row>
    <row r="1206" ht="14.25" customHeight="1">
      <c r="A1206" s="9" t="s">
        <v>2148</v>
      </c>
      <c r="B1206" s="9" t="s">
        <v>2118</v>
      </c>
      <c r="C1206" s="9" t="str">
        <f t="array" ref="C1206">INDEX(Funciones!$G$2:$G$372,MATCH($A1206,Funciones!$B$2:$B$372,0))</f>
        <v>Mantener la distancia entre ruedas de 1.358 a 1.363 mm</v>
      </c>
      <c r="D1206" s="9" t="s">
        <v>4497</v>
      </c>
      <c r="E1206" s="9" t="s">
        <v>1644</v>
      </c>
      <c r="F1206" s="9" t="s">
        <v>4498</v>
      </c>
      <c r="G1206" s="9" t="s">
        <v>3525</v>
      </c>
      <c r="H1206" s="18" t="str">
        <f t="array" ref="H1206">_xlfn.XLOOKUP(E:E,'Calificación consecuencia'!B:B,'Calificación consecuencia'!K:K,"No encontrada",2)</f>
        <v>Baja</v>
      </c>
      <c r="I1206" s="9" t="s">
        <v>425</v>
      </c>
      <c r="J1206" s="22" t="s">
        <v>120</v>
      </c>
      <c r="K1206" s="20" t="s">
        <v>116</v>
      </c>
      <c r="L1206" s="21"/>
      <c r="M1206" s="21"/>
      <c r="N1206" s="21"/>
      <c r="O1206" s="21"/>
      <c r="P1206" s="21"/>
      <c r="Q1206" s="21"/>
      <c r="R1206" s="21"/>
      <c r="S1206" s="21"/>
      <c r="T1206" s="21"/>
      <c r="U1206" s="9" t="s">
        <v>439</v>
      </c>
      <c r="V1206" s="9" t="s">
        <v>440</v>
      </c>
    </row>
    <row r="1207" ht="14.25" customHeight="1">
      <c r="A1207" s="9" t="s">
        <v>2148</v>
      </c>
      <c r="B1207" s="9" t="s">
        <v>2118</v>
      </c>
      <c r="C1207" s="9" t="str">
        <f t="array" ref="C1207">INDEX(Funciones!$G$2:$G$372,MATCH($A1207,Funciones!$B$2:$B$372,0))</f>
        <v>Mantener la distancia entre ruedas de 1.358 a 1.363 mm</v>
      </c>
      <c r="D1207" s="9" t="s">
        <v>4499</v>
      </c>
      <c r="E1207" s="9" t="s">
        <v>1650</v>
      </c>
      <c r="F1207" s="9" t="s">
        <v>4500</v>
      </c>
      <c r="G1207" s="9" t="s">
        <v>3528</v>
      </c>
      <c r="H1207" s="18" t="str">
        <f t="array" ref="H1207">_xlfn.XLOOKUP(E:E,'Calificación consecuencia'!B:B,'Calificación consecuencia'!K:K,"No encontrada",2)</f>
        <v>Baja</v>
      </c>
      <c r="I1207" s="9" t="s">
        <v>425</v>
      </c>
      <c r="J1207" s="22" t="s">
        <v>120</v>
      </c>
      <c r="K1207" s="20" t="s">
        <v>116</v>
      </c>
      <c r="L1207" s="21"/>
      <c r="M1207" s="21"/>
      <c r="N1207" s="21"/>
      <c r="O1207" s="21"/>
      <c r="P1207" s="21"/>
      <c r="Q1207" s="21"/>
      <c r="R1207" s="21"/>
      <c r="S1207" s="21"/>
      <c r="T1207" s="21"/>
      <c r="U1207" s="9" t="s">
        <v>439</v>
      </c>
      <c r="V1207" s="9" t="s">
        <v>440</v>
      </c>
    </row>
    <row r="1208" ht="14.25" customHeight="1">
      <c r="A1208" s="9" t="s">
        <v>2148</v>
      </c>
      <c r="B1208" s="9" t="s">
        <v>2118</v>
      </c>
      <c r="C1208" s="9" t="str">
        <f t="array" ref="C1208">INDEX(Funciones!$G$2:$G$372,MATCH($A1208,Funciones!$B$2:$B$372,0))</f>
        <v>Mantener la distancia entre ruedas de 1.358 a 1.363 mm</v>
      </c>
      <c r="D1208" s="9" t="s">
        <v>4501</v>
      </c>
      <c r="E1208" s="9" t="s">
        <v>1655</v>
      </c>
      <c r="F1208" s="9" t="s">
        <v>3530</v>
      </c>
      <c r="G1208" s="9" t="s">
        <v>3531</v>
      </c>
      <c r="H1208" s="18" t="str">
        <f t="array" ref="H1208">_xlfn.XLOOKUP(E:E,'Calificación consecuencia'!B:B,'Calificación consecuencia'!K:K,"No encontrada",2)</f>
        <v>Baja</v>
      </c>
      <c r="I1208" s="9" t="s">
        <v>425</v>
      </c>
      <c r="J1208" s="22" t="s">
        <v>120</v>
      </c>
      <c r="K1208" s="20" t="s">
        <v>116</v>
      </c>
      <c r="L1208" s="21"/>
      <c r="M1208" s="21"/>
      <c r="N1208" s="21"/>
      <c r="O1208" s="21"/>
      <c r="P1208" s="21"/>
      <c r="Q1208" s="21"/>
      <c r="R1208" s="21"/>
      <c r="S1208" s="21"/>
      <c r="T1208" s="21"/>
      <c r="U1208" s="9" t="s">
        <v>439</v>
      </c>
      <c r="V1208" s="9" t="s">
        <v>440</v>
      </c>
    </row>
    <row r="1209" ht="14.25" customHeight="1">
      <c r="A1209" s="27" t="s">
        <v>2156</v>
      </c>
      <c r="B1209" s="27" t="s">
        <v>2118</v>
      </c>
      <c r="C1209" s="27" t="str">
        <f t="array" ref="C1209">INDEX(Funciones!$G$2:$G$372,MATCH($A1209,Funciones!$B$2:$B$372,0))</f>
        <v>Mantener el ancho de llanta de 133 a 145 mm</v>
      </c>
      <c r="D1209" s="27" t="s">
        <v>4502</v>
      </c>
      <c r="E1209" s="27" t="s">
        <v>3692</v>
      </c>
      <c r="F1209" s="27" t="s">
        <v>4503</v>
      </c>
      <c r="G1209" s="27" t="s">
        <v>4504</v>
      </c>
      <c r="H1209" s="18" t="str">
        <f t="array" ref="H1209">_xlfn.XLOOKUP(E:E,'Calificación consecuencia'!B:B,'Calificación consecuencia'!K:K,"No encontrada",2)</f>
        <v>Baja</v>
      </c>
      <c r="I1209" s="27" t="s">
        <v>425</v>
      </c>
      <c r="J1209" s="29" t="s">
        <v>120</v>
      </c>
      <c r="K1209" s="30" t="s">
        <v>116</v>
      </c>
      <c r="L1209" s="21"/>
      <c r="M1209" s="21"/>
      <c r="N1209" s="21"/>
      <c r="O1209" s="21"/>
      <c r="P1209" s="21"/>
      <c r="Q1209" s="21"/>
      <c r="R1209" s="21"/>
      <c r="S1209" s="21"/>
      <c r="T1209" s="21"/>
      <c r="U1209" s="27" t="s">
        <v>439</v>
      </c>
      <c r="V1209" s="27" t="s">
        <v>440</v>
      </c>
    </row>
    <row r="1210" ht="14.25" customHeight="1">
      <c r="A1210" s="27" t="s">
        <v>2156</v>
      </c>
      <c r="B1210" s="27" t="s">
        <v>2118</v>
      </c>
      <c r="C1210" s="27" t="str">
        <f t="array" ref="C1210">INDEX(Funciones!$G$2:$G$372,MATCH($A1210,Funciones!$B$2:$B$372,0))</f>
        <v>Mantener el ancho de llanta de 133 a 145 mm</v>
      </c>
      <c r="D1210" s="27" t="s">
        <v>4505</v>
      </c>
      <c r="E1210" s="27" t="s">
        <v>3693</v>
      </c>
      <c r="F1210" s="27" t="s">
        <v>4506</v>
      </c>
      <c r="G1210" s="27" t="s">
        <v>4507</v>
      </c>
      <c r="H1210" s="18" t="str">
        <f t="array" ref="H1210">_xlfn.XLOOKUP(E:E,'Calificación consecuencia'!B:B,'Calificación consecuencia'!K:K,"No encontrada",2)</f>
        <v>Media</v>
      </c>
      <c r="I1210" s="27" t="s">
        <v>425</v>
      </c>
      <c r="J1210" s="29" t="s">
        <v>120</v>
      </c>
      <c r="K1210" s="30" t="s">
        <v>116</v>
      </c>
      <c r="L1210" s="21"/>
      <c r="M1210" s="21"/>
      <c r="N1210" s="21"/>
      <c r="O1210" s="21"/>
      <c r="P1210" s="21"/>
      <c r="Q1210" s="21"/>
      <c r="R1210" s="21"/>
      <c r="S1210" s="21"/>
      <c r="T1210" s="21"/>
      <c r="U1210" s="27" t="s">
        <v>439</v>
      </c>
      <c r="V1210" s="27" t="s">
        <v>440</v>
      </c>
    </row>
    <row r="1211" ht="14.25" customHeight="1">
      <c r="A1211" s="27" t="s">
        <v>2156</v>
      </c>
      <c r="B1211" s="27" t="s">
        <v>2118</v>
      </c>
      <c r="C1211" s="27" t="str">
        <f t="array" ref="C1211">INDEX(Funciones!$G$2:$G$372,MATCH($A1211,Funciones!$B$2:$B$372,0))</f>
        <v>Mantener el ancho de llanta de 133 a 145 mm</v>
      </c>
      <c r="D1211" s="27" t="s">
        <v>4508</v>
      </c>
      <c r="E1211" s="27" t="s">
        <v>3694</v>
      </c>
      <c r="F1211" s="27" t="s">
        <v>4509</v>
      </c>
      <c r="G1211" s="27" t="s">
        <v>4510</v>
      </c>
      <c r="H1211" s="18" t="str">
        <f t="array" ref="H1211">_xlfn.XLOOKUP(E:E,'Calificación consecuencia'!B:B,'Calificación consecuencia'!K:K,"No encontrada",2)</f>
        <v>Media</v>
      </c>
      <c r="I1211" s="27" t="s">
        <v>425</v>
      </c>
      <c r="J1211" s="29" t="s">
        <v>120</v>
      </c>
      <c r="K1211" s="30" t="s">
        <v>116</v>
      </c>
      <c r="L1211" s="21"/>
      <c r="M1211" s="21"/>
      <c r="N1211" s="21"/>
      <c r="O1211" s="21"/>
      <c r="P1211" s="21"/>
      <c r="Q1211" s="21"/>
      <c r="R1211" s="21"/>
      <c r="S1211" s="21"/>
      <c r="T1211" s="21"/>
      <c r="U1211" s="27" t="s">
        <v>439</v>
      </c>
      <c r="V1211" s="27" t="s">
        <v>440</v>
      </c>
    </row>
    <row r="1212" ht="14.25" customHeight="1">
      <c r="A1212" s="9" t="s">
        <v>2161</v>
      </c>
      <c r="B1212" s="9" t="s">
        <v>2118</v>
      </c>
      <c r="C1212" s="9" t="str">
        <f t="array" ref="C1212">INDEX(Funciones!$G$2:$G$372,MATCH($A1212,Funciones!$B$2:$B$372,0))</f>
        <v>Igualar el diámetro de ruedas con diferencia máxima de 0,1 mm</v>
      </c>
      <c r="D1212" s="9" t="s">
        <v>4511</v>
      </c>
      <c r="E1212" s="9" t="s">
        <v>3695</v>
      </c>
      <c r="F1212" s="9" t="s">
        <v>4512</v>
      </c>
      <c r="G1212" s="9" t="s">
        <v>4513</v>
      </c>
      <c r="H1212" s="18" t="str">
        <f t="array" ref="H1212">_xlfn.XLOOKUP(E:E,'Calificación consecuencia'!B:B,'Calificación consecuencia'!K:K,"No encontrada",2)</f>
        <v>Baja</v>
      </c>
      <c r="I1212" s="9" t="s">
        <v>425</v>
      </c>
      <c r="J1212" s="22" t="s">
        <v>120</v>
      </c>
      <c r="K1212" s="20" t="s">
        <v>116</v>
      </c>
      <c r="L1212" s="21"/>
      <c r="M1212" s="21"/>
      <c r="N1212" s="21"/>
      <c r="O1212" s="21"/>
      <c r="P1212" s="21"/>
      <c r="Q1212" s="21"/>
      <c r="R1212" s="21"/>
      <c r="S1212" s="21"/>
      <c r="T1212" s="21"/>
      <c r="U1212" s="9" t="s">
        <v>439</v>
      </c>
      <c r="V1212" s="9" t="s">
        <v>440</v>
      </c>
    </row>
    <row r="1213" ht="14.25" customHeight="1">
      <c r="A1213" s="9" t="s">
        <v>2161</v>
      </c>
      <c r="B1213" s="9" t="s">
        <v>2118</v>
      </c>
      <c r="C1213" s="9" t="str">
        <f t="array" ref="C1213">INDEX(Funciones!$G$2:$G$372,MATCH($A1213,Funciones!$B$2:$B$372,0))</f>
        <v>Igualar el diámetro de ruedas con diferencia máxima de 0,1 mm</v>
      </c>
      <c r="D1213" s="9" t="s">
        <v>4514</v>
      </c>
      <c r="E1213" s="9" t="s">
        <v>3696</v>
      </c>
      <c r="F1213" s="9" t="s">
        <v>4515</v>
      </c>
      <c r="G1213" s="9" t="s">
        <v>4516</v>
      </c>
      <c r="H1213" s="18" t="str">
        <f t="array" ref="H1213">_xlfn.XLOOKUP(E:E,'Calificación consecuencia'!B:B,'Calificación consecuencia'!K:K,"No encontrada",2)</f>
        <v>Media</v>
      </c>
      <c r="I1213" s="9" t="s">
        <v>425</v>
      </c>
      <c r="J1213" s="22" t="s">
        <v>120</v>
      </c>
      <c r="K1213" s="20" t="s">
        <v>116</v>
      </c>
      <c r="L1213" s="21"/>
      <c r="M1213" s="21"/>
      <c r="N1213" s="21"/>
      <c r="O1213" s="21"/>
      <c r="P1213" s="21"/>
      <c r="Q1213" s="21"/>
      <c r="R1213" s="21"/>
      <c r="S1213" s="21"/>
      <c r="T1213" s="21"/>
      <c r="U1213" s="9" t="s">
        <v>439</v>
      </c>
      <c r="V1213" s="9" t="s">
        <v>440</v>
      </c>
    </row>
    <row r="1214" ht="14.25" customHeight="1">
      <c r="A1214" s="9" t="s">
        <v>2161</v>
      </c>
      <c r="B1214" s="9" t="s">
        <v>2118</v>
      </c>
      <c r="C1214" s="9" t="str">
        <f t="array" ref="C1214">INDEX(Funciones!$G$2:$G$372,MATCH($A1214,Funciones!$B$2:$B$372,0))</f>
        <v>Igualar el diámetro de ruedas con diferencia máxima de 0,1 mm</v>
      </c>
      <c r="D1214" s="9" t="s">
        <v>4514</v>
      </c>
      <c r="E1214" s="9" t="s">
        <v>3697</v>
      </c>
      <c r="F1214" s="9" t="s">
        <v>4517</v>
      </c>
      <c r="G1214" s="9" t="s">
        <v>4518</v>
      </c>
      <c r="H1214" s="18" t="str">
        <f t="array" ref="H1214">_xlfn.XLOOKUP(E:E,'Calificación consecuencia'!B:B,'Calificación consecuencia'!K:K,"No encontrada",2)</f>
        <v>Media</v>
      </c>
      <c r="I1214" s="9" t="s">
        <v>425</v>
      </c>
      <c r="J1214" s="22" t="s">
        <v>120</v>
      </c>
      <c r="K1214" s="20" t="s">
        <v>116</v>
      </c>
      <c r="L1214" s="21"/>
      <c r="M1214" s="21"/>
      <c r="N1214" s="21"/>
      <c r="O1214" s="21"/>
      <c r="P1214" s="21"/>
      <c r="Q1214" s="21"/>
      <c r="R1214" s="21"/>
      <c r="S1214" s="21"/>
      <c r="T1214" s="21"/>
      <c r="U1214" s="9" t="s">
        <v>439</v>
      </c>
      <c r="V1214" s="9" t="s">
        <v>440</v>
      </c>
    </row>
    <row r="1215" ht="14.25" customHeight="1">
      <c r="A1215" s="27" t="s">
        <v>2171</v>
      </c>
      <c r="B1215" s="27" t="s">
        <v>2170</v>
      </c>
      <c r="C1215" s="27" t="str">
        <f t="array" ref="C1215">INDEX(Funciones!$G$2:$G$372,MATCH($A1215,Funciones!$B$2:$B$372,0))</f>
        <v>Separar el agua condensada con eficiencia de _____ %</v>
      </c>
      <c r="D1215" s="27" t="s">
        <v>4519</v>
      </c>
      <c r="E1215" s="27" t="s">
        <v>3698</v>
      </c>
      <c r="F1215" s="27" t="s">
        <v>4520</v>
      </c>
      <c r="G1215" s="27" t="s">
        <v>4521</v>
      </c>
      <c r="H1215" s="18" t="str">
        <f t="array" ref="H1215">_xlfn.XLOOKUP(E:E,'Calificación consecuencia'!B:B,'Calificación consecuencia'!K:K,"No encontrada",2)</f>
        <v>Baja</v>
      </c>
      <c r="I1215" s="27" t="s">
        <v>425</v>
      </c>
      <c r="J1215" s="29" t="s">
        <v>120</v>
      </c>
      <c r="K1215" s="30" t="s">
        <v>116</v>
      </c>
      <c r="L1215" s="21"/>
      <c r="M1215" s="21"/>
      <c r="N1215" s="21"/>
      <c r="O1215" s="21"/>
      <c r="P1215" s="21"/>
      <c r="Q1215" s="21"/>
      <c r="R1215" s="21"/>
      <c r="S1215" s="21"/>
      <c r="T1215" s="21"/>
      <c r="U1215" s="27" t="s">
        <v>439</v>
      </c>
      <c r="V1215" s="27" t="s">
        <v>440</v>
      </c>
    </row>
    <row r="1216" ht="14.25" customHeight="1">
      <c r="A1216" s="27" t="s">
        <v>2171</v>
      </c>
      <c r="B1216" s="27" t="s">
        <v>2170</v>
      </c>
      <c r="C1216" s="27" t="str">
        <f t="array" ref="C1216">INDEX(Funciones!$G$2:$G$372,MATCH($A1216,Funciones!$B$2:$B$372,0))</f>
        <v>Separar el agua condensada con eficiencia de _____ %</v>
      </c>
      <c r="D1216" s="27" t="s">
        <v>4522</v>
      </c>
      <c r="E1216" s="27" t="s">
        <v>3699</v>
      </c>
      <c r="F1216" s="27" t="s">
        <v>4523</v>
      </c>
      <c r="G1216" s="27" t="s">
        <v>4524</v>
      </c>
      <c r="H1216" s="18" t="str">
        <f t="array" ref="H1216">_xlfn.XLOOKUP(E:E,'Calificación consecuencia'!B:B,'Calificación consecuencia'!K:K,"No encontrada",2)</f>
        <v>Baja</v>
      </c>
      <c r="I1216" s="27" t="s">
        <v>2106</v>
      </c>
      <c r="J1216" s="29" t="s">
        <v>120</v>
      </c>
      <c r="K1216" s="30" t="s">
        <v>116</v>
      </c>
      <c r="L1216" s="21"/>
      <c r="M1216" s="21"/>
      <c r="N1216" s="21"/>
      <c r="O1216" s="21"/>
      <c r="P1216" s="21"/>
      <c r="Q1216" s="21"/>
      <c r="R1216" s="21"/>
      <c r="S1216" s="21"/>
      <c r="T1216" s="21"/>
      <c r="U1216" s="27" t="s">
        <v>439</v>
      </c>
      <c r="V1216" s="27" t="s">
        <v>440</v>
      </c>
    </row>
    <row r="1217" ht="14.25" customHeight="1">
      <c r="A1217" s="27" t="s">
        <v>2171</v>
      </c>
      <c r="B1217" s="27" t="s">
        <v>2170</v>
      </c>
      <c r="C1217" s="27" t="str">
        <f t="array" ref="C1217">INDEX(Funciones!$G$2:$G$372,MATCH($A1217,Funciones!$B$2:$B$372,0))</f>
        <v>Separar el agua condensada con eficiencia de _____ %</v>
      </c>
      <c r="D1217" s="27" t="s">
        <v>4522</v>
      </c>
      <c r="E1217" s="27" t="s">
        <v>3700</v>
      </c>
      <c r="F1217" s="27" t="s">
        <v>4525</v>
      </c>
      <c r="G1217" s="27" t="s">
        <v>4526</v>
      </c>
      <c r="H1217" s="18" t="str">
        <f t="array" ref="H1217">_xlfn.XLOOKUP(E:E,'Calificación consecuencia'!B:B,'Calificación consecuencia'!K:K,"No encontrada",2)</f>
        <v>Baja</v>
      </c>
      <c r="I1217" s="27" t="s">
        <v>2106</v>
      </c>
      <c r="J1217" s="29" t="s">
        <v>120</v>
      </c>
      <c r="K1217" s="30" t="s">
        <v>116</v>
      </c>
      <c r="L1217" s="21"/>
      <c r="M1217" s="21"/>
      <c r="N1217" s="21"/>
      <c r="O1217" s="21"/>
      <c r="P1217" s="21"/>
      <c r="Q1217" s="21"/>
      <c r="R1217" s="21"/>
      <c r="S1217" s="21"/>
      <c r="T1217" s="21"/>
      <c r="U1217" s="27" t="s">
        <v>439</v>
      </c>
      <c r="V1217" s="27" t="s">
        <v>440</v>
      </c>
    </row>
    <row r="1218" ht="14.25" customHeight="1">
      <c r="A1218" s="9" t="s">
        <v>2184</v>
      </c>
      <c r="B1218" s="9" t="s">
        <v>2183</v>
      </c>
      <c r="C1218" s="9" t="str">
        <f t="array" ref="C1218">INDEX(Funciones!$G$2:$G$372,MATCH($A1218,Funciones!$B$2:$B$372,0))</f>
        <v>Secar el aire comprimido con punto de rocío máximo de +3 °C</v>
      </c>
      <c r="D1218" s="9" t="s">
        <v>4527</v>
      </c>
      <c r="E1218" s="9" t="s">
        <v>820</v>
      </c>
      <c r="F1218" s="9" t="s">
        <v>2017</v>
      </c>
      <c r="G1218" s="9" t="s">
        <v>2019</v>
      </c>
      <c r="H1218" s="18" t="str">
        <f t="array" ref="H1218">_xlfn.XLOOKUP(E:E,'Calificación consecuencia'!B:B,'Calificación consecuencia'!K:K,"No encontrada",2)</f>
        <v>Media</v>
      </c>
      <c r="I1218" s="9" t="s">
        <v>425</v>
      </c>
      <c r="J1218" s="22" t="s">
        <v>120</v>
      </c>
      <c r="K1218" s="20" t="s">
        <v>116</v>
      </c>
      <c r="L1218" s="21"/>
      <c r="M1218" s="21"/>
      <c r="N1218" s="21"/>
      <c r="O1218" s="21"/>
      <c r="P1218" s="21"/>
      <c r="Q1218" s="21"/>
      <c r="R1218" s="21"/>
      <c r="S1218" s="21"/>
      <c r="T1218" s="21"/>
      <c r="U1218" s="9" t="s">
        <v>439</v>
      </c>
      <c r="V1218" s="9" t="s">
        <v>440</v>
      </c>
    </row>
    <row r="1219" ht="14.25" customHeight="1">
      <c r="A1219" s="9" t="s">
        <v>2184</v>
      </c>
      <c r="B1219" s="9" t="s">
        <v>2183</v>
      </c>
      <c r="C1219" s="9" t="str">
        <f t="array" ref="C1219">INDEX(Funciones!$G$2:$G$372,MATCH($A1219,Funciones!$B$2:$B$372,0))</f>
        <v>Secar el aire comprimido con punto de rocío máximo de +3 °C</v>
      </c>
      <c r="D1219" s="9" t="s">
        <v>4527</v>
      </c>
      <c r="E1219" s="9" t="s">
        <v>825</v>
      </c>
      <c r="F1219" s="9" t="s">
        <v>2044</v>
      </c>
      <c r="G1219" s="9" t="s">
        <v>2045</v>
      </c>
      <c r="H1219" s="18" t="str">
        <f t="array" ref="H1219">_xlfn.XLOOKUP(E:E,'Calificación consecuencia'!B:B,'Calificación consecuencia'!K:K,"No encontrada",2)</f>
        <v>Media</v>
      </c>
      <c r="I1219" s="9" t="s">
        <v>425</v>
      </c>
      <c r="J1219" s="22" t="s">
        <v>120</v>
      </c>
      <c r="K1219" s="20" t="s">
        <v>116</v>
      </c>
      <c r="L1219" s="21"/>
      <c r="M1219" s="21"/>
      <c r="N1219" s="21"/>
      <c r="O1219" s="21"/>
      <c r="P1219" s="21"/>
      <c r="Q1219" s="21"/>
      <c r="R1219" s="21"/>
      <c r="S1219" s="21"/>
      <c r="T1219" s="21"/>
      <c r="U1219" s="9" t="s">
        <v>439</v>
      </c>
      <c r="V1219" s="9" t="s">
        <v>440</v>
      </c>
    </row>
    <row r="1220" ht="14.25" customHeight="1">
      <c r="A1220" s="9" t="s">
        <v>2184</v>
      </c>
      <c r="B1220" s="9" t="s">
        <v>2183</v>
      </c>
      <c r="C1220" s="9" t="str">
        <f t="array" ref="C1220">INDEX(Funciones!$G$2:$G$372,MATCH($A1220,Funciones!$B$2:$B$372,0))</f>
        <v>Secar el aire comprimido con punto de rocío máximo de +3 °C</v>
      </c>
      <c r="D1220" s="9" t="s">
        <v>4527</v>
      </c>
      <c r="E1220" s="9" t="s">
        <v>827</v>
      </c>
      <c r="F1220" s="9" t="s">
        <v>2056</v>
      </c>
      <c r="G1220" s="9" t="s">
        <v>2057</v>
      </c>
      <c r="H1220" s="18" t="str">
        <f t="array" ref="H1220">_xlfn.XLOOKUP(E:E,'Calificación consecuencia'!B:B,'Calificación consecuencia'!K:K,"No encontrada",2)</f>
        <v>Media</v>
      </c>
      <c r="I1220" s="9" t="s">
        <v>425</v>
      </c>
      <c r="J1220" s="22" t="s">
        <v>120</v>
      </c>
      <c r="K1220" s="20" t="s">
        <v>116</v>
      </c>
      <c r="L1220" s="21"/>
      <c r="M1220" s="21"/>
      <c r="N1220" s="21"/>
      <c r="O1220" s="21"/>
      <c r="P1220" s="21"/>
      <c r="Q1220" s="21"/>
      <c r="R1220" s="21"/>
      <c r="S1220" s="21"/>
      <c r="T1220" s="21"/>
      <c r="U1220" s="9" t="s">
        <v>439</v>
      </c>
      <c r="V1220" s="9" t="s">
        <v>440</v>
      </c>
    </row>
    <row r="1221" ht="14.25" customHeight="1">
      <c r="A1221" s="9" t="s">
        <v>2184</v>
      </c>
      <c r="B1221" s="9" t="s">
        <v>2183</v>
      </c>
      <c r="C1221" s="9" t="str">
        <f t="array" ref="C1221">INDEX(Funciones!$G$2:$G$372,MATCH($A1221,Funciones!$B$2:$B$372,0))</f>
        <v>Secar el aire comprimido con punto de rocío máximo de +3 °C</v>
      </c>
      <c r="D1221" s="9" t="s">
        <v>4528</v>
      </c>
      <c r="E1221" s="9" t="s">
        <v>836</v>
      </c>
      <c r="F1221" s="9" t="s">
        <v>2091</v>
      </c>
      <c r="G1221" s="9" t="s">
        <v>2093</v>
      </c>
      <c r="H1221" s="18" t="str">
        <f t="array" ref="H1221">_xlfn.XLOOKUP(E:E,'Calificación consecuencia'!B:B,'Calificación consecuencia'!K:K,"No encontrada",2)</f>
        <v>Baja</v>
      </c>
      <c r="I1221" s="9" t="s">
        <v>2106</v>
      </c>
      <c r="J1221" s="22" t="s">
        <v>120</v>
      </c>
      <c r="K1221" s="20" t="s">
        <v>116</v>
      </c>
      <c r="L1221" s="21"/>
      <c r="M1221" s="21"/>
      <c r="N1221" s="21"/>
      <c r="O1221" s="21"/>
      <c r="P1221" s="21"/>
      <c r="Q1221" s="21"/>
      <c r="R1221" s="21"/>
      <c r="S1221" s="21"/>
      <c r="T1221" s="21"/>
      <c r="U1221" s="9" t="s">
        <v>439</v>
      </c>
      <c r="V1221" s="9" t="s">
        <v>440</v>
      </c>
    </row>
    <row r="1222" ht="14.25" customHeight="1">
      <c r="A1222" s="9" t="s">
        <v>2184</v>
      </c>
      <c r="B1222" s="9" t="s">
        <v>2183</v>
      </c>
      <c r="C1222" s="9" t="str">
        <f t="array" ref="C1222">INDEX(Funciones!$G$2:$G$372,MATCH($A1222,Funciones!$B$2:$B$372,0))</f>
        <v>Secar el aire comprimido con punto de rocío máximo de +3 °C</v>
      </c>
      <c r="D1222" s="9" t="s">
        <v>4528</v>
      </c>
      <c r="E1222" s="9" t="s">
        <v>842</v>
      </c>
      <c r="F1222" s="9" t="s">
        <v>2126</v>
      </c>
      <c r="G1222" s="9" t="s">
        <v>2127</v>
      </c>
      <c r="H1222" s="18" t="str">
        <f t="array" ref="H1222">_xlfn.XLOOKUP(E:E,'Calificación consecuencia'!B:B,'Calificación consecuencia'!K:K,"No encontrada",2)</f>
        <v>Baja</v>
      </c>
      <c r="I1222" s="9" t="s">
        <v>2106</v>
      </c>
      <c r="J1222" s="22" t="s">
        <v>120</v>
      </c>
      <c r="K1222" s="20" t="s">
        <v>116</v>
      </c>
      <c r="L1222" s="21"/>
      <c r="M1222" s="21"/>
      <c r="N1222" s="21"/>
      <c r="O1222" s="21"/>
      <c r="P1222" s="21"/>
      <c r="Q1222" s="21"/>
      <c r="R1222" s="21"/>
      <c r="S1222" s="21"/>
      <c r="T1222" s="21"/>
      <c r="U1222" s="9" t="s">
        <v>439</v>
      </c>
      <c r="V1222" s="9" t="s">
        <v>440</v>
      </c>
    </row>
    <row r="1223" ht="14.25" customHeight="1">
      <c r="A1223" s="9" t="s">
        <v>2184</v>
      </c>
      <c r="B1223" s="9" t="s">
        <v>2183</v>
      </c>
      <c r="C1223" s="9" t="str">
        <f t="array" ref="C1223">INDEX(Funciones!$G$2:$G$372,MATCH($A1223,Funciones!$B$2:$B$372,0))</f>
        <v>Secar el aire comprimido con punto de rocío máximo de +3 °C</v>
      </c>
      <c r="D1223" s="9" t="s">
        <v>4528</v>
      </c>
      <c r="E1223" s="9" t="s">
        <v>848</v>
      </c>
      <c r="F1223" s="9" t="s">
        <v>2145</v>
      </c>
      <c r="G1223" s="9" t="s">
        <v>2146</v>
      </c>
      <c r="H1223" s="18" t="str">
        <f t="array" ref="H1223">_xlfn.XLOOKUP(E:E,'Calificación consecuencia'!B:B,'Calificación consecuencia'!K:K,"No encontrada",2)</f>
        <v>Baja</v>
      </c>
      <c r="I1223" s="9" t="s">
        <v>2106</v>
      </c>
      <c r="J1223" s="22" t="s">
        <v>120</v>
      </c>
      <c r="K1223" s="20" t="s">
        <v>116</v>
      </c>
      <c r="L1223" s="21"/>
      <c r="M1223" s="21"/>
      <c r="N1223" s="21"/>
      <c r="O1223" s="21"/>
      <c r="P1223" s="21"/>
      <c r="Q1223" s="21"/>
      <c r="R1223" s="21"/>
      <c r="S1223" s="21"/>
      <c r="T1223" s="21"/>
      <c r="U1223" s="9" t="s">
        <v>439</v>
      </c>
      <c r="V1223" s="9" t="s">
        <v>440</v>
      </c>
    </row>
    <row r="1224" ht="14.25" customHeight="1">
      <c r="A1224" s="27" t="s">
        <v>2193</v>
      </c>
      <c r="B1224" s="27" t="s">
        <v>2192</v>
      </c>
      <c r="C1224" s="27" t="str">
        <f t="array" ref="C1224">INDEX(Funciones!$G$2:$G$372,MATCH($A1224,Funciones!$B$2:$B$372,0))</f>
        <v>Soportar la carga vertical hasta _____ t</v>
      </c>
      <c r="D1224" s="27" t="s">
        <v>4529</v>
      </c>
      <c r="E1224" s="27" t="s">
        <v>3702</v>
      </c>
      <c r="F1224" s="27" t="s">
        <v>4530</v>
      </c>
      <c r="G1224" s="27" t="s">
        <v>4531</v>
      </c>
      <c r="H1224" s="18" t="str">
        <f t="array" ref="H1224">_xlfn.XLOOKUP(E:E,'Calificación consecuencia'!B:B,'Calificación consecuencia'!K:K,"No encontrada",2)</f>
        <v>Media</v>
      </c>
      <c r="I1224" s="27" t="s">
        <v>425</v>
      </c>
      <c r="J1224" s="30" t="s">
        <v>116</v>
      </c>
      <c r="K1224" s="21"/>
      <c r="L1224" s="21"/>
      <c r="M1224" s="30" t="s">
        <v>116</v>
      </c>
      <c r="N1224" s="30" t="s">
        <v>116</v>
      </c>
      <c r="O1224" s="21"/>
      <c r="P1224" s="21"/>
      <c r="Q1224" s="21"/>
      <c r="R1224" s="21"/>
      <c r="S1224" s="21"/>
      <c r="T1224" s="21"/>
      <c r="U1224" s="27" t="s">
        <v>195</v>
      </c>
      <c r="V1224" s="27" t="s">
        <v>196</v>
      </c>
    </row>
    <row r="1225" ht="14.25" customHeight="1">
      <c r="A1225" s="27" t="s">
        <v>2193</v>
      </c>
      <c r="B1225" s="27" t="s">
        <v>2192</v>
      </c>
      <c r="C1225" s="27" t="str">
        <f t="array" ref="C1225">INDEX(Funciones!$G$2:$G$372,MATCH($A1225,Funciones!$B$2:$B$372,0))</f>
        <v>Soportar la carga vertical hasta _____ t</v>
      </c>
      <c r="D1225" s="27" t="s">
        <v>4529</v>
      </c>
      <c r="E1225" s="27" t="s">
        <v>3703</v>
      </c>
      <c r="F1225" s="27" t="s">
        <v>4532</v>
      </c>
      <c r="G1225" s="27" t="s">
        <v>4533</v>
      </c>
      <c r="H1225" s="18" t="str">
        <f t="array" ref="H1225">_xlfn.XLOOKUP(E:E,'Calificación consecuencia'!B:B,'Calificación consecuencia'!K:K,"No encontrada",2)</f>
        <v>Baja</v>
      </c>
      <c r="I1225" s="27" t="s">
        <v>425</v>
      </c>
      <c r="J1225" s="30" t="s">
        <v>116</v>
      </c>
      <c r="K1225" s="21"/>
      <c r="L1225" s="21"/>
      <c r="M1225" s="30" t="s">
        <v>116</v>
      </c>
      <c r="N1225" s="30" t="s">
        <v>116</v>
      </c>
      <c r="O1225" s="21"/>
      <c r="P1225" s="21"/>
      <c r="Q1225" s="21"/>
      <c r="R1225" s="21"/>
      <c r="S1225" s="21"/>
      <c r="T1225" s="21"/>
      <c r="U1225" s="27" t="s">
        <v>195</v>
      </c>
      <c r="V1225" s="27" t="s">
        <v>196</v>
      </c>
    </row>
    <row r="1226" ht="14.25" customHeight="1">
      <c r="A1226" s="27" t="s">
        <v>2193</v>
      </c>
      <c r="B1226" s="27" t="s">
        <v>2192</v>
      </c>
      <c r="C1226" s="27" t="str">
        <f t="array" ref="C1226">INDEX(Funciones!$G$2:$G$372,MATCH($A1226,Funciones!$B$2:$B$372,0))</f>
        <v>Soportar la carga vertical hasta _____ t</v>
      </c>
      <c r="D1226" s="27" t="s">
        <v>4534</v>
      </c>
      <c r="E1226" s="27" t="s">
        <v>1119</v>
      </c>
      <c r="F1226" s="27" t="s">
        <v>3184</v>
      </c>
      <c r="G1226" s="27" t="s">
        <v>4535</v>
      </c>
      <c r="H1226" s="18" t="str">
        <f t="array" ref="H1226">_xlfn.XLOOKUP(E:E,'Calificación consecuencia'!B:B,'Calificación consecuencia'!K:K,"No encontrada",2)</f>
        <v>Media</v>
      </c>
      <c r="I1226" s="27" t="s">
        <v>339</v>
      </c>
      <c r="J1226" s="30" t="s">
        <v>116</v>
      </c>
      <c r="K1226" s="21"/>
      <c r="L1226" s="21"/>
      <c r="M1226" s="30" t="s">
        <v>116</v>
      </c>
      <c r="N1226" s="30" t="s">
        <v>116</v>
      </c>
      <c r="O1226" s="21"/>
      <c r="P1226" s="21"/>
      <c r="Q1226" s="21"/>
      <c r="R1226" s="21"/>
      <c r="S1226" s="21"/>
      <c r="T1226" s="21"/>
      <c r="U1226" s="27" t="s">
        <v>195</v>
      </c>
      <c r="V1226" s="27" t="s">
        <v>196</v>
      </c>
    </row>
    <row r="1227" ht="14.25" customHeight="1">
      <c r="A1227" s="27" t="s">
        <v>2193</v>
      </c>
      <c r="B1227" s="27" t="s">
        <v>2192</v>
      </c>
      <c r="C1227" s="27" t="str">
        <f t="array" ref="C1227">INDEX(Funciones!$G$2:$G$372,MATCH($A1227,Funciones!$B$2:$B$372,0))</f>
        <v>Soportar la carga vertical hasta _____ t</v>
      </c>
      <c r="D1227" s="27" t="s">
        <v>4534</v>
      </c>
      <c r="E1227" s="27" t="s">
        <v>3704</v>
      </c>
      <c r="F1227" s="27" t="s">
        <v>4536</v>
      </c>
      <c r="G1227" s="27" t="s">
        <v>4537</v>
      </c>
      <c r="H1227" s="18" t="str">
        <f t="array" ref="H1227">_xlfn.XLOOKUP(E:E,'Calificación consecuencia'!B:B,'Calificación consecuencia'!K:K,"No encontrada",2)</f>
        <v>Media</v>
      </c>
      <c r="I1227" s="27" t="s">
        <v>339</v>
      </c>
      <c r="J1227" s="30" t="s">
        <v>116</v>
      </c>
      <c r="K1227" s="21"/>
      <c r="L1227" s="21"/>
      <c r="M1227" s="30" t="s">
        <v>116</v>
      </c>
      <c r="N1227" s="30" t="s">
        <v>116</v>
      </c>
      <c r="O1227" s="21"/>
      <c r="P1227" s="21"/>
      <c r="Q1227" s="21"/>
      <c r="R1227" s="21"/>
      <c r="S1227" s="21"/>
      <c r="T1227" s="21"/>
      <c r="U1227" s="27" t="s">
        <v>195</v>
      </c>
      <c r="V1227" s="27" t="s">
        <v>196</v>
      </c>
    </row>
    <row r="1228" ht="14.25" customHeight="1">
      <c r="A1228" s="9" t="s">
        <v>2202</v>
      </c>
      <c r="B1228" s="9" t="s">
        <v>2201</v>
      </c>
      <c r="C1228" s="9" t="str">
        <f t="array" ref="C1228">INDEX(Funciones!$G$2:$G$372,MATCH($A1228,Funciones!$B$2:$B$372,0))</f>
        <v>Regular la altura de caja con tolerancia de ±_____ mm</v>
      </c>
      <c r="D1228" s="9" t="s">
        <v>4538</v>
      </c>
      <c r="E1228" s="9" t="s">
        <v>3705</v>
      </c>
      <c r="F1228" s="9" t="s">
        <v>4539</v>
      </c>
      <c r="G1228" s="9" t="s">
        <v>4540</v>
      </c>
      <c r="H1228" s="18" t="str">
        <f t="array" ref="H1228">_xlfn.XLOOKUP(E:E,'Calificación consecuencia'!B:B,'Calificación consecuencia'!K:K,"No encontrada",2)</f>
        <v>Media</v>
      </c>
      <c r="I1228" s="9" t="s">
        <v>113</v>
      </c>
      <c r="J1228" s="22" t="s">
        <v>120</v>
      </c>
      <c r="K1228" s="20" t="s">
        <v>116</v>
      </c>
      <c r="L1228" s="21"/>
      <c r="M1228" s="21"/>
      <c r="N1228" s="21"/>
      <c r="O1228" s="21"/>
      <c r="P1228" s="21"/>
      <c r="Q1228" s="21"/>
      <c r="R1228" s="21"/>
      <c r="S1228" s="21"/>
      <c r="T1228" s="21"/>
      <c r="U1228" s="9" t="s">
        <v>439</v>
      </c>
      <c r="V1228" s="9" t="s">
        <v>440</v>
      </c>
    </row>
    <row r="1229" ht="14.25" customHeight="1">
      <c r="A1229" s="9" t="s">
        <v>2202</v>
      </c>
      <c r="B1229" s="9" t="s">
        <v>2201</v>
      </c>
      <c r="C1229" s="9" t="str">
        <f t="array" ref="C1229">INDEX(Funciones!$G$2:$G$372,MATCH($A1229,Funciones!$B$2:$B$372,0))</f>
        <v>Regular la altura de caja con tolerancia de ±_____ mm</v>
      </c>
      <c r="D1229" s="9" t="s">
        <v>4541</v>
      </c>
      <c r="E1229" s="9" t="s">
        <v>3706</v>
      </c>
      <c r="F1229" s="9" t="s">
        <v>4542</v>
      </c>
      <c r="G1229" s="9" t="s">
        <v>4543</v>
      </c>
      <c r="H1229" s="18" t="str">
        <f t="array" ref="H1229">_xlfn.XLOOKUP(E:E,'Calificación consecuencia'!B:B,'Calificación consecuencia'!K:K,"No encontrada",2)</f>
        <v>Media</v>
      </c>
      <c r="I1229" s="9" t="s">
        <v>339</v>
      </c>
      <c r="J1229" s="22" t="s">
        <v>120</v>
      </c>
      <c r="K1229" s="20" t="s">
        <v>116</v>
      </c>
      <c r="L1229" s="21"/>
      <c r="M1229" s="21"/>
      <c r="N1229" s="21"/>
      <c r="O1229" s="21"/>
      <c r="P1229" s="21"/>
      <c r="Q1229" s="21"/>
      <c r="R1229" s="21"/>
      <c r="S1229" s="21"/>
      <c r="T1229" s="21"/>
      <c r="U1229" s="9" t="s">
        <v>439</v>
      </c>
      <c r="V1229" s="9" t="s">
        <v>440</v>
      </c>
    </row>
    <row r="1230" ht="14.25" customHeight="1">
      <c r="A1230" s="9" t="s">
        <v>2202</v>
      </c>
      <c r="B1230" s="9" t="s">
        <v>2201</v>
      </c>
      <c r="C1230" s="9" t="str">
        <f t="array" ref="C1230">INDEX(Funciones!$G$2:$G$372,MATCH($A1230,Funciones!$B$2:$B$372,0))</f>
        <v>Regular la altura de caja con tolerancia de ±_____ mm</v>
      </c>
      <c r="D1230" s="9" t="s">
        <v>4541</v>
      </c>
      <c r="E1230" s="9" t="s">
        <v>3708</v>
      </c>
      <c r="F1230" s="9" t="s">
        <v>4544</v>
      </c>
      <c r="G1230" s="9" t="s">
        <v>4545</v>
      </c>
      <c r="H1230" s="18" t="str">
        <f t="array" ref="H1230">_xlfn.XLOOKUP(E:E,'Calificación consecuencia'!B:B,'Calificación consecuencia'!K:K,"No encontrada",2)</f>
        <v>Media</v>
      </c>
      <c r="I1230" s="9" t="s">
        <v>339</v>
      </c>
      <c r="J1230" s="22" t="s">
        <v>120</v>
      </c>
      <c r="K1230" s="20" t="s">
        <v>116</v>
      </c>
      <c r="L1230" s="21"/>
      <c r="M1230" s="21"/>
      <c r="N1230" s="21"/>
      <c r="O1230" s="21"/>
      <c r="P1230" s="21"/>
      <c r="Q1230" s="21"/>
      <c r="R1230" s="21"/>
      <c r="S1230" s="21"/>
      <c r="T1230" s="21"/>
      <c r="U1230" s="9" t="s">
        <v>439</v>
      </c>
      <c r="V1230" s="9" t="s">
        <v>440</v>
      </c>
    </row>
    <row r="1231" ht="14.25" customHeight="1">
      <c r="A1231" s="9" t="s">
        <v>2202</v>
      </c>
      <c r="B1231" s="9" t="s">
        <v>2201</v>
      </c>
      <c r="C1231" s="9" t="str">
        <f t="array" ref="C1231">INDEX(Funciones!$G$2:$G$372,MATCH($A1231,Funciones!$B$2:$B$372,0))</f>
        <v>Regular la altura de caja con tolerancia de ±_____ mm</v>
      </c>
      <c r="D1231" s="9" t="s">
        <v>4546</v>
      </c>
      <c r="E1231" s="9" t="s">
        <v>3710</v>
      </c>
      <c r="F1231" s="9" t="s">
        <v>4547</v>
      </c>
      <c r="G1231" s="9" t="s">
        <v>4545</v>
      </c>
      <c r="H1231" s="18" t="str">
        <f t="array" ref="H1231">_xlfn.XLOOKUP(E:E,'Calificación consecuencia'!B:B,'Calificación consecuencia'!K:K,"No encontrada",2)</f>
        <v>Media</v>
      </c>
      <c r="I1231" s="9" t="s">
        <v>339</v>
      </c>
      <c r="J1231" s="22" t="s">
        <v>120</v>
      </c>
      <c r="K1231" s="20" t="s">
        <v>116</v>
      </c>
      <c r="L1231" s="21"/>
      <c r="M1231" s="21"/>
      <c r="N1231" s="21"/>
      <c r="O1231" s="21"/>
      <c r="P1231" s="21"/>
      <c r="Q1231" s="21"/>
      <c r="R1231" s="21"/>
      <c r="S1231" s="21"/>
      <c r="T1231" s="21"/>
      <c r="U1231" s="9" t="s">
        <v>439</v>
      </c>
      <c r="V1231" s="9" t="s">
        <v>440</v>
      </c>
    </row>
    <row r="1232" ht="14.25" customHeight="1">
      <c r="A1232" s="27" t="s">
        <v>2214</v>
      </c>
      <c r="B1232" s="27" t="s">
        <v>2201</v>
      </c>
      <c r="C1232" s="27" t="str">
        <f t="array" ref="C1232">INDEX(Funciones!$G$2:$G$372,MATCH($A1232,Funciones!$B$2:$B$372,0))</f>
        <v>Igualar la presión de resortes con diferencia máxima de 1,5 bar</v>
      </c>
      <c r="D1232" s="27" t="s">
        <v>4548</v>
      </c>
      <c r="E1232" s="27" t="s">
        <v>3711</v>
      </c>
      <c r="F1232" s="27" t="s">
        <v>4549</v>
      </c>
      <c r="G1232" s="27" t="s">
        <v>4550</v>
      </c>
      <c r="H1232" s="18" t="str">
        <f t="array" ref="H1232">_xlfn.XLOOKUP(E:E,'Calificación consecuencia'!B:B,'Calificación consecuencia'!K:K,"No encontrada",2)</f>
        <v>Media</v>
      </c>
      <c r="I1232" s="27" t="s">
        <v>113</v>
      </c>
      <c r="J1232" s="29" t="s">
        <v>120</v>
      </c>
      <c r="K1232" s="30" t="s">
        <v>116</v>
      </c>
      <c r="L1232" s="21"/>
      <c r="M1232" s="21"/>
      <c r="N1232" s="21"/>
      <c r="O1232" s="21"/>
      <c r="P1232" s="21"/>
      <c r="Q1232" s="21"/>
      <c r="R1232" s="21"/>
      <c r="S1232" s="21"/>
      <c r="T1232" s="21"/>
      <c r="U1232" s="27" t="s">
        <v>439</v>
      </c>
      <c r="V1232" s="27" t="s">
        <v>440</v>
      </c>
    </row>
    <row r="1233" ht="14.25" customHeight="1">
      <c r="A1233" s="27" t="s">
        <v>2214</v>
      </c>
      <c r="B1233" s="27" t="s">
        <v>2201</v>
      </c>
      <c r="C1233" s="27" t="str">
        <f t="array" ref="C1233">INDEX(Funciones!$G$2:$G$372,MATCH($A1233,Funciones!$B$2:$B$372,0))</f>
        <v>Igualar la presión de resortes con diferencia máxima de 1,5 bar</v>
      </c>
      <c r="D1233" s="27" t="s">
        <v>4551</v>
      </c>
      <c r="E1233" s="27" t="s">
        <v>3712</v>
      </c>
      <c r="F1233" s="27" t="s">
        <v>4552</v>
      </c>
      <c r="G1233" s="27" t="s">
        <v>4553</v>
      </c>
      <c r="H1233" s="18" t="str">
        <f t="array" ref="H1233">_xlfn.XLOOKUP(E:E,'Calificación consecuencia'!B:B,'Calificación consecuencia'!K:K,"No encontrada",2)</f>
        <v>Media</v>
      </c>
      <c r="I1233" s="27" t="s">
        <v>339</v>
      </c>
      <c r="J1233" s="29" t="s">
        <v>120</v>
      </c>
      <c r="K1233" s="30" t="s">
        <v>116</v>
      </c>
      <c r="L1233" s="21"/>
      <c r="M1233" s="21"/>
      <c r="N1233" s="21"/>
      <c r="O1233" s="21"/>
      <c r="P1233" s="21"/>
      <c r="Q1233" s="21"/>
      <c r="R1233" s="21"/>
      <c r="S1233" s="21"/>
      <c r="T1233" s="21"/>
      <c r="U1233" s="27" t="s">
        <v>439</v>
      </c>
      <c r="V1233" s="27" t="s">
        <v>440</v>
      </c>
    </row>
    <row r="1234" ht="14.25" customHeight="1">
      <c r="A1234" s="27" t="s">
        <v>2214</v>
      </c>
      <c r="B1234" s="27" t="s">
        <v>2201</v>
      </c>
      <c r="C1234" s="27" t="str">
        <f t="array" ref="C1234">INDEX(Funciones!$G$2:$G$372,MATCH($A1234,Funciones!$B$2:$B$372,0))</f>
        <v>Igualar la presión de resortes con diferencia máxima de 1,5 bar</v>
      </c>
      <c r="D1234" s="27" t="s">
        <v>4551</v>
      </c>
      <c r="E1234" s="27" t="s">
        <v>3713</v>
      </c>
      <c r="F1234" s="27" t="s">
        <v>4554</v>
      </c>
      <c r="G1234" s="27" t="s">
        <v>4555</v>
      </c>
      <c r="H1234" s="18" t="str">
        <f t="array" ref="H1234">_xlfn.XLOOKUP(E:E,'Calificación consecuencia'!B:B,'Calificación consecuencia'!K:K,"No encontrada",2)</f>
        <v>Media</v>
      </c>
      <c r="I1234" s="27" t="s">
        <v>339</v>
      </c>
      <c r="J1234" s="29" t="s">
        <v>120</v>
      </c>
      <c r="K1234" s="30" t="s">
        <v>116</v>
      </c>
      <c r="L1234" s="21"/>
      <c r="M1234" s="21"/>
      <c r="N1234" s="21"/>
      <c r="O1234" s="21"/>
      <c r="P1234" s="21"/>
      <c r="Q1234" s="21"/>
      <c r="R1234" s="21"/>
      <c r="S1234" s="21"/>
      <c r="T1234" s="21"/>
      <c r="U1234" s="27" t="s">
        <v>439</v>
      </c>
      <c r="V1234" s="27" t="s">
        <v>440</v>
      </c>
    </row>
    <row r="1235" ht="14.25" customHeight="1">
      <c r="A1235" s="9" t="s">
        <v>2223</v>
      </c>
      <c r="B1235" s="9" t="s">
        <v>2221</v>
      </c>
      <c r="C1235" s="9" t="str">
        <f t="array" ref="C1235">INDEX(Funciones!$G$2:$G$372,MATCH($A1235,Funciones!$B$2:$B$372,0))</f>
        <v>Impedir el retorno de aire con presión de apertura de _____ bar</v>
      </c>
      <c r="D1235" s="9" t="s">
        <v>4556</v>
      </c>
      <c r="E1235" s="9" t="s">
        <v>3714</v>
      </c>
      <c r="F1235" s="9" t="s">
        <v>4557</v>
      </c>
      <c r="G1235" s="9" t="s">
        <v>4558</v>
      </c>
      <c r="H1235" s="18" t="str">
        <f t="array" ref="H1235">_xlfn.XLOOKUP(E:E,'Calificación consecuencia'!B:B,'Calificación consecuencia'!K:K,"No encontrada",2)</f>
        <v>Baja</v>
      </c>
      <c r="I1235" s="9" t="s">
        <v>425</v>
      </c>
      <c r="J1235" s="22" t="s">
        <v>120</v>
      </c>
      <c r="K1235" s="20" t="s">
        <v>116</v>
      </c>
      <c r="L1235" s="21"/>
      <c r="M1235" s="21"/>
      <c r="N1235" s="21"/>
      <c r="O1235" s="21"/>
      <c r="P1235" s="21"/>
      <c r="Q1235" s="21"/>
      <c r="R1235" s="21"/>
      <c r="S1235" s="21"/>
      <c r="T1235" s="21"/>
      <c r="U1235" s="9" t="s">
        <v>439</v>
      </c>
      <c r="V1235" s="9" t="s">
        <v>440</v>
      </c>
    </row>
    <row r="1236" ht="14.25" customHeight="1">
      <c r="A1236" s="9" t="s">
        <v>2223</v>
      </c>
      <c r="B1236" s="9" t="s">
        <v>2221</v>
      </c>
      <c r="C1236" s="9" t="str">
        <f t="array" ref="C1236">INDEX(Funciones!$G$2:$G$372,MATCH($A1236,Funciones!$B$2:$B$372,0))</f>
        <v>Impedir el retorno de aire con presión de apertura de _____ bar</v>
      </c>
      <c r="D1236" s="9" t="s">
        <v>4559</v>
      </c>
      <c r="E1236" s="9" t="s">
        <v>3715</v>
      </c>
      <c r="F1236" s="9" t="s">
        <v>4560</v>
      </c>
      <c r="G1236" s="9" t="s">
        <v>4561</v>
      </c>
      <c r="H1236" s="18" t="str">
        <f t="array" ref="H1236">_xlfn.XLOOKUP(E:E,'Calificación consecuencia'!B:B,'Calificación consecuencia'!K:K,"No encontrada",2)</f>
        <v>Baja</v>
      </c>
      <c r="I1236" s="9" t="s">
        <v>1800</v>
      </c>
      <c r="J1236" s="22" t="s">
        <v>120</v>
      </c>
      <c r="K1236" s="20" t="s">
        <v>116</v>
      </c>
      <c r="L1236" s="21"/>
      <c r="M1236" s="21"/>
      <c r="N1236" s="21"/>
      <c r="O1236" s="21"/>
      <c r="P1236" s="21"/>
      <c r="Q1236" s="21"/>
      <c r="R1236" s="21"/>
      <c r="S1236" s="21"/>
      <c r="T1236" s="21"/>
      <c r="U1236" s="9" t="s">
        <v>439</v>
      </c>
      <c r="V1236" s="9" t="s">
        <v>440</v>
      </c>
    </row>
    <row r="1237" ht="14.25" customHeight="1">
      <c r="A1237" s="27" t="s">
        <v>2236</v>
      </c>
      <c r="B1237" s="27" t="s">
        <v>2235</v>
      </c>
      <c r="C1237" s="27" t="str">
        <f t="array" ref="C1237">INDEX(Funciones!$G$2:$G$372,MATCH($A1237,Funciones!$B$2:$B$372,0))</f>
        <v>Conmutar el compresor por presión entre _____ y _____ bar</v>
      </c>
      <c r="D1237" s="27" t="s">
        <v>4562</v>
      </c>
      <c r="E1237" s="27" t="s">
        <v>3716</v>
      </c>
      <c r="F1237" s="27" t="s">
        <v>4563</v>
      </c>
      <c r="G1237" s="27" t="s">
        <v>4564</v>
      </c>
      <c r="H1237" s="18" t="str">
        <f t="array" ref="H1237">_xlfn.XLOOKUP(E:E,'Calificación consecuencia'!B:B,'Calificación consecuencia'!K:K,"No encontrada",2)</f>
        <v>Baja</v>
      </c>
      <c r="I1237" s="27" t="s">
        <v>425</v>
      </c>
      <c r="J1237" s="29" t="s">
        <v>120</v>
      </c>
      <c r="K1237" s="30" t="s">
        <v>116</v>
      </c>
      <c r="L1237" s="21"/>
      <c r="M1237" s="21"/>
      <c r="N1237" s="21"/>
      <c r="O1237" s="21"/>
      <c r="P1237" s="21"/>
      <c r="Q1237" s="21"/>
      <c r="R1237" s="21"/>
      <c r="S1237" s="21"/>
      <c r="T1237" s="21"/>
      <c r="U1237" s="27" t="s">
        <v>439</v>
      </c>
      <c r="V1237" s="27" t="s">
        <v>440</v>
      </c>
    </row>
    <row r="1238" ht="14.25" customHeight="1">
      <c r="A1238" s="27" t="s">
        <v>2236</v>
      </c>
      <c r="B1238" s="27" t="s">
        <v>2235</v>
      </c>
      <c r="C1238" s="27" t="str">
        <f t="array" ref="C1238">INDEX(Funciones!$G$2:$G$372,MATCH($A1238,Funciones!$B$2:$B$372,0))</f>
        <v>Conmutar el compresor por presión entre _____ y _____ bar</v>
      </c>
      <c r="D1238" s="27" t="s">
        <v>4565</v>
      </c>
      <c r="E1238" s="27" t="s">
        <v>3718</v>
      </c>
      <c r="F1238" s="27" t="s">
        <v>4566</v>
      </c>
      <c r="G1238" s="27" t="s">
        <v>4567</v>
      </c>
      <c r="H1238" s="18" t="str">
        <f t="array" ref="H1238">_xlfn.XLOOKUP(E:E,'Calificación consecuencia'!B:B,'Calificación consecuencia'!K:K,"No encontrada",2)</f>
        <v>Baja</v>
      </c>
      <c r="I1238" s="27" t="s">
        <v>2106</v>
      </c>
      <c r="J1238" s="29" t="s">
        <v>120</v>
      </c>
      <c r="K1238" s="30" t="s">
        <v>116</v>
      </c>
      <c r="L1238" s="21"/>
      <c r="M1238" s="21"/>
      <c r="N1238" s="21"/>
      <c r="O1238" s="21"/>
      <c r="P1238" s="21"/>
      <c r="Q1238" s="21"/>
      <c r="R1238" s="21"/>
      <c r="S1238" s="21"/>
      <c r="T1238" s="21"/>
      <c r="U1238" s="27" t="s">
        <v>439</v>
      </c>
      <c r="V1238" s="27" t="s">
        <v>440</v>
      </c>
    </row>
    <row r="1239" ht="14.25" customHeight="1">
      <c r="A1239" s="27" t="s">
        <v>2236</v>
      </c>
      <c r="B1239" s="27" t="s">
        <v>2235</v>
      </c>
      <c r="C1239" s="27" t="str">
        <f t="array" ref="C1239">INDEX(Funciones!$G$2:$G$372,MATCH($A1239,Funciones!$B$2:$B$372,0))</f>
        <v>Conmutar el compresor por presión entre _____ y _____ bar</v>
      </c>
      <c r="D1239" s="27" t="s">
        <v>4565</v>
      </c>
      <c r="E1239" s="27" t="s">
        <v>3719</v>
      </c>
      <c r="F1239" s="27" t="s">
        <v>4568</v>
      </c>
      <c r="G1239" s="27" t="s">
        <v>4567</v>
      </c>
      <c r="H1239" s="18" t="str">
        <f t="array" ref="H1239">_xlfn.XLOOKUP(E:E,'Calificación consecuencia'!B:B,'Calificación consecuencia'!K:K,"No encontrada",2)</f>
        <v>Baja</v>
      </c>
      <c r="I1239" s="27" t="s">
        <v>2106</v>
      </c>
      <c r="J1239" s="29" t="s">
        <v>120</v>
      </c>
      <c r="K1239" s="30" t="s">
        <v>116</v>
      </c>
      <c r="L1239" s="21"/>
      <c r="M1239" s="21"/>
      <c r="N1239" s="21"/>
      <c r="O1239" s="21"/>
      <c r="P1239" s="21"/>
      <c r="Q1239" s="21"/>
      <c r="R1239" s="21"/>
      <c r="S1239" s="21"/>
      <c r="T1239" s="21"/>
      <c r="U1239" s="27" t="s">
        <v>439</v>
      </c>
      <c r="V1239" s="27" t="s">
        <v>440</v>
      </c>
    </row>
    <row r="1240" ht="14.25" customHeight="1">
      <c r="A1240" s="27" t="s">
        <v>2236</v>
      </c>
      <c r="B1240" s="27" t="s">
        <v>2235</v>
      </c>
      <c r="C1240" s="27" t="str">
        <f t="array" ref="C1240">INDEX(Funciones!$G$2:$G$372,MATCH($A1240,Funciones!$B$2:$B$372,0))</f>
        <v>Conmutar el compresor por presión entre _____ y _____ bar</v>
      </c>
      <c r="D1240" s="27" t="s">
        <v>4569</v>
      </c>
      <c r="E1240" s="27" t="s">
        <v>3720</v>
      </c>
      <c r="F1240" s="27" t="s">
        <v>4570</v>
      </c>
      <c r="G1240" s="27" t="s">
        <v>4567</v>
      </c>
      <c r="H1240" s="18" t="str">
        <f t="array" ref="H1240">_xlfn.XLOOKUP(E:E,'Calificación consecuencia'!B:B,'Calificación consecuencia'!K:K,"No encontrada",2)</f>
        <v>Baja</v>
      </c>
      <c r="I1240" s="27" t="s">
        <v>2106</v>
      </c>
      <c r="J1240" s="29" t="s">
        <v>120</v>
      </c>
      <c r="K1240" s="30" t="s">
        <v>116</v>
      </c>
      <c r="L1240" s="21"/>
      <c r="M1240" s="21"/>
      <c r="N1240" s="21"/>
      <c r="O1240" s="21"/>
      <c r="P1240" s="21"/>
      <c r="Q1240" s="21"/>
      <c r="R1240" s="21"/>
      <c r="S1240" s="21"/>
      <c r="T1240" s="21"/>
      <c r="U1240" s="27" t="s">
        <v>439</v>
      </c>
      <c r="V1240" s="27" t="s">
        <v>440</v>
      </c>
    </row>
    <row r="1241" ht="14.25" customHeight="1">
      <c r="A1241" s="9" t="s">
        <v>2248</v>
      </c>
      <c r="B1241" s="9" t="s">
        <v>2235</v>
      </c>
      <c r="C1241" s="9" t="str">
        <f t="array" ref="C1241">INDEX(Funciones!$G$2:$G$372,MATCH($A1241,Funciones!$B$2:$B$372,0))</f>
        <v>Almacenar el aire comprimido hasta _____ L</v>
      </c>
      <c r="D1241" s="9" t="s">
        <v>4571</v>
      </c>
      <c r="E1241" s="9" t="s">
        <v>3721</v>
      </c>
      <c r="F1241" s="9" t="s">
        <v>4572</v>
      </c>
      <c r="G1241" s="9" t="s">
        <v>1929</v>
      </c>
      <c r="H1241" s="18" t="str">
        <f t="array" ref="H1241">_xlfn.XLOOKUP(E:E,'Calificación consecuencia'!B:B,'Calificación consecuencia'!K:K,"No encontrada",2)</f>
        <v>Media</v>
      </c>
      <c r="I1241" s="9" t="s">
        <v>425</v>
      </c>
      <c r="J1241" s="20" t="s">
        <v>116</v>
      </c>
      <c r="K1241" s="21"/>
      <c r="L1241" s="21"/>
      <c r="M1241" s="20" t="s">
        <v>116</v>
      </c>
      <c r="N1241" s="20" t="s">
        <v>116</v>
      </c>
      <c r="O1241" s="21"/>
      <c r="P1241" s="21"/>
      <c r="Q1241" s="21"/>
      <c r="R1241" s="21"/>
      <c r="S1241" s="21"/>
      <c r="T1241" s="21"/>
      <c r="U1241" s="9" t="s">
        <v>195</v>
      </c>
      <c r="V1241" s="9" t="s">
        <v>196</v>
      </c>
    </row>
    <row r="1242" ht="14.25" customHeight="1">
      <c r="A1242" s="9" t="s">
        <v>2248</v>
      </c>
      <c r="B1242" s="9" t="s">
        <v>2235</v>
      </c>
      <c r="C1242" s="9" t="str">
        <f t="array" ref="C1242">INDEX(Funciones!$G$2:$G$372,MATCH($A1242,Funciones!$B$2:$B$372,0))</f>
        <v>Almacenar el aire comprimido hasta _____ L</v>
      </c>
      <c r="D1242" s="9" t="s">
        <v>4573</v>
      </c>
      <c r="E1242" s="9" t="s">
        <v>808</v>
      </c>
      <c r="F1242" s="9" t="s">
        <v>4574</v>
      </c>
      <c r="G1242" s="9" t="s">
        <v>1975</v>
      </c>
      <c r="H1242" s="18" t="str">
        <f t="array" ref="H1242">_xlfn.XLOOKUP(E:E,'Calificación consecuencia'!B:B,'Calificación consecuencia'!K:K,"No encontrada",2)</f>
        <v>Baja</v>
      </c>
      <c r="I1242" s="9" t="s">
        <v>425</v>
      </c>
      <c r="J1242" s="20" t="s">
        <v>116</v>
      </c>
      <c r="K1242" s="21"/>
      <c r="L1242" s="21"/>
      <c r="M1242" s="20" t="s">
        <v>116</v>
      </c>
      <c r="N1242" s="20" t="s">
        <v>116</v>
      </c>
      <c r="O1242" s="21"/>
      <c r="P1242" s="21"/>
      <c r="Q1242" s="21"/>
      <c r="R1242" s="21"/>
      <c r="S1242" s="21"/>
      <c r="T1242" s="21"/>
      <c r="U1242" s="9" t="s">
        <v>195</v>
      </c>
      <c r="V1242" s="9" t="s">
        <v>196</v>
      </c>
    </row>
    <row r="1243" ht="14.25" customHeight="1">
      <c r="A1243" s="9" t="s">
        <v>2248</v>
      </c>
      <c r="B1243" s="9" t="s">
        <v>2235</v>
      </c>
      <c r="C1243" s="9" t="str">
        <f t="array" ref="C1243">INDEX(Funciones!$G$2:$G$372,MATCH($A1243,Funciones!$B$2:$B$372,0))</f>
        <v>Almacenar el aire comprimido hasta _____ L</v>
      </c>
      <c r="D1243" s="9" t="s">
        <v>4573</v>
      </c>
      <c r="E1243" s="9" t="s">
        <v>3722</v>
      </c>
      <c r="F1243" s="9" t="s">
        <v>4575</v>
      </c>
      <c r="G1243" s="9" t="s">
        <v>4576</v>
      </c>
      <c r="H1243" s="18" t="str">
        <f t="array" ref="H1243">_xlfn.XLOOKUP(E:E,'Calificación consecuencia'!B:B,'Calificación consecuencia'!K:K,"No encontrada",2)</f>
        <v>Media</v>
      </c>
      <c r="I1243" s="9" t="s">
        <v>425</v>
      </c>
      <c r="J1243" s="20" t="s">
        <v>116</v>
      </c>
      <c r="K1243" s="21"/>
      <c r="L1243" s="21"/>
      <c r="M1243" s="20" t="s">
        <v>116</v>
      </c>
      <c r="N1243" s="20" t="s">
        <v>116</v>
      </c>
      <c r="O1243" s="21"/>
      <c r="P1243" s="21"/>
      <c r="Q1243" s="21"/>
      <c r="R1243" s="21"/>
      <c r="S1243" s="21"/>
      <c r="T1243" s="21"/>
      <c r="U1243" s="9" t="s">
        <v>195</v>
      </c>
      <c r="V1243" s="9" t="s">
        <v>196</v>
      </c>
    </row>
    <row r="1244" ht="14.25" customHeight="1">
      <c r="A1244" s="27" t="s">
        <v>2257</v>
      </c>
      <c r="B1244" s="27" t="s">
        <v>2235</v>
      </c>
      <c r="C1244" s="27" t="str">
        <f t="array" ref="C1244">INDEX(Funciones!$G$2:$G$372,MATCH($A1244,Funciones!$B$2:$B$372,0))</f>
        <v>Aliviar la sobrepresión a presión de tarado de _____ bar</v>
      </c>
      <c r="D1244" s="27" t="s">
        <v>4577</v>
      </c>
      <c r="E1244" s="27" t="s">
        <v>3723</v>
      </c>
      <c r="F1244" s="27" t="s">
        <v>4578</v>
      </c>
      <c r="G1244" s="27" t="s">
        <v>4579</v>
      </c>
      <c r="H1244" s="18" t="str">
        <f t="array" ref="H1244">_xlfn.XLOOKUP(E:E,'Calificación consecuencia'!B:B,'Calificación consecuencia'!K:K,"No encontrada",2)</f>
        <v>Media</v>
      </c>
      <c r="I1244" s="27" t="s">
        <v>425</v>
      </c>
      <c r="J1244" s="29" t="s">
        <v>120</v>
      </c>
      <c r="K1244" s="30" t="s">
        <v>116</v>
      </c>
      <c r="L1244" s="21"/>
      <c r="M1244" s="21"/>
      <c r="N1244" s="21"/>
      <c r="O1244" s="21"/>
      <c r="P1244" s="21"/>
      <c r="Q1244" s="21"/>
      <c r="R1244" s="21"/>
      <c r="S1244" s="21"/>
      <c r="T1244" s="21"/>
      <c r="U1244" s="27" t="s">
        <v>439</v>
      </c>
      <c r="V1244" s="27" t="s">
        <v>440</v>
      </c>
    </row>
    <row r="1245" ht="14.25" customHeight="1">
      <c r="A1245" s="27" t="s">
        <v>2257</v>
      </c>
      <c r="B1245" s="27" t="s">
        <v>2235</v>
      </c>
      <c r="C1245" s="27" t="str">
        <f t="array" ref="C1245">INDEX(Funciones!$G$2:$G$372,MATCH($A1245,Funciones!$B$2:$B$372,0))</f>
        <v>Aliviar la sobrepresión a presión de tarado de _____ bar</v>
      </c>
      <c r="D1245" s="27" t="s">
        <v>4580</v>
      </c>
      <c r="E1245" s="27" t="s">
        <v>3727</v>
      </c>
      <c r="F1245" s="27" t="s">
        <v>4581</v>
      </c>
      <c r="G1245" s="27" t="s">
        <v>4582</v>
      </c>
      <c r="H1245" s="18" t="str">
        <f t="array" ref="H1245">_xlfn.XLOOKUP(E:E,'Calificación consecuencia'!B:B,'Calificación consecuencia'!K:K,"No encontrada",2)</f>
        <v>Baja</v>
      </c>
      <c r="I1245" s="27" t="s">
        <v>425</v>
      </c>
      <c r="J1245" s="29" t="s">
        <v>120</v>
      </c>
      <c r="K1245" s="30" t="s">
        <v>116</v>
      </c>
      <c r="L1245" s="21"/>
      <c r="M1245" s="21"/>
      <c r="N1245" s="21"/>
      <c r="O1245" s="21"/>
      <c r="P1245" s="21"/>
      <c r="Q1245" s="21"/>
      <c r="R1245" s="21"/>
      <c r="S1245" s="21"/>
      <c r="T1245" s="21"/>
      <c r="U1245" s="27" t="s">
        <v>439</v>
      </c>
      <c r="V1245" s="27" t="s">
        <v>440</v>
      </c>
    </row>
    <row r="1246" ht="14.25" customHeight="1">
      <c r="A1246" s="27" t="s">
        <v>2257</v>
      </c>
      <c r="B1246" s="27" t="s">
        <v>2235</v>
      </c>
      <c r="C1246" s="27" t="str">
        <f t="array" ref="C1246">INDEX(Funciones!$G$2:$G$372,MATCH($A1246,Funciones!$B$2:$B$372,0))</f>
        <v>Aliviar la sobrepresión a presión de tarado de _____ bar</v>
      </c>
      <c r="D1246" s="27" t="s">
        <v>4583</v>
      </c>
      <c r="E1246" s="27" t="s">
        <v>3728</v>
      </c>
      <c r="F1246" s="27" t="s">
        <v>4584</v>
      </c>
      <c r="G1246" s="27" t="s">
        <v>4582</v>
      </c>
      <c r="H1246" s="18" t="str">
        <f t="array" ref="H1246">_xlfn.XLOOKUP(E:E,'Calificación consecuencia'!B:B,'Calificación consecuencia'!K:K,"No encontrada",2)</f>
        <v>Media</v>
      </c>
      <c r="I1246" s="27" t="s">
        <v>425</v>
      </c>
      <c r="J1246" s="29" t="s">
        <v>120</v>
      </c>
      <c r="K1246" s="30" t="s">
        <v>116</v>
      </c>
      <c r="L1246" s="21"/>
      <c r="M1246" s="21"/>
      <c r="N1246" s="21"/>
      <c r="O1246" s="21"/>
      <c r="P1246" s="21"/>
      <c r="Q1246" s="21"/>
      <c r="R1246" s="21"/>
      <c r="S1246" s="21"/>
      <c r="T1246" s="21"/>
      <c r="U1246" s="27" t="s">
        <v>439</v>
      </c>
      <c r="V1246" s="27" t="s">
        <v>440</v>
      </c>
    </row>
    <row r="1247" ht="14.25" customHeight="1">
      <c r="A1247" s="9" t="s">
        <v>2266</v>
      </c>
      <c r="B1247" s="9" t="s">
        <v>2265</v>
      </c>
      <c r="C1247" s="9" t="str">
        <f t="array" ref="C1247">INDEX(Funciones!$G$2:$G$372,MATCH($A1247,Funciones!$B$2:$B$372,0))</f>
        <v>Almacenar el aire comprimido hasta _____ L</v>
      </c>
      <c r="D1247" s="9" t="s">
        <v>4571</v>
      </c>
      <c r="E1247" s="9" t="s">
        <v>3721</v>
      </c>
      <c r="F1247" s="9" t="s">
        <v>4572</v>
      </c>
      <c r="G1247" s="9" t="s">
        <v>1929</v>
      </c>
      <c r="H1247" s="18" t="str">
        <f t="array" ref="H1247">_xlfn.XLOOKUP(E:E,'Calificación consecuencia'!B:B,'Calificación consecuencia'!K:K,"No encontrada",2)</f>
        <v>Media</v>
      </c>
      <c r="I1247" s="9" t="s">
        <v>425</v>
      </c>
      <c r="J1247" s="20" t="s">
        <v>116</v>
      </c>
      <c r="K1247" s="21"/>
      <c r="L1247" s="21"/>
      <c r="M1247" s="20" t="s">
        <v>116</v>
      </c>
      <c r="N1247" s="20" t="s">
        <v>116</v>
      </c>
      <c r="O1247" s="21"/>
      <c r="P1247" s="21"/>
      <c r="Q1247" s="21"/>
      <c r="R1247" s="21"/>
      <c r="S1247" s="21"/>
      <c r="T1247" s="21"/>
      <c r="U1247" s="9" t="s">
        <v>195</v>
      </c>
      <c r="V1247" s="9" t="s">
        <v>196</v>
      </c>
    </row>
    <row r="1248" ht="14.25" customHeight="1">
      <c r="A1248" s="9" t="s">
        <v>2266</v>
      </c>
      <c r="B1248" s="9" t="s">
        <v>2265</v>
      </c>
      <c r="C1248" s="9" t="str">
        <f t="array" ref="C1248">INDEX(Funciones!$G$2:$G$372,MATCH($A1248,Funciones!$B$2:$B$372,0))</f>
        <v>Almacenar el aire comprimido hasta _____ L</v>
      </c>
      <c r="D1248" s="9" t="s">
        <v>4573</v>
      </c>
      <c r="E1248" s="9" t="s">
        <v>808</v>
      </c>
      <c r="F1248" s="9" t="s">
        <v>4574</v>
      </c>
      <c r="G1248" s="9" t="s">
        <v>1975</v>
      </c>
      <c r="H1248" s="18" t="str">
        <f t="array" ref="H1248">_xlfn.XLOOKUP(E:E,'Calificación consecuencia'!B:B,'Calificación consecuencia'!K:K,"No encontrada",2)</f>
        <v>Baja</v>
      </c>
      <c r="I1248" s="9" t="s">
        <v>425</v>
      </c>
      <c r="J1248" s="20" t="s">
        <v>116</v>
      </c>
      <c r="K1248" s="21"/>
      <c r="L1248" s="21"/>
      <c r="M1248" s="20" t="s">
        <v>116</v>
      </c>
      <c r="N1248" s="20" t="s">
        <v>116</v>
      </c>
      <c r="O1248" s="21"/>
      <c r="P1248" s="21"/>
      <c r="Q1248" s="21"/>
      <c r="R1248" s="21"/>
      <c r="S1248" s="21"/>
      <c r="T1248" s="21"/>
      <c r="U1248" s="9" t="s">
        <v>195</v>
      </c>
      <c r="V1248" s="9" t="s">
        <v>196</v>
      </c>
    </row>
    <row r="1249" ht="14.25" customHeight="1">
      <c r="A1249" s="9" t="s">
        <v>2266</v>
      </c>
      <c r="B1249" s="9" t="s">
        <v>2265</v>
      </c>
      <c r="C1249" s="9" t="str">
        <f t="array" ref="C1249">INDEX(Funciones!$G$2:$G$372,MATCH($A1249,Funciones!$B$2:$B$372,0))</f>
        <v>Almacenar el aire comprimido hasta _____ L</v>
      </c>
      <c r="D1249" s="9" t="s">
        <v>4573</v>
      </c>
      <c r="E1249" s="9" t="s">
        <v>3722</v>
      </c>
      <c r="F1249" s="9" t="s">
        <v>4575</v>
      </c>
      <c r="G1249" s="9" t="s">
        <v>4576</v>
      </c>
      <c r="H1249" s="18" t="str">
        <f t="array" ref="H1249">_xlfn.XLOOKUP(E:E,'Calificación consecuencia'!B:B,'Calificación consecuencia'!K:K,"No encontrada",2)</f>
        <v>Media</v>
      </c>
      <c r="I1249" s="9" t="s">
        <v>425</v>
      </c>
      <c r="J1249" s="20" t="s">
        <v>116</v>
      </c>
      <c r="K1249" s="21"/>
      <c r="L1249" s="21"/>
      <c r="M1249" s="20" t="s">
        <v>116</v>
      </c>
      <c r="N1249" s="20" t="s">
        <v>116</v>
      </c>
      <c r="O1249" s="21"/>
      <c r="P1249" s="21"/>
      <c r="Q1249" s="21"/>
      <c r="R1249" s="21"/>
      <c r="S1249" s="21"/>
      <c r="T1249" s="21"/>
      <c r="U1249" s="9" t="s">
        <v>195</v>
      </c>
      <c r="V1249" s="9" t="s">
        <v>196</v>
      </c>
    </row>
    <row r="1250" ht="14.25" customHeight="1">
      <c r="A1250" s="27" t="s">
        <v>2269</v>
      </c>
      <c r="B1250" s="27" t="s">
        <v>2265</v>
      </c>
      <c r="C1250" s="27" t="str">
        <f t="array" ref="C1250">INDEX(Funciones!$G$2:$G$372,MATCH($A1250,Funciones!$B$2:$B$372,0))</f>
        <v>Conmutar el compresor por presión entre _____ y _____ bar</v>
      </c>
      <c r="D1250" s="27" t="s">
        <v>4562</v>
      </c>
      <c r="E1250" s="27" t="s">
        <v>3716</v>
      </c>
      <c r="F1250" s="27" t="s">
        <v>4563</v>
      </c>
      <c r="G1250" s="27" t="s">
        <v>4564</v>
      </c>
      <c r="H1250" s="18" t="str">
        <f t="array" ref="H1250">_xlfn.XLOOKUP(E:E,'Calificación consecuencia'!B:B,'Calificación consecuencia'!K:K,"No encontrada",2)</f>
        <v>Baja</v>
      </c>
      <c r="I1250" s="27" t="s">
        <v>425</v>
      </c>
      <c r="J1250" s="29" t="s">
        <v>120</v>
      </c>
      <c r="K1250" s="30" t="s">
        <v>116</v>
      </c>
      <c r="L1250" s="21"/>
      <c r="M1250" s="21"/>
      <c r="N1250" s="21"/>
      <c r="O1250" s="21"/>
      <c r="P1250" s="21"/>
      <c r="Q1250" s="21"/>
      <c r="R1250" s="21"/>
      <c r="S1250" s="21"/>
      <c r="T1250" s="21"/>
      <c r="U1250" s="27" t="s">
        <v>439</v>
      </c>
      <c r="V1250" s="27" t="s">
        <v>440</v>
      </c>
    </row>
    <row r="1251" ht="14.25" customHeight="1">
      <c r="A1251" s="27" t="s">
        <v>2269</v>
      </c>
      <c r="B1251" s="27" t="s">
        <v>2265</v>
      </c>
      <c r="C1251" s="27" t="str">
        <f t="array" ref="C1251">INDEX(Funciones!$G$2:$G$372,MATCH($A1251,Funciones!$B$2:$B$372,0))</f>
        <v>Conmutar el compresor por presión entre _____ y _____ bar</v>
      </c>
      <c r="D1251" s="27" t="s">
        <v>4565</v>
      </c>
      <c r="E1251" s="27" t="s">
        <v>3718</v>
      </c>
      <c r="F1251" s="27" t="s">
        <v>4566</v>
      </c>
      <c r="G1251" s="27" t="s">
        <v>4567</v>
      </c>
      <c r="H1251" s="18" t="str">
        <f t="array" ref="H1251">_xlfn.XLOOKUP(E:E,'Calificación consecuencia'!B:B,'Calificación consecuencia'!K:K,"No encontrada",2)</f>
        <v>Baja</v>
      </c>
      <c r="I1251" s="27" t="s">
        <v>2106</v>
      </c>
      <c r="J1251" s="29" t="s">
        <v>120</v>
      </c>
      <c r="K1251" s="30" t="s">
        <v>116</v>
      </c>
      <c r="L1251" s="21"/>
      <c r="M1251" s="21"/>
      <c r="N1251" s="21"/>
      <c r="O1251" s="21"/>
      <c r="P1251" s="21"/>
      <c r="Q1251" s="21"/>
      <c r="R1251" s="21"/>
      <c r="S1251" s="21"/>
      <c r="T1251" s="21"/>
      <c r="U1251" s="27" t="s">
        <v>439</v>
      </c>
      <c r="V1251" s="27" t="s">
        <v>440</v>
      </c>
    </row>
    <row r="1252" ht="14.25" customHeight="1">
      <c r="A1252" s="27" t="s">
        <v>2269</v>
      </c>
      <c r="B1252" s="27" t="s">
        <v>2265</v>
      </c>
      <c r="C1252" s="27" t="str">
        <f t="array" ref="C1252">INDEX(Funciones!$G$2:$G$372,MATCH($A1252,Funciones!$B$2:$B$372,0))</f>
        <v>Conmutar el compresor por presión entre _____ y _____ bar</v>
      </c>
      <c r="D1252" s="27" t="s">
        <v>4565</v>
      </c>
      <c r="E1252" s="27" t="s">
        <v>3719</v>
      </c>
      <c r="F1252" s="27" t="s">
        <v>4568</v>
      </c>
      <c r="G1252" s="27" t="s">
        <v>4567</v>
      </c>
      <c r="H1252" s="18" t="str">
        <f t="array" ref="H1252">_xlfn.XLOOKUP(E:E,'Calificación consecuencia'!B:B,'Calificación consecuencia'!K:K,"No encontrada",2)</f>
        <v>Baja</v>
      </c>
      <c r="I1252" s="27" t="s">
        <v>2106</v>
      </c>
      <c r="J1252" s="29" t="s">
        <v>120</v>
      </c>
      <c r="K1252" s="30" t="s">
        <v>116</v>
      </c>
      <c r="L1252" s="21"/>
      <c r="M1252" s="21"/>
      <c r="N1252" s="21"/>
      <c r="O1252" s="21"/>
      <c r="P1252" s="21"/>
      <c r="Q1252" s="21"/>
      <c r="R1252" s="21"/>
      <c r="S1252" s="21"/>
      <c r="T1252" s="21"/>
      <c r="U1252" s="27" t="s">
        <v>439</v>
      </c>
      <c r="V1252" s="27" t="s">
        <v>440</v>
      </c>
    </row>
    <row r="1253" ht="14.25" customHeight="1">
      <c r="A1253" s="27" t="s">
        <v>2269</v>
      </c>
      <c r="B1253" s="27" t="s">
        <v>2265</v>
      </c>
      <c r="C1253" s="27" t="str">
        <f t="array" ref="C1253">INDEX(Funciones!$G$2:$G$372,MATCH($A1253,Funciones!$B$2:$B$372,0))</f>
        <v>Conmutar el compresor por presión entre _____ y _____ bar</v>
      </c>
      <c r="D1253" s="27" t="s">
        <v>4569</v>
      </c>
      <c r="E1253" s="27" t="s">
        <v>3720</v>
      </c>
      <c r="F1253" s="27" t="s">
        <v>4570</v>
      </c>
      <c r="G1253" s="27" t="s">
        <v>4567</v>
      </c>
      <c r="H1253" s="18" t="str">
        <f t="array" ref="H1253">_xlfn.XLOOKUP(E:E,'Calificación consecuencia'!B:B,'Calificación consecuencia'!K:K,"No encontrada",2)</f>
        <v>Baja</v>
      </c>
      <c r="I1253" s="27" t="s">
        <v>2106</v>
      </c>
      <c r="J1253" s="29" t="s">
        <v>120</v>
      </c>
      <c r="K1253" s="30" t="s">
        <v>116</v>
      </c>
      <c r="L1253" s="21"/>
      <c r="M1253" s="21"/>
      <c r="N1253" s="21"/>
      <c r="O1253" s="21"/>
      <c r="P1253" s="21"/>
      <c r="Q1253" s="21"/>
      <c r="R1253" s="21"/>
      <c r="S1253" s="21"/>
      <c r="T1253" s="21"/>
      <c r="U1253" s="27" t="s">
        <v>439</v>
      </c>
      <c r="V1253" s="27" t="s">
        <v>440</v>
      </c>
    </row>
    <row r="1254" ht="14.25" customHeight="1">
      <c r="A1254" s="9" t="s">
        <v>2272</v>
      </c>
      <c r="B1254" s="9" t="s">
        <v>2265</v>
      </c>
      <c r="C1254" s="9" t="str">
        <f t="array" ref="C1254">INDEX(Funciones!$G$2:$G$372,MATCH($A1254,Funciones!$B$2:$B$372,0))</f>
        <v>Aliviar la sobrepresión a presión de tarado de _____ bar</v>
      </c>
      <c r="D1254" s="9" t="s">
        <v>4577</v>
      </c>
      <c r="E1254" s="9" t="s">
        <v>3723</v>
      </c>
      <c r="F1254" s="9" t="s">
        <v>4578</v>
      </c>
      <c r="G1254" s="9" t="s">
        <v>4579</v>
      </c>
      <c r="H1254" s="18" t="str">
        <f t="array" ref="H1254">_xlfn.XLOOKUP(E:E,'Calificación consecuencia'!B:B,'Calificación consecuencia'!K:K,"No encontrada",2)</f>
        <v>Media</v>
      </c>
      <c r="I1254" s="9" t="s">
        <v>425</v>
      </c>
      <c r="J1254" s="22" t="s">
        <v>120</v>
      </c>
      <c r="K1254" s="20" t="s">
        <v>116</v>
      </c>
      <c r="L1254" s="21"/>
      <c r="M1254" s="21"/>
      <c r="N1254" s="21"/>
      <c r="O1254" s="21"/>
      <c r="P1254" s="21"/>
      <c r="Q1254" s="21"/>
      <c r="R1254" s="21"/>
      <c r="S1254" s="21"/>
      <c r="T1254" s="21"/>
      <c r="U1254" s="9" t="s">
        <v>439</v>
      </c>
      <c r="V1254" s="9" t="s">
        <v>440</v>
      </c>
    </row>
    <row r="1255" ht="14.25" customHeight="1">
      <c r="A1255" s="9" t="s">
        <v>2272</v>
      </c>
      <c r="B1255" s="9" t="s">
        <v>2265</v>
      </c>
      <c r="C1255" s="9" t="str">
        <f t="array" ref="C1255">INDEX(Funciones!$G$2:$G$372,MATCH($A1255,Funciones!$B$2:$B$372,0))</f>
        <v>Aliviar la sobrepresión a presión de tarado de _____ bar</v>
      </c>
      <c r="D1255" s="9" t="s">
        <v>4580</v>
      </c>
      <c r="E1255" s="9" t="s">
        <v>3727</v>
      </c>
      <c r="F1255" s="9" t="s">
        <v>4581</v>
      </c>
      <c r="G1255" s="9" t="s">
        <v>4582</v>
      </c>
      <c r="H1255" s="18" t="str">
        <f t="array" ref="H1255">_xlfn.XLOOKUP(E:E,'Calificación consecuencia'!B:B,'Calificación consecuencia'!K:K,"No encontrada",2)</f>
        <v>Baja</v>
      </c>
      <c r="I1255" s="9" t="s">
        <v>425</v>
      </c>
      <c r="J1255" s="22" t="s">
        <v>120</v>
      </c>
      <c r="K1255" s="20" t="s">
        <v>116</v>
      </c>
      <c r="L1255" s="21"/>
      <c r="M1255" s="21"/>
      <c r="N1255" s="21"/>
      <c r="O1255" s="21"/>
      <c r="P1255" s="21"/>
      <c r="Q1255" s="21"/>
      <c r="R1255" s="21"/>
      <c r="S1255" s="21"/>
      <c r="T1255" s="21"/>
      <c r="U1255" s="9" t="s">
        <v>439</v>
      </c>
      <c r="V1255" s="9" t="s">
        <v>440</v>
      </c>
    </row>
    <row r="1256" ht="14.25" customHeight="1">
      <c r="A1256" s="9" t="s">
        <v>2272</v>
      </c>
      <c r="B1256" s="9" t="s">
        <v>2265</v>
      </c>
      <c r="C1256" s="9" t="str">
        <f t="array" ref="C1256">INDEX(Funciones!$G$2:$G$372,MATCH($A1256,Funciones!$B$2:$B$372,0))</f>
        <v>Aliviar la sobrepresión a presión de tarado de _____ bar</v>
      </c>
      <c r="D1256" s="9" t="s">
        <v>4583</v>
      </c>
      <c r="E1256" s="9" t="s">
        <v>3728</v>
      </c>
      <c r="F1256" s="9" t="s">
        <v>4584</v>
      </c>
      <c r="G1256" s="9" t="s">
        <v>4582</v>
      </c>
      <c r="H1256" s="18" t="str">
        <f t="array" ref="H1256">_xlfn.XLOOKUP(E:E,'Calificación consecuencia'!B:B,'Calificación consecuencia'!K:K,"No encontrada",2)</f>
        <v>Media</v>
      </c>
      <c r="I1256" s="9" t="s">
        <v>425</v>
      </c>
      <c r="J1256" s="22" t="s">
        <v>120</v>
      </c>
      <c r="K1256" s="20" t="s">
        <v>116</v>
      </c>
      <c r="L1256" s="21"/>
      <c r="M1256" s="21"/>
      <c r="N1256" s="21"/>
      <c r="O1256" s="21"/>
      <c r="P1256" s="21"/>
      <c r="Q1256" s="21"/>
      <c r="R1256" s="21"/>
      <c r="S1256" s="21"/>
      <c r="T1256" s="21"/>
      <c r="U1256" s="9" t="s">
        <v>439</v>
      </c>
      <c r="V1256" s="9" t="s">
        <v>440</v>
      </c>
    </row>
    <row r="1257" ht="14.25" customHeight="1">
      <c r="A1257" s="27" t="s">
        <v>2274</v>
      </c>
      <c r="B1257" s="27" t="s">
        <v>2273</v>
      </c>
      <c r="C1257" s="27" t="str">
        <f t="array" ref="C1257">INDEX(Funciones!$G$2:$G$372,MATCH($A1257,Funciones!$B$2:$B$372,0))</f>
        <v>Interrumpir la sobrecorriente con calibre de _____ A</v>
      </c>
      <c r="D1257" s="27" t="s">
        <v>4585</v>
      </c>
      <c r="E1257" s="27" t="s">
        <v>3732</v>
      </c>
      <c r="F1257" s="27" t="s">
        <v>4586</v>
      </c>
      <c r="G1257" s="27" t="s">
        <v>4587</v>
      </c>
      <c r="H1257" s="18" t="str">
        <f t="array" ref="H1257">_xlfn.XLOOKUP(E:E,'Calificación consecuencia'!B:B,'Calificación consecuencia'!K:K,"No encontrada",2)</f>
        <v>Baja</v>
      </c>
      <c r="I1257" s="27" t="s">
        <v>4588</v>
      </c>
      <c r="J1257" s="29" t="s">
        <v>120</v>
      </c>
      <c r="K1257" s="30" t="s">
        <v>116</v>
      </c>
      <c r="L1257" s="21"/>
      <c r="M1257" s="21"/>
      <c r="N1257" s="21"/>
      <c r="O1257" s="21"/>
      <c r="P1257" s="21"/>
      <c r="Q1257" s="21"/>
      <c r="R1257" s="21"/>
      <c r="S1257" s="21"/>
      <c r="T1257" s="21"/>
      <c r="U1257" s="27" t="s">
        <v>439</v>
      </c>
      <c r="V1257" s="27" t="s">
        <v>440</v>
      </c>
    </row>
    <row r="1258" ht="14.25" customHeight="1">
      <c r="A1258" s="27" t="s">
        <v>2274</v>
      </c>
      <c r="B1258" s="27" t="s">
        <v>2273</v>
      </c>
      <c r="C1258" s="27" t="str">
        <f t="array" ref="C1258">INDEX(Funciones!$G$2:$G$372,MATCH($A1258,Funciones!$B$2:$B$372,0))</f>
        <v>Interrumpir la sobrecorriente con calibre de _____ A</v>
      </c>
      <c r="D1258" s="27" t="s">
        <v>4589</v>
      </c>
      <c r="E1258" s="27" t="s">
        <v>3733</v>
      </c>
      <c r="F1258" s="27" t="s">
        <v>4590</v>
      </c>
      <c r="G1258" s="27" t="s">
        <v>4591</v>
      </c>
      <c r="H1258" s="18" t="str">
        <f t="array" ref="H1258">_xlfn.XLOOKUP(E:E,'Calificación consecuencia'!B:B,'Calificación consecuencia'!K:K,"No encontrada",2)</f>
        <v>Baja</v>
      </c>
      <c r="I1258" s="27" t="s">
        <v>425</v>
      </c>
      <c r="J1258" s="29" t="s">
        <v>120</v>
      </c>
      <c r="K1258" s="30" t="s">
        <v>116</v>
      </c>
      <c r="L1258" s="21"/>
      <c r="M1258" s="21"/>
      <c r="N1258" s="21"/>
      <c r="O1258" s="21"/>
      <c r="P1258" s="21"/>
      <c r="Q1258" s="21"/>
      <c r="R1258" s="21"/>
      <c r="S1258" s="21"/>
      <c r="T1258" s="21"/>
      <c r="U1258" s="27" t="s">
        <v>439</v>
      </c>
      <c r="V1258" s="27" t="s">
        <v>440</v>
      </c>
    </row>
    <row r="1259" ht="14.25" customHeight="1">
      <c r="A1259" s="27" t="s">
        <v>2274</v>
      </c>
      <c r="B1259" s="27" t="s">
        <v>2273</v>
      </c>
      <c r="C1259" s="27" t="str">
        <f t="array" ref="C1259">INDEX(Funciones!$G$2:$G$372,MATCH($A1259,Funciones!$B$2:$B$372,0))</f>
        <v>Interrumpir la sobrecorriente con calibre de _____ A</v>
      </c>
      <c r="D1259" s="27" t="s">
        <v>4592</v>
      </c>
      <c r="E1259" s="27" t="s">
        <v>3734</v>
      </c>
      <c r="F1259" s="27" t="s">
        <v>4593</v>
      </c>
      <c r="G1259" s="27" t="s">
        <v>4591</v>
      </c>
      <c r="H1259" s="18" t="str">
        <f t="array" ref="H1259">_xlfn.XLOOKUP(E:E,'Calificación consecuencia'!B:B,'Calificación consecuencia'!K:K,"No encontrada",2)</f>
        <v>Baja</v>
      </c>
      <c r="I1259" s="27" t="s">
        <v>425</v>
      </c>
      <c r="J1259" s="29" t="s">
        <v>120</v>
      </c>
      <c r="K1259" s="30" t="s">
        <v>116</v>
      </c>
      <c r="L1259" s="21"/>
      <c r="M1259" s="21"/>
      <c r="N1259" s="21"/>
      <c r="O1259" s="21"/>
      <c r="P1259" s="21"/>
      <c r="Q1259" s="21"/>
      <c r="R1259" s="21"/>
      <c r="S1259" s="21"/>
      <c r="T1259" s="21"/>
      <c r="U1259" s="27" t="s">
        <v>439</v>
      </c>
      <c r="V1259" s="27" t="s">
        <v>440</v>
      </c>
    </row>
    <row r="1260" ht="14.25" customHeight="1">
      <c r="A1260" s="9" t="s">
        <v>2288</v>
      </c>
      <c r="B1260" s="9" t="s">
        <v>2287</v>
      </c>
      <c r="C1260" s="9" t="str">
        <f t="array" ref="C1260">INDEX(Funciones!$G$2:$G$372,MATCH($A1260,Funciones!$B$2:$B$372,0))</f>
        <v>Derivar las sobretensiones con tensión de operación continua de _____ V</v>
      </c>
      <c r="D1260" s="9" t="s">
        <v>4594</v>
      </c>
      <c r="E1260" s="9" t="s">
        <v>3735</v>
      </c>
      <c r="F1260" s="9" t="s">
        <v>4595</v>
      </c>
      <c r="G1260" s="9" t="s">
        <v>4596</v>
      </c>
      <c r="H1260" s="18" t="str">
        <f t="array" ref="H1260">_xlfn.XLOOKUP(E:E,'Calificación consecuencia'!B:B,'Calificación consecuencia'!K:K,"No encontrada",2)</f>
        <v>Media</v>
      </c>
      <c r="I1260" s="9" t="s">
        <v>4588</v>
      </c>
      <c r="J1260" s="22" t="s">
        <v>120</v>
      </c>
      <c r="K1260" s="20" t="s">
        <v>116</v>
      </c>
      <c r="L1260" s="21"/>
      <c r="M1260" s="21"/>
      <c r="N1260" s="21"/>
      <c r="O1260" s="21"/>
      <c r="P1260" s="21"/>
      <c r="Q1260" s="21"/>
      <c r="R1260" s="21"/>
      <c r="S1260" s="21"/>
      <c r="T1260" s="21"/>
      <c r="U1260" s="9" t="s">
        <v>439</v>
      </c>
      <c r="V1260" s="9" t="s">
        <v>440</v>
      </c>
    </row>
    <row r="1261" ht="14.25" customHeight="1">
      <c r="A1261" s="9" t="s">
        <v>2288</v>
      </c>
      <c r="B1261" s="9" t="s">
        <v>2287</v>
      </c>
      <c r="C1261" s="9" t="str">
        <f t="array" ref="C1261">INDEX(Funciones!$G$2:$G$372,MATCH($A1261,Funciones!$B$2:$B$372,0))</f>
        <v>Derivar las sobretensiones con tensión de operación continua de _____ V</v>
      </c>
      <c r="D1261" s="9" t="s">
        <v>4597</v>
      </c>
      <c r="E1261" s="9" t="s">
        <v>3738</v>
      </c>
      <c r="F1261" s="9" t="s">
        <v>4598</v>
      </c>
      <c r="G1261" s="9" t="s">
        <v>4599</v>
      </c>
      <c r="H1261" s="18" t="str">
        <f t="array" ref="H1261">_xlfn.XLOOKUP(E:E,'Calificación consecuencia'!B:B,'Calificación consecuencia'!K:K,"No encontrada",2)</f>
        <v>Media</v>
      </c>
      <c r="I1261" s="9" t="s">
        <v>1351</v>
      </c>
      <c r="J1261" s="22" t="s">
        <v>120</v>
      </c>
      <c r="K1261" s="20" t="s">
        <v>116</v>
      </c>
      <c r="L1261" s="21"/>
      <c r="M1261" s="21"/>
      <c r="N1261" s="21"/>
      <c r="O1261" s="21"/>
      <c r="P1261" s="21"/>
      <c r="Q1261" s="21"/>
      <c r="R1261" s="21"/>
      <c r="S1261" s="21"/>
      <c r="T1261" s="21"/>
      <c r="U1261" s="9" t="s">
        <v>439</v>
      </c>
      <c r="V1261" s="9" t="s">
        <v>440</v>
      </c>
    </row>
    <row r="1262" ht="14.25" customHeight="1">
      <c r="A1262" s="27" t="s">
        <v>2302</v>
      </c>
      <c r="B1262" s="27" t="s">
        <v>2301</v>
      </c>
      <c r="C1262" s="27" t="str">
        <f t="array" ref="C1262">INDEX(Funciones!$G$2:$G$372,MATCH($A1262,Funciones!$B$2:$B$372,0))</f>
        <v>Mantener la fuerza de contacto de 60 a 140 N</v>
      </c>
      <c r="D1262" s="27" t="s">
        <v>4600</v>
      </c>
      <c r="E1262" s="27" t="s">
        <v>2899</v>
      </c>
      <c r="F1262" s="27" t="s">
        <v>4061</v>
      </c>
      <c r="G1262" s="27" t="s">
        <v>4062</v>
      </c>
      <c r="H1262" s="18" t="str">
        <f t="array" ref="H1262">_xlfn.XLOOKUP(E:E,'Calificación consecuencia'!B:B,'Calificación consecuencia'!K:K,"No encontrada",2)</f>
        <v>Media</v>
      </c>
      <c r="I1262" s="27" t="s">
        <v>113</v>
      </c>
      <c r="J1262" s="30" t="s">
        <v>116</v>
      </c>
      <c r="K1262" s="21"/>
      <c r="L1262" s="21"/>
      <c r="M1262" s="30" t="s">
        <v>116</v>
      </c>
      <c r="N1262" s="30" t="s">
        <v>116</v>
      </c>
      <c r="O1262" s="21"/>
      <c r="P1262" s="21"/>
      <c r="Q1262" s="21"/>
      <c r="R1262" s="21"/>
      <c r="S1262" s="21"/>
      <c r="T1262" s="21"/>
      <c r="U1262" s="27" t="s">
        <v>195</v>
      </c>
      <c r="V1262" s="27" t="s">
        <v>196</v>
      </c>
    </row>
    <row r="1263" ht="14.25" customHeight="1">
      <c r="A1263" s="27" t="s">
        <v>2302</v>
      </c>
      <c r="B1263" s="27" t="s">
        <v>2301</v>
      </c>
      <c r="C1263" s="27" t="str">
        <f t="array" ref="C1263">INDEX(Funciones!$G$2:$G$372,MATCH($A1263,Funciones!$B$2:$B$372,0))</f>
        <v>Mantener la fuerza de contacto de 60 a 140 N</v>
      </c>
      <c r="D1263" s="27" t="s">
        <v>4600</v>
      </c>
      <c r="E1263" s="27" t="s">
        <v>2907</v>
      </c>
      <c r="F1263" s="27" t="s">
        <v>4063</v>
      </c>
      <c r="G1263" s="27" t="s">
        <v>4064</v>
      </c>
      <c r="H1263" s="18" t="str">
        <f t="array" ref="H1263">_xlfn.XLOOKUP(E:E,'Calificación consecuencia'!B:B,'Calificación consecuencia'!K:K,"No encontrada",2)</f>
        <v>Baja</v>
      </c>
      <c r="I1263" s="27" t="s">
        <v>113</v>
      </c>
      <c r="J1263" s="30" t="s">
        <v>116</v>
      </c>
      <c r="K1263" s="21"/>
      <c r="L1263" s="21"/>
      <c r="M1263" s="30" t="s">
        <v>116</v>
      </c>
      <c r="N1263" s="30" t="s">
        <v>116</v>
      </c>
      <c r="O1263" s="21"/>
      <c r="P1263" s="21"/>
      <c r="Q1263" s="21"/>
      <c r="R1263" s="21"/>
      <c r="S1263" s="21"/>
      <c r="T1263" s="21"/>
      <c r="U1263" s="27" t="s">
        <v>195</v>
      </c>
      <c r="V1263" s="27" t="s">
        <v>196</v>
      </c>
    </row>
    <row r="1264" ht="14.25" customHeight="1">
      <c r="A1264" s="27" t="s">
        <v>2302</v>
      </c>
      <c r="B1264" s="27" t="s">
        <v>2301</v>
      </c>
      <c r="C1264" s="27" t="str">
        <f t="array" ref="C1264">INDEX(Funciones!$G$2:$G$372,MATCH($A1264,Funciones!$B$2:$B$372,0))</f>
        <v>Mantener la fuerza de contacto de 60 a 140 N</v>
      </c>
      <c r="D1264" s="27" t="s">
        <v>4601</v>
      </c>
      <c r="E1264" s="27" t="s">
        <v>2913</v>
      </c>
      <c r="F1264" s="27" t="s">
        <v>4066</v>
      </c>
      <c r="G1264" s="27" t="s">
        <v>4067</v>
      </c>
      <c r="H1264" s="18" t="str">
        <f t="array" ref="H1264">_xlfn.XLOOKUP(E:E,'Calificación consecuencia'!B:B,'Calificación consecuencia'!K:K,"No encontrada",2)</f>
        <v>Baja</v>
      </c>
      <c r="I1264" s="27" t="s">
        <v>1800</v>
      </c>
      <c r="J1264" s="30" t="s">
        <v>116</v>
      </c>
      <c r="K1264" s="21"/>
      <c r="L1264" s="21"/>
      <c r="M1264" s="29" t="s">
        <v>120</v>
      </c>
      <c r="N1264" s="21"/>
      <c r="O1264" s="30" t="s">
        <v>116</v>
      </c>
      <c r="P1264" s="30" t="s">
        <v>116</v>
      </c>
      <c r="Q1264" s="21"/>
      <c r="R1264" s="21"/>
      <c r="S1264" s="21"/>
      <c r="T1264" s="21"/>
      <c r="U1264" s="27" t="s">
        <v>345</v>
      </c>
      <c r="V1264" s="27" t="s">
        <v>196</v>
      </c>
    </row>
    <row r="1265" ht="14.25" customHeight="1">
      <c r="A1265" s="27" t="s">
        <v>2302</v>
      </c>
      <c r="B1265" s="27" t="s">
        <v>2301</v>
      </c>
      <c r="C1265" s="27" t="str">
        <f t="array" ref="C1265">INDEX(Funciones!$G$2:$G$372,MATCH($A1265,Funciones!$B$2:$B$372,0))</f>
        <v>Mantener la fuerza de contacto de 60 a 140 N</v>
      </c>
      <c r="D1265" s="27" t="s">
        <v>4601</v>
      </c>
      <c r="E1265" s="27" t="s">
        <v>2922</v>
      </c>
      <c r="F1265" s="27" t="s">
        <v>4068</v>
      </c>
      <c r="G1265" s="27" t="s">
        <v>4069</v>
      </c>
      <c r="H1265" s="18" t="str">
        <f t="array" ref="H1265">_xlfn.XLOOKUP(E:E,'Calificación consecuencia'!B:B,'Calificación consecuencia'!K:K,"No encontrada",2)</f>
        <v>Baja</v>
      </c>
      <c r="I1265" s="27" t="s">
        <v>339</v>
      </c>
      <c r="J1265" s="30" t="s">
        <v>116</v>
      </c>
      <c r="K1265" s="21"/>
      <c r="L1265" s="21"/>
      <c r="M1265" s="29" t="s">
        <v>120</v>
      </c>
      <c r="N1265" s="21"/>
      <c r="O1265" s="30" t="s">
        <v>116</v>
      </c>
      <c r="P1265" s="29" t="s">
        <v>120</v>
      </c>
      <c r="Q1265" s="30" t="s">
        <v>116</v>
      </c>
      <c r="R1265" s="21"/>
      <c r="S1265" s="21"/>
      <c r="T1265" s="21"/>
      <c r="U1265" s="27" t="s">
        <v>785</v>
      </c>
      <c r="V1265" s="27" t="s">
        <v>786</v>
      </c>
    </row>
    <row r="1266" ht="14.25" customHeight="1">
      <c r="A1266" s="27" t="s">
        <v>2302</v>
      </c>
      <c r="B1266" s="27" t="s">
        <v>2301</v>
      </c>
      <c r="C1266" s="27" t="str">
        <f t="array" ref="C1266">INDEX(Funciones!$G$2:$G$372,MATCH($A1266,Funciones!$B$2:$B$372,0))</f>
        <v>Mantener la fuerza de contacto de 60 a 140 N</v>
      </c>
      <c r="D1266" s="27" t="s">
        <v>4602</v>
      </c>
      <c r="E1266" s="27" t="s">
        <v>2929</v>
      </c>
      <c r="F1266" s="27" t="s">
        <v>4071</v>
      </c>
      <c r="G1266" s="27" t="s">
        <v>4072</v>
      </c>
      <c r="H1266" s="18" t="str">
        <f t="array" ref="H1266">_xlfn.XLOOKUP(E:E,'Calificación consecuencia'!B:B,'Calificación consecuencia'!K:K,"No encontrada",2)</f>
        <v>Baja</v>
      </c>
      <c r="I1266" s="27" t="s">
        <v>1449</v>
      </c>
      <c r="J1266" s="30" t="s">
        <v>116</v>
      </c>
      <c r="K1266" s="21"/>
      <c r="L1266" s="21"/>
      <c r="M1266" s="29" t="s">
        <v>120</v>
      </c>
      <c r="N1266" s="21"/>
      <c r="O1266" s="30" t="s">
        <v>116</v>
      </c>
      <c r="P1266" s="30" t="s">
        <v>116</v>
      </c>
      <c r="Q1266" s="21"/>
      <c r="R1266" s="21"/>
      <c r="S1266" s="21"/>
      <c r="T1266" s="21"/>
      <c r="U1266" s="27" t="s">
        <v>345</v>
      </c>
      <c r="V1266" s="27" t="s">
        <v>196</v>
      </c>
    </row>
    <row r="1267" ht="14.25" customHeight="1">
      <c r="A1267" s="27" t="s">
        <v>2302</v>
      </c>
      <c r="B1267" s="27" t="s">
        <v>2301</v>
      </c>
      <c r="C1267" s="27" t="str">
        <f t="array" ref="C1267">INDEX(Funciones!$G$2:$G$372,MATCH($A1267,Funciones!$B$2:$B$372,0))</f>
        <v>Mantener la fuerza de contacto de 60 a 140 N</v>
      </c>
      <c r="D1267" s="27" t="s">
        <v>4603</v>
      </c>
      <c r="E1267" s="27" t="s">
        <v>2936</v>
      </c>
      <c r="F1267" s="27" t="s">
        <v>4074</v>
      </c>
      <c r="G1267" s="27" t="s">
        <v>4075</v>
      </c>
      <c r="H1267" s="18" t="str">
        <f t="array" ref="H1267">_xlfn.XLOOKUP(E:E,'Calificación consecuencia'!B:B,'Calificación consecuencia'!K:K,"No encontrada",2)</f>
        <v>Baja</v>
      </c>
      <c r="I1267" s="27" t="s">
        <v>1800</v>
      </c>
      <c r="J1267" s="30" t="s">
        <v>116</v>
      </c>
      <c r="K1267" s="21"/>
      <c r="L1267" s="21"/>
      <c r="M1267" s="29" t="s">
        <v>120</v>
      </c>
      <c r="N1267" s="21"/>
      <c r="O1267" s="30" t="s">
        <v>116</v>
      </c>
      <c r="P1267" s="30" t="s">
        <v>116</v>
      </c>
      <c r="Q1267" s="21"/>
      <c r="R1267" s="21"/>
      <c r="S1267" s="21"/>
      <c r="T1267" s="21"/>
      <c r="U1267" s="27" t="s">
        <v>345</v>
      </c>
      <c r="V1267" s="27" t="s">
        <v>196</v>
      </c>
    </row>
    <row r="1268" ht="14.25" customHeight="1">
      <c r="A1268" s="9" t="s">
        <v>2309</v>
      </c>
      <c r="B1268" s="9" t="s">
        <v>2301</v>
      </c>
      <c r="C1268" s="9" t="str">
        <f t="array" ref="C1268">INDEX(Funciones!$G$2:$G$372,MATCH($A1268,Funciones!$B$2:$B$372,0))</f>
        <v>Transferir la corriente de tracción hasta 300 A en reposo</v>
      </c>
      <c r="D1268" s="9" t="s">
        <v>4604</v>
      </c>
      <c r="E1268" s="9" t="s">
        <v>3741</v>
      </c>
      <c r="F1268" s="9" t="s">
        <v>4605</v>
      </c>
      <c r="G1268" s="9" t="s">
        <v>4606</v>
      </c>
      <c r="H1268" s="18" t="str">
        <f t="array" ref="H1268">_xlfn.XLOOKUP(E:E,'Calificación consecuencia'!B:B,'Calificación consecuencia'!K:K,"No encontrada",2)</f>
        <v>Baja</v>
      </c>
      <c r="I1268" s="9" t="s">
        <v>4588</v>
      </c>
      <c r="J1268" s="20" t="s">
        <v>116</v>
      </c>
      <c r="K1268" s="21"/>
      <c r="L1268" s="21"/>
      <c r="M1268" s="20" t="s">
        <v>116</v>
      </c>
      <c r="N1268" s="20" t="s">
        <v>116</v>
      </c>
      <c r="O1268" s="21"/>
      <c r="P1268" s="21"/>
      <c r="Q1268" s="21"/>
      <c r="R1268" s="21"/>
      <c r="S1268" s="21"/>
      <c r="T1268" s="21"/>
      <c r="U1268" s="9" t="s">
        <v>195</v>
      </c>
      <c r="V1268" s="9" t="s">
        <v>196</v>
      </c>
    </row>
    <row r="1269" ht="14.25" customHeight="1">
      <c r="A1269" s="9" t="s">
        <v>2309</v>
      </c>
      <c r="B1269" s="9" t="s">
        <v>2301</v>
      </c>
      <c r="C1269" s="9" t="str">
        <f t="array" ref="C1269">INDEX(Funciones!$G$2:$G$372,MATCH($A1269,Funciones!$B$2:$B$372,0))</f>
        <v>Transferir la corriente de tracción hasta 300 A en reposo</v>
      </c>
      <c r="D1269" s="9" t="s">
        <v>4604</v>
      </c>
      <c r="E1269" s="9" t="s">
        <v>3742</v>
      </c>
      <c r="F1269" s="9" t="s">
        <v>4607</v>
      </c>
      <c r="G1269" s="9" t="s">
        <v>4608</v>
      </c>
      <c r="H1269" s="18" t="str">
        <f t="array" ref="H1269">_xlfn.XLOOKUP(E:E,'Calificación consecuencia'!B:B,'Calificación consecuencia'!K:K,"No encontrada",2)</f>
        <v>Baja</v>
      </c>
      <c r="I1269" s="9" t="s">
        <v>4588</v>
      </c>
      <c r="J1269" s="20" t="s">
        <v>116</v>
      </c>
      <c r="K1269" s="21"/>
      <c r="L1269" s="21"/>
      <c r="M1269" s="20" t="s">
        <v>116</v>
      </c>
      <c r="N1269" s="20" t="s">
        <v>116</v>
      </c>
      <c r="O1269" s="21"/>
      <c r="P1269" s="21"/>
      <c r="Q1269" s="21"/>
      <c r="R1269" s="21"/>
      <c r="S1269" s="21"/>
      <c r="T1269" s="21"/>
      <c r="U1269" s="9" t="s">
        <v>195</v>
      </c>
      <c r="V1269" s="9" t="s">
        <v>196</v>
      </c>
    </row>
    <row r="1270" ht="14.25" customHeight="1">
      <c r="A1270" s="9" t="s">
        <v>2309</v>
      </c>
      <c r="B1270" s="9" t="s">
        <v>2301</v>
      </c>
      <c r="C1270" s="9" t="str">
        <f t="array" ref="C1270">INDEX(Funciones!$G$2:$G$372,MATCH($A1270,Funciones!$B$2:$B$372,0))</f>
        <v>Transferir la corriente de tracción hasta 300 A en reposo</v>
      </c>
      <c r="D1270" s="9" t="s">
        <v>4609</v>
      </c>
      <c r="E1270" s="9" t="s">
        <v>3743</v>
      </c>
      <c r="F1270" s="9" t="s">
        <v>4610</v>
      </c>
      <c r="G1270" s="9" t="s">
        <v>4611</v>
      </c>
      <c r="H1270" s="18" t="str">
        <f t="array" ref="H1270">_xlfn.XLOOKUP(E:E,'Calificación consecuencia'!B:B,'Calificación consecuencia'!K:K,"No encontrada",2)</f>
        <v>Media</v>
      </c>
      <c r="I1270" s="9" t="s">
        <v>2694</v>
      </c>
      <c r="J1270" s="20" t="s">
        <v>116</v>
      </c>
      <c r="K1270" s="21"/>
      <c r="L1270" s="21"/>
      <c r="M1270" s="20" t="s">
        <v>116</v>
      </c>
      <c r="N1270" s="20" t="s">
        <v>116</v>
      </c>
      <c r="O1270" s="21"/>
      <c r="P1270" s="21"/>
      <c r="Q1270" s="21"/>
      <c r="R1270" s="21"/>
      <c r="S1270" s="21"/>
      <c r="T1270" s="21"/>
      <c r="U1270" s="9" t="s">
        <v>195</v>
      </c>
      <c r="V1270" s="9" t="s">
        <v>196</v>
      </c>
    </row>
    <row r="1271" ht="14.25" customHeight="1">
      <c r="A1271" s="9" t="s">
        <v>2309</v>
      </c>
      <c r="B1271" s="9" t="s">
        <v>2301</v>
      </c>
      <c r="C1271" s="9" t="str">
        <f t="array" ref="C1271">INDEX(Funciones!$G$2:$G$372,MATCH($A1271,Funciones!$B$2:$B$372,0))</f>
        <v>Transferir la corriente de tracción hasta 300 A en reposo</v>
      </c>
      <c r="D1271" s="9" t="s">
        <v>4609</v>
      </c>
      <c r="E1271" s="9" t="s">
        <v>2922</v>
      </c>
      <c r="F1271" s="9" t="s">
        <v>4612</v>
      </c>
      <c r="G1271" s="9" t="s">
        <v>4069</v>
      </c>
      <c r="H1271" s="18" t="str">
        <f t="array" ref="H1271">_xlfn.XLOOKUP(E:E,'Calificación consecuencia'!B:B,'Calificación consecuencia'!K:K,"No encontrada",2)</f>
        <v>Baja</v>
      </c>
      <c r="I1271" s="9" t="s">
        <v>425</v>
      </c>
      <c r="J1271" s="20" t="s">
        <v>116</v>
      </c>
      <c r="K1271" s="21"/>
      <c r="L1271" s="21"/>
      <c r="M1271" s="20" t="s">
        <v>116</v>
      </c>
      <c r="N1271" s="20" t="s">
        <v>116</v>
      </c>
      <c r="O1271" s="21"/>
      <c r="P1271" s="21"/>
      <c r="Q1271" s="21"/>
      <c r="R1271" s="21"/>
      <c r="S1271" s="21"/>
      <c r="T1271" s="21"/>
      <c r="U1271" s="9" t="s">
        <v>195</v>
      </c>
      <c r="V1271" s="9" t="s">
        <v>196</v>
      </c>
    </row>
    <row r="1272" ht="14.25" customHeight="1">
      <c r="A1272" s="27" t="s">
        <v>2319</v>
      </c>
      <c r="B1272" s="27" t="s">
        <v>2301</v>
      </c>
      <c r="C1272" s="27" t="str">
        <f t="array" ref="C1272">INDEX(Funciones!$G$2:$G$372,MATCH($A1272,Funciones!$B$2:$B$372,0))</f>
        <v>Bajar el pantógrafo en un máximo de _____ s</v>
      </c>
      <c r="D1272" s="27" t="s">
        <v>4613</v>
      </c>
      <c r="E1272" s="27" t="s">
        <v>3744</v>
      </c>
      <c r="F1272" s="27" t="s">
        <v>4614</v>
      </c>
      <c r="G1272" s="27" t="s">
        <v>4615</v>
      </c>
      <c r="H1272" s="18" t="str">
        <f t="array" ref="H1272">_xlfn.XLOOKUP(E:E,'Calificación consecuencia'!B:B,'Calificación consecuencia'!K:K,"No encontrada",2)</f>
        <v>Media</v>
      </c>
      <c r="I1272" s="27" t="s">
        <v>425</v>
      </c>
      <c r="J1272" s="29" t="s">
        <v>120</v>
      </c>
      <c r="K1272" s="30" t="s">
        <v>116</v>
      </c>
      <c r="L1272" s="21"/>
      <c r="M1272" s="21"/>
      <c r="N1272" s="21"/>
      <c r="O1272" s="21"/>
      <c r="P1272" s="21"/>
      <c r="Q1272" s="21"/>
      <c r="R1272" s="21"/>
      <c r="S1272" s="21"/>
      <c r="T1272" s="21"/>
      <c r="U1272" s="27" t="s">
        <v>439</v>
      </c>
      <c r="V1272" s="27" t="s">
        <v>440</v>
      </c>
    </row>
    <row r="1273" ht="14.25" customHeight="1">
      <c r="A1273" s="27" t="s">
        <v>2319</v>
      </c>
      <c r="B1273" s="27" t="s">
        <v>2301</v>
      </c>
      <c r="C1273" s="27" t="str">
        <f t="array" ref="C1273">INDEX(Funciones!$G$2:$G$372,MATCH($A1273,Funciones!$B$2:$B$372,0))</f>
        <v>Bajar el pantógrafo en un máximo de _____ s</v>
      </c>
      <c r="D1273" s="27" t="s">
        <v>4613</v>
      </c>
      <c r="E1273" s="27" t="s">
        <v>3746</v>
      </c>
      <c r="F1273" s="27" t="s">
        <v>4616</v>
      </c>
      <c r="G1273" s="27" t="s">
        <v>4617</v>
      </c>
      <c r="H1273" s="18" t="str">
        <f t="array" ref="H1273">_xlfn.XLOOKUP(E:E,'Calificación consecuencia'!B:B,'Calificación consecuencia'!K:K,"No encontrada",2)</f>
        <v>Media</v>
      </c>
      <c r="I1273" s="27" t="s">
        <v>425</v>
      </c>
      <c r="J1273" s="29" t="s">
        <v>120</v>
      </c>
      <c r="K1273" s="30" t="s">
        <v>116</v>
      </c>
      <c r="L1273" s="21"/>
      <c r="M1273" s="21"/>
      <c r="N1273" s="21"/>
      <c r="O1273" s="21"/>
      <c r="P1273" s="21"/>
      <c r="Q1273" s="21"/>
      <c r="R1273" s="21"/>
      <c r="S1273" s="21"/>
      <c r="T1273" s="21"/>
      <c r="U1273" s="27" t="s">
        <v>439</v>
      </c>
      <c r="V1273" s="27" t="s">
        <v>440</v>
      </c>
    </row>
    <row r="1274" ht="14.25" customHeight="1">
      <c r="A1274" s="27" t="s">
        <v>2319</v>
      </c>
      <c r="B1274" s="27" t="s">
        <v>2301</v>
      </c>
      <c r="C1274" s="27" t="str">
        <f t="array" ref="C1274">INDEX(Funciones!$G$2:$G$372,MATCH($A1274,Funciones!$B$2:$B$372,0))</f>
        <v>Bajar el pantógrafo en un máximo de _____ s</v>
      </c>
      <c r="D1274" s="27" t="s">
        <v>4618</v>
      </c>
      <c r="E1274" s="27" t="s">
        <v>3747</v>
      </c>
      <c r="F1274" s="27" t="s">
        <v>4619</v>
      </c>
      <c r="G1274" s="27" t="s">
        <v>4620</v>
      </c>
      <c r="H1274" s="18" t="str">
        <f t="array" ref="H1274">_xlfn.XLOOKUP(E:E,'Calificación consecuencia'!B:B,'Calificación consecuencia'!K:K,"No encontrada",2)</f>
        <v>Media</v>
      </c>
      <c r="I1274" s="27" t="s">
        <v>425</v>
      </c>
      <c r="J1274" s="29" t="s">
        <v>120</v>
      </c>
      <c r="K1274" s="30" t="s">
        <v>116</v>
      </c>
      <c r="L1274" s="21"/>
      <c r="M1274" s="21"/>
      <c r="N1274" s="21"/>
      <c r="O1274" s="21"/>
      <c r="P1274" s="21"/>
      <c r="Q1274" s="21"/>
      <c r="R1274" s="21"/>
      <c r="S1274" s="21"/>
      <c r="T1274" s="21"/>
      <c r="U1274" s="27" t="s">
        <v>439</v>
      </c>
      <c r="V1274" s="27" t="s">
        <v>440</v>
      </c>
    </row>
    <row r="1275" ht="14.25" customHeight="1">
      <c r="A1275" s="9" t="s">
        <v>2329</v>
      </c>
      <c r="B1275" s="9" t="s">
        <v>2328</v>
      </c>
      <c r="C1275" s="9" t="str">
        <f t="array" ref="C1275">INDEX(Funciones!$G$2:$G$372,MATCH($A1275,Funciones!$B$2:$B$372,0))</f>
        <v>Distribuir el aire auxiliar a presión de _____ bar</v>
      </c>
      <c r="D1275" s="9" t="s">
        <v>4621</v>
      </c>
      <c r="E1275" s="9" t="s">
        <v>3748</v>
      </c>
      <c r="F1275" s="9" t="s">
        <v>4622</v>
      </c>
      <c r="G1275" s="9" t="s">
        <v>4623</v>
      </c>
      <c r="H1275" s="18" t="str">
        <f t="array" ref="H1275">_xlfn.XLOOKUP(E:E,'Calificación consecuencia'!B:B,'Calificación consecuencia'!K:K,"No encontrada",2)</f>
        <v>Media</v>
      </c>
      <c r="I1275" s="9" t="s">
        <v>425</v>
      </c>
      <c r="J1275" s="20" t="s">
        <v>116</v>
      </c>
      <c r="K1275" s="21"/>
      <c r="L1275" s="21"/>
      <c r="M1275" s="20" t="s">
        <v>116</v>
      </c>
      <c r="N1275" s="20" t="s">
        <v>116</v>
      </c>
      <c r="O1275" s="21"/>
      <c r="P1275" s="21"/>
      <c r="Q1275" s="21"/>
      <c r="R1275" s="21"/>
      <c r="S1275" s="21"/>
      <c r="T1275" s="21"/>
      <c r="U1275" s="9" t="s">
        <v>195</v>
      </c>
      <c r="V1275" s="9" t="s">
        <v>196</v>
      </c>
    </row>
    <row r="1276" ht="14.25" customHeight="1">
      <c r="A1276" s="9" t="s">
        <v>2329</v>
      </c>
      <c r="B1276" s="9" t="s">
        <v>2328</v>
      </c>
      <c r="C1276" s="9" t="str">
        <f t="array" ref="C1276">INDEX(Funciones!$G$2:$G$372,MATCH($A1276,Funciones!$B$2:$B$372,0))</f>
        <v>Distribuir el aire auxiliar a presión de _____ bar</v>
      </c>
      <c r="D1276" s="9" t="s">
        <v>4624</v>
      </c>
      <c r="E1276" s="9" t="s">
        <v>3686</v>
      </c>
      <c r="F1276" s="9" t="s">
        <v>4625</v>
      </c>
      <c r="G1276" s="9" t="s">
        <v>4471</v>
      </c>
      <c r="H1276" s="18" t="str">
        <f t="array" ref="H1276">_xlfn.XLOOKUP(E:E,'Calificación consecuencia'!B:B,'Calificación consecuencia'!K:K,"No encontrada",2)</f>
        <v>Baja</v>
      </c>
      <c r="I1276" s="9" t="s">
        <v>2106</v>
      </c>
      <c r="J1276" s="20" t="s">
        <v>116</v>
      </c>
      <c r="K1276" s="21"/>
      <c r="L1276" s="21"/>
      <c r="M1276" s="22" t="s">
        <v>120</v>
      </c>
      <c r="N1276" s="21"/>
      <c r="O1276" s="22" t="s">
        <v>120</v>
      </c>
      <c r="P1276" s="21"/>
      <c r="Q1276" s="21"/>
      <c r="R1276" s="21"/>
      <c r="S1276" s="22" t="s">
        <v>120</v>
      </c>
      <c r="T1276" s="21"/>
      <c r="U1276" s="9" t="s">
        <v>1680</v>
      </c>
      <c r="V1276" s="9" t="s">
        <v>1408</v>
      </c>
    </row>
    <row r="1277" ht="14.25" customHeight="1">
      <c r="A1277" s="27" t="s">
        <v>2342</v>
      </c>
      <c r="B1277" s="27" t="s">
        <v>2341</v>
      </c>
      <c r="C1277" s="27" t="str">
        <f t="array" ref="C1277">INDEX(Funciones!$G$2:$G$372,MATCH($A1277,Funciones!$B$2:$B$372,0))</f>
        <v>Disipar la energía de frenado con potencia de _____ kW</v>
      </c>
      <c r="D1277" s="27" t="s">
        <v>4626</v>
      </c>
      <c r="E1277" s="27" t="s">
        <v>3749</v>
      </c>
      <c r="F1277" s="27" t="s">
        <v>4627</v>
      </c>
      <c r="G1277" s="27" t="s">
        <v>4628</v>
      </c>
      <c r="H1277" s="18" t="str">
        <f t="array" ref="H1277">_xlfn.XLOOKUP(E:E,'Calificación consecuencia'!B:B,'Calificación consecuencia'!K:K,"No encontrada",2)</f>
        <v>Media</v>
      </c>
      <c r="I1277" s="27" t="s">
        <v>1351</v>
      </c>
      <c r="J1277" s="29" t="s">
        <v>120</v>
      </c>
      <c r="K1277" s="30" t="s">
        <v>116</v>
      </c>
      <c r="L1277" s="21"/>
      <c r="M1277" s="21"/>
      <c r="N1277" s="21"/>
      <c r="O1277" s="21"/>
      <c r="P1277" s="21"/>
      <c r="Q1277" s="21"/>
      <c r="R1277" s="21"/>
      <c r="S1277" s="21"/>
      <c r="T1277" s="21"/>
      <c r="U1277" s="27" t="s">
        <v>439</v>
      </c>
      <c r="V1277" s="27" t="s">
        <v>440</v>
      </c>
    </row>
    <row r="1278" ht="14.25" customHeight="1">
      <c r="A1278" s="27" t="s">
        <v>2342</v>
      </c>
      <c r="B1278" s="27" t="s">
        <v>2341</v>
      </c>
      <c r="C1278" s="27" t="str">
        <f t="array" ref="C1278">INDEX(Funciones!$G$2:$G$372,MATCH($A1278,Funciones!$B$2:$B$372,0))</f>
        <v>Disipar la energía de frenado con potencia de _____ kW</v>
      </c>
      <c r="D1278" s="27" t="s">
        <v>4629</v>
      </c>
      <c r="E1278" s="27" t="s">
        <v>3750</v>
      </c>
      <c r="F1278" s="27" t="s">
        <v>4630</v>
      </c>
      <c r="G1278" s="27" t="s">
        <v>4631</v>
      </c>
      <c r="H1278" s="18" t="str">
        <f t="array" ref="H1278">_xlfn.XLOOKUP(E:E,'Calificación consecuencia'!B:B,'Calificación consecuencia'!K:K,"No encontrada",2)</f>
        <v>Baja</v>
      </c>
      <c r="I1278" s="27" t="s">
        <v>1800</v>
      </c>
      <c r="J1278" s="29" t="s">
        <v>120</v>
      </c>
      <c r="K1278" s="30" t="s">
        <v>116</v>
      </c>
      <c r="L1278" s="21"/>
      <c r="M1278" s="21"/>
      <c r="N1278" s="21"/>
      <c r="O1278" s="21"/>
      <c r="P1278" s="21"/>
      <c r="Q1278" s="21"/>
      <c r="R1278" s="21"/>
      <c r="S1278" s="21"/>
      <c r="T1278" s="21"/>
      <c r="U1278" s="27" t="s">
        <v>439</v>
      </c>
      <c r="V1278" s="27" t="s">
        <v>440</v>
      </c>
    </row>
    <row r="1279" ht="14.25" customHeight="1">
      <c r="A1279" s="27" t="s">
        <v>2342</v>
      </c>
      <c r="B1279" s="27" t="s">
        <v>2341</v>
      </c>
      <c r="C1279" s="27" t="str">
        <f t="array" ref="C1279">INDEX(Funciones!$G$2:$G$372,MATCH($A1279,Funciones!$B$2:$B$372,0))</f>
        <v>Disipar la energía de frenado con potencia de _____ kW</v>
      </c>
      <c r="D1279" s="27" t="s">
        <v>4629</v>
      </c>
      <c r="E1279" s="27" t="s">
        <v>3751</v>
      </c>
      <c r="F1279" s="27" t="s">
        <v>4632</v>
      </c>
      <c r="G1279" s="27" t="s">
        <v>4633</v>
      </c>
      <c r="H1279" s="18" t="str">
        <f t="array" ref="H1279">_xlfn.XLOOKUP(E:E,'Calificación consecuencia'!B:B,'Calificación consecuencia'!K:K,"No encontrada",2)</f>
        <v>Media</v>
      </c>
      <c r="I1279" s="27" t="s">
        <v>1800</v>
      </c>
      <c r="J1279" s="29" t="s">
        <v>120</v>
      </c>
      <c r="K1279" s="30" t="s">
        <v>116</v>
      </c>
      <c r="L1279" s="21"/>
      <c r="M1279" s="21"/>
      <c r="N1279" s="21"/>
      <c r="O1279" s="21"/>
      <c r="P1279" s="21"/>
      <c r="Q1279" s="21"/>
      <c r="R1279" s="21"/>
      <c r="S1279" s="21"/>
      <c r="T1279" s="21"/>
      <c r="U1279" s="27" t="s">
        <v>439</v>
      </c>
      <c r="V1279" s="27" t="s">
        <v>440</v>
      </c>
    </row>
    <row r="1280" ht="14.25" customHeight="1">
      <c r="A1280" s="9" t="s">
        <v>2355</v>
      </c>
      <c r="B1280" s="9" t="s">
        <v>2354</v>
      </c>
      <c r="C1280" s="9" t="str">
        <f t="array" ref="C1280">INDEX(Funciones!$G$2:$G$372,MATCH($A1280,Funciones!$B$2:$B$372,0))</f>
        <v>Transmitir el par al eje de 5.104 N·m</v>
      </c>
      <c r="D1280" s="9" t="s">
        <v>4634</v>
      </c>
      <c r="E1280" s="9" t="s">
        <v>3753</v>
      </c>
      <c r="F1280" s="9" t="s">
        <v>4635</v>
      </c>
      <c r="G1280" s="9" t="s">
        <v>4636</v>
      </c>
      <c r="H1280" s="18" t="str">
        <f t="array" ref="H1280">_xlfn.XLOOKUP(E:E,'Calificación consecuencia'!B:B,'Calificación consecuencia'!K:K,"No encontrada",2)</f>
        <v>Baja</v>
      </c>
      <c r="I1280" s="9" t="s">
        <v>339</v>
      </c>
      <c r="J1280" s="20" t="s">
        <v>116</v>
      </c>
      <c r="K1280" s="21"/>
      <c r="L1280" s="21"/>
      <c r="M1280" s="22" t="s">
        <v>120</v>
      </c>
      <c r="N1280" s="21"/>
      <c r="O1280" s="20" t="s">
        <v>116</v>
      </c>
      <c r="P1280" s="20" t="s">
        <v>116</v>
      </c>
      <c r="Q1280" s="21"/>
      <c r="R1280" s="21"/>
      <c r="S1280" s="21"/>
      <c r="T1280" s="21"/>
      <c r="U1280" s="9" t="s">
        <v>345</v>
      </c>
      <c r="V1280" s="9" t="s">
        <v>196</v>
      </c>
    </row>
    <row r="1281" ht="14.25" customHeight="1">
      <c r="A1281" s="9" t="s">
        <v>2355</v>
      </c>
      <c r="B1281" s="9" t="s">
        <v>2354</v>
      </c>
      <c r="C1281" s="9" t="str">
        <f t="array" ref="C1281">INDEX(Funciones!$G$2:$G$372,MATCH($A1281,Funciones!$B$2:$B$372,0))</f>
        <v>Transmitir el par al eje de 5.104 N·m</v>
      </c>
      <c r="D1281" s="9" t="s">
        <v>4637</v>
      </c>
      <c r="E1281" s="9" t="s">
        <v>3754</v>
      </c>
      <c r="F1281" s="9" t="s">
        <v>4638</v>
      </c>
      <c r="G1281" s="9" t="s">
        <v>4639</v>
      </c>
      <c r="H1281" s="18" t="str">
        <f t="array" ref="H1281">_xlfn.XLOOKUP(E:E,'Calificación consecuencia'!B:B,'Calificación consecuencia'!K:K,"No encontrada",2)</f>
        <v>Media</v>
      </c>
      <c r="I1281" s="9" t="s">
        <v>1800</v>
      </c>
      <c r="J1281" s="20" t="s">
        <v>116</v>
      </c>
      <c r="K1281" s="21"/>
      <c r="L1281" s="21"/>
      <c r="M1281" s="22" t="s">
        <v>120</v>
      </c>
      <c r="N1281" s="21"/>
      <c r="O1281" s="20" t="s">
        <v>116</v>
      </c>
      <c r="P1281" s="20" t="s">
        <v>116</v>
      </c>
      <c r="Q1281" s="21"/>
      <c r="R1281" s="21"/>
      <c r="S1281" s="21"/>
      <c r="T1281" s="21"/>
      <c r="U1281" s="9" t="s">
        <v>345</v>
      </c>
      <c r="V1281" s="9" t="s">
        <v>196</v>
      </c>
    </row>
    <row r="1282" ht="14.25" customHeight="1">
      <c r="A1282" s="27" t="s">
        <v>2368</v>
      </c>
      <c r="B1282" s="27" t="s">
        <v>2367</v>
      </c>
      <c r="C1282" s="27" t="str">
        <f t="array" ref="C1282">INDEX(Funciones!$G$2:$G$372,MATCH($A1282,Funciones!$B$2:$B$372,0))</f>
        <v>Distribuir la carga entre ejes hasta _____ t</v>
      </c>
      <c r="D1282" s="27" t="s">
        <v>4640</v>
      </c>
      <c r="E1282" s="27" t="s">
        <v>3755</v>
      </c>
      <c r="F1282" s="27" t="s">
        <v>4641</v>
      </c>
      <c r="G1282" s="27" t="s">
        <v>4642</v>
      </c>
      <c r="H1282" s="18" t="str">
        <f t="array" ref="H1282">_xlfn.XLOOKUP(E:E,'Calificación consecuencia'!B:B,'Calificación consecuencia'!K:K,"No encontrada",2)</f>
        <v>Baja</v>
      </c>
      <c r="I1282" s="27" t="s">
        <v>425</v>
      </c>
      <c r="J1282" s="29" t="s">
        <v>120</v>
      </c>
      <c r="K1282" s="30" t="s">
        <v>116</v>
      </c>
      <c r="L1282" s="21"/>
      <c r="M1282" s="21"/>
      <c r="N1282" s="21"/>
      <c r="O1282" s="21"/>
      <c r="P1282" s="21"/>
      <c r="Q1282" s="21"/>
      <c r="R1282" s="21"/>
      <c r="S1282" s="21"/>
      <c r="T1282" s="21"/>
      <c r="U1282" s="27" t="s">
        <v>439</v>
      </c>
      <c r="V1282" s="27" t="s">
        <v>440</v>
      </c>
    </row>
    <row r="1283" ht="14.25" customHeight="1">
      <c r="A1283" s="27" t="s">
        <v>2368</v>
      </c>
      <c r="B1283" s="27" t="s">
        <v>2367</v>
      </c>
      <c r="C1283" s="27" t="str">
        <f t="array" ref="C1283">INDEX(Funciones!$G$2:$G$372,MATCH($A1283,Funciones!$B$2:$B$372,0))</f>
        <v>Distribuir la carga entre ejes hasta _____ t</v>
      </c>
      <c r="D1283" s="27" t="s">
        <v>4643</v>
      </c>
      <c r="E1283" s="27" t="s">
        <v>3756</v>
      </c>
      <c r="F1283" s="27" t="s">
        <v>4644</v>
      </c>
      <c r="G1283" s="27" t="s">
        <v>4645</v>
      </c>
      <c r="H1283" s="18" t="str">
        <f t="array" ref="H1283">_xlfn.XLOOKUP(E:E,'Calificación consecuencia'!B:B,'Calificación consecuencia'!K:K,"No encontrada",2)</f>
        <v>Media</v>
      </c>
      <c r="I1283" s="27" t="s">
        <v>425</v>
      </c>
      <c r="J1283" s="29" t="s">
        <v>120</v>
      </c>
      <c r="K1283" s="30" t="s">
        <v>116</v>
      </c>
      <c r="L1283" s="21"/>
      <c r="M1283" s="21"/>
      <c r="N1283" s="21"/>
      <c r="O1283" s="21"/>
      <c r="P1283" s="21"/>
      <c r="Q1283" s="21"/>
      <c r="R1283" s="21"/>
      <c r="S1283" s="21"/>
      <c r="T1283" s="21"/>
      <c r="U1283" s="27" t="s">
        <v>439</v>
      </c>
      <c r="V1283" s="27" t="s">
        <v>440</v>
      </c>
    </row>
    <row r="1284" ht="14.25" customHeight="1">
      <c r="A1284" s="9" t="s">
        <v>2378</v>
      </c>
      <c r="B1284" s="9" t="s">
        <v>2377</v>
      </c>
      <c r="C1284" s="9" t="str">
        <f t="array" ref="C1284">INDEX(Funciones!$G$2:$G$372,MATCH($A1284,Funciones!$B$2:$B$372,0))</f>
        <v>Soportar la carga de caja hasta _____ t</v>
      </c>
      <c r="D1284" s="9" t="s">
        <v>4646</v>
      </c>
      <c r="E1284" s="9" t="s">
        <v>3757</v>
      </c>
      <c r="F1284" s="9" t="s">
        <v>4647</v>
      </c>
      <c r="G1284" s="9" t="s">
        <v>3169</v>
      </c>
      <c r="H1284" s="18" t="str">
        <f t="array" ref="H1284">_xlfn.XLOOKUP(E:E,'Calificación consecuencia'!B:B,'Calificación consecuencia'!K:K,"No encontrada",2)</f>
        <v>Baja</v>
      </c>
      <c r="I1284" s="9" t="s">
        <v>425</v>
      </c>
      <c r="J1284" s="22" t="s">
        <v>120</v>
      </c>
      <c r="K1284" s="20" t="s">
        <v>116</v>
      </c>
      <c r="L1284" s="21"/>
      <c r="M1284" s="21"/>
      <c r="N1284" s="21"/>
      <c r="O1284" s="21"/>
      <c r="P1284" s="21"/>
      <c r="Q1284" s="21"/>
      <c r="R1284" s="21"/>
      <c r="S1284" s="21"/>
      <c r="T1284" s="21"/>
      <c r="U1284" s="9" t="s">
        <v>439</v>
      </c>
      <c r="V1284" s="9" t="s">
        <v>440</v>
      </c>
    </row>
    <row r="1285" ht="14.25" customHeight="1">
      <c r="A1285" s="9" t="s">
        <v>2378</v>
      </c>
      <c r="B1285" s="9" t="s">
        <v>2377</v>
      </c>
      <c r="C1285" s="9" t="str">
        <f t="array" ref="C1285">INDEX(Funciones!$G$2:$G$372,MATCH($A1285,Funciones!$B$2:$B$372,0))</f>
        <v>Soportar la carga de caja hasta _____ t</v>
      </c>
      <c r="D1285" s="9" t="s">
        <v>4648</v>
      </c>
      <c r="E1285" s="9" t="s">
        <v>3758</v>
      </c>
      <c r="F1285" s="9" t="s">
        <v>4649</v>
      </c>
      <c r="G1285" s="9" t="s">
        <v>3169</v>
      </c>
      <c r="H1285" s="18" t="str">
        <f t="array" ref="H1285">_xlfn.XLOOKUP(E:E,'Calificación consecuencia'!B:B,'Calificación consecuencia'!K:K,"No encontrada",2)</f>
        <v>Baja</v>
      </c>
      <c r="I1285" s="9" t="s">
        <v>2694</v>
      </c>
      <c r="J1285" s="22" t="s">
        <v>120</v>
      </c>
      <c r="K1285" s="20" t="s">
        <v>116</v>
      </c>
      <c r="L1285" s="21"/>
      <c r="M1285" s="21"/>
      <c r="N1285" s="21"/>
      <c r="O1285" s="21"/>
      <c r="P1285" s="21"/>
      <c r="Q1285" s="21"/>
      <c r="R1285" s="21"/>
      <c r="S1285" s="21"/>
      <c r="T1285" s="21"/>
      <c r="U1285" s="9" t="s">
        <v>439</v>
      </c>
      <c r="V1285" s="9" t="s">
        <v>440</v>
      </c>
    </row>
    <row r="1286" ht="14.25" customHeight="1">
      <c r="A1286" s="27" t="s">
        <v>2392</v>
      </c>
      <c r="B1286" s="27" t="s">
        <v>2391</v>
      </c>
      <c r="C1286" s="27" t="str">
        <f t="array" ref="C1286">INDEX(Funciones!$G$2:$G$372,MATCH($A1286,Funciones!$B$2:$B$372,0))</f>
        <v>Transmitir el esfuerzo de tracción hasta _____ kN</v>
      </c>
      <c r="D1286" s="27" t="s">
        <v>4650</v>
      </c>
      <c r="E1286" s="27" t="s">
        <v>3759</v>
      </c>
      <c r="F1286" s="27" t="s">
        <v>4651</v>
      </c>
      <c r="G1286" s="27" t="s">
        <v>4652</v>
      </c>
      <c r="H1286" s="18" t="str">
        <f t="array" ref="H1286">_xlfn.XLOOKUP(E:E,'Calificación consecuencia'!B:B,'Calificación consecuencia'!K:K,"No encontrada",2)</f>
        <v>Baja</v>
      </c>
      <c r="I1286" s="27" t="s">
        <v>113</v>
      </c>
      <c r="J1286" s="30" t="s">
        <v>116</v>
      </c>
      <c r="K1286" s="21"/>
      <c r="L1286" s="21"/>
      <c r="M1286" s="29" t="s">
        <v>120</v>
      </c>
      <c r="N1286" s="21"/>
      <c r="O1286" s="30" t="s">
        <v>116</v>
      </c>
      <c r="P1286" s="30" t="s">
        <v>116</v>
      </c>
      <c r="Q1286" s="21"/>
      <c r="R1286" s="21"/>
      <c r="S1286" s="21"/>
      <c r="T1286" s="21"/>
      <c r="U1286" s="27" t="s">
        <v>345</v>
      </c>
      <c r="V1286" s="27" t="s">
        <v>196</v>
      </c>
    </row>
    <row r="1287" ht="14.25" customHeight="1">
      <c r="A1287" s="27" t="s">
        <v>2392</v>
      </c>
      <c r="B1287" s="27" t="s">
        <v>2391</v>
      </c>
      <c r="C1287" s="27" t="str">
        <f t="array" ref="C1287">INDEX(Funciones!$G$2:$G$372,MATCH($A1287,Funciones!$B$2:$B$372,0))</f>
        <v>Transmitir el esfuerzo de tracción hasta _____ kN</v>
      </c>
      <c r="D1287" s="27" t="s">
        <v>4653</v>
      </c>
      <c r="E1287" s="27" t="s">
        <v>3760</v>
      </c>
      <c r="F1287" s="27" t="s">
        <v>4654</v>
      </c>
      <c r="G1287" s="27" t="s">
        <v>4655</v>
      </c>
      <c r="H1287" s="18" t="str">
        <f t="array" ref="H1287">_xlfn.XLOOKUP(E:E,'Calificación consecuencia'!B:B,'Calificación consecuencia'!K:K,"No encontrada",2)</f>
        <v>Baja</v>
      </c>
      <c r="I1287" s="27" t="s">
        <v>339</v>
      </c>
      <c r="J1287" s="30" t="s">
        <v>116</v>
      </c>
      <c r="K1287" s="21"/>
      <c r="L1287" s="21"/>
      <c r="M1287" s="29" t="s">
        <v>120</v>
      </c>
      <c r="N1287" s="21"/>
      <c r="O1287" s="30" t="s">
        <v>116</v>
      </c>
      <c r="P1287" s="30" t="s">
        <v>116</v>
      </c>
      <c r="Q1287" s="21"/>
      <c r="R1287" s="21"/>
      <c r="S1287" s="21"/>
      <c r="T1287" s="21"/>
      <c r="U1287" s="27" t="s">
        <v>345</v>
      </c>
      <c r="V1287" s="27" t="s">
        <v>196</v>
      </c>
    </row>
    <row r="1288" ht="14.25" customHeight="1">
      <c r="A1288" s="9" t="s">
        <v>2401</v>
      </c>
      <c r="B1288" s="9" t="s">
        <v>2400</v>
      </c>
      <c r="C1288" s="9" t="str">
        <f t="array" ref="C1288">INDEX(Funciones!$G$2:$G$372,MATCH($A1288,Funciones!$B$2:$B$372,0))</f>
        <v>Soportar la carga por eje hasta _____ t</v>
      </c>
      <c r="D1288" s="9" t="s">
        <v>4476</v>
      </c>
      <c r="E1288" s="9" t="s">
        <v>1609</v>
      </c>
      <c r="F1288" s="9" t="s">
        <v>4088</v>
      </c>
      <c r="G1288" s="9" t="s">
        <v>3498</v>
      </c>
      <c r="H1288" s="18" t="str">
        <f t="array" ref="H1288">_xlfn.XLOOKUP(E:E,'Calificación consecuencia'!B:B,'Calificación consecuencia'!K:K,"No encontrada",2)</f>
        <v>Baja</v>
      </c>
      <c r="I1288" s="9" t="s">
        <v>425</v>
      </c>
      <c r="J1288" s="22" t="s">
        <v>120</v>
      </c>
      <c r="K1288" s="20" t="s">
        <v>116</v>
      </c>
      <c r="L1288" s="21"/>
      <c r="M1288" s="21"/>
      <c r="N1288" s="21"/>
      <c r="O1288" s="21"/>
      <c r="P1288" s="21"/>
      <c r="Q1288" s="21"/>
      <c r="R1288" s="21"/>
      <c r="S1288" s="21"/>
      <c r="T1288" s="21"/>
      <c r="U1288" s="9" t="s">
        <v>439</v>
      </c>
      <c r="V1288" s="9" t="s">
        <v>440</v>
      </c>
    </row>
    <row r="1289" ht="14.25" customHeight="1">
      <c r="A1289" s="9" t="s">
        <v>2401</v>
      </c>
      <c r="B1289" s="9" t="s">
        <v>2400</v>
      </c>
      <c r="C1289" s="9" t="str">
        <f t="array" ref="C1289">INDEX(Funciones!$G$2:$G$372,MATCH($A1289,Funciones!$B$2:$B$372,0))</f>
        <v>Soportar la carga por eje hasta _____ t</v>
      </c>
      <c r="D1289" s="9" t="s">
        <v>4476</v>
      </c>
      <c r="E1289" s="9" t="s">
        <v>1615</v>
      </c>
      <c r="F1289" s="9" t="s">
        <v>4089</v>
      </c>
      <c r="G1289" s="9" t="s">
        <v>3501</v>
      </c>
      <c r="H1289" s="18" t="str">
        <f t="array" ref="H1289">_xlfn.XLOOKUP(E:E,'Calificación consecuencia'!B:B,'Calificación consecuencia'!K:K,"No encontrada",2)</f>
        <v>Baja</v>
      </c>
      <c r="I1289" s="9" t="s">
        <v>425</v>
      </c>
      <c r="J1289" s="22" t="s">
        <v>120</v>
      </c>
      <c r="K1289" s="20" t="s">
        <v>116</v>
      </c>
      <c r="L1289" s="21"/>
      <c r="M1289" s="21"/>
      <c r="N1289" s="21"/>
      <c r="O1289" s="21"/>
      <c r="P1289" s="21"/>
      <c r="Q1289" s="21"/>
      <c r="R1289" s="21"/>
      <c r="S1289" s="21"/>
      <c r="T1289" s="21"/>
      <c r="U1289" s="9" t="s">
        <v>439</v>
      </c>
      <c r="V1289" s="9" t="s">
        <v>440</v>
      </c>
    </row>
    <row r="1290" ht="14.25" customHeight="1">
      <c r="A1290" s="9" t="s">
        <v>2401</v>
      </c>
      <c r="B1290" s="9" t="s">
        <v>2400</v>
      </c>
      <c r="C1290" s="9" t="str">
        <f t="array" ref="C1290">INDEX(Funciones!$G$2:$G$372,MATCH($A1290,Funciones!$B$2:$B$372,0))</f>
        <v>Soportar la carga por eje hasta _____ t</v>
      </c>
      <c r="D1290" s="9" t="s">
        <v>4477</v>
      </c>
      <c r="E1290" s="9" t="s">
        <v>1622</v>
      </c>
      <c r="F1290" s="9" t="s">
        <v>4091</v>
      </c>
      <c r="G1290" s="9" t="s">
        <v>3498</v>
      </c>
      <c r="H1290" s="18" t="str">
        <f t="array" ref="H1290">_xlfn.XLOOKUP(E:E,'Calificación consecuencia'!B:B,'Calificación consecuencia'!K:K,"No encontrada",2)</f>
        <v>Baja</v>
      </c>
      <c r="I1290" s="9" t="s">
        <v>339</v>
      </c>
      <c r="J1290" s="22" t="s">
        <v>120</v>
      </c>
      <c r="K1290" s="20" t="s">
        <v>116</v>
      </c>
      <c r="L1290" s="21"/>
      <c r="M1290" s="21"/>
      <c r="N1290" s="21"/>
      <c r="O1290" s="21"/>
      <c r="P1290" s="21"/>
      <c r="Q1290" s="21"/>
      <c r="R1290" s="21"/>
      <c r="S1290" s="21"/>
      <c r="T1290" s="21"/>
      <c r="U1290" s="9" t="s">
        <v>439</v>
      </c>
      <c r="V1290" s="9" t="s">
        <v>440</v>
      </c>
    </row>
    <row r="1291" ht="14.25" customHeight="1">
      <c r="A1291" s="9" t="s">
        <v>2401</v>
      </c>
      <c r="B1291" s="9" t="s">
        <v>2400</v>
      </c>
      <c r="C1291" s="9" t="str">
        <f t="array" ref="C1291">INDEX(Funciones!$G$2:$G$372,MATCH($A1291,Funciones!$B$2:$B$372,0))</f>
        <v>Soportar la carga por eje hasta _____ t</v>
      </c>
      <c r="D1291" s="9" t="s">
        <v>4477</v>
      </c>
      <c r="E1291" s="9" t="s">
        <v>1625</v>
      </c>
      <c r="F1291" s="9" t="s">
        <v>4092</v>
      </c>
      <c r="G1291" s="9" t="s">
        <v>3513</v>
      </c>
      <c r="H1291" s="18" t="str">
        <f t="array" ref="H1291">_xlfn.XLOOKUP(E:E,'Calificación consecuencia'!B:B,'Calificación consecuencia'!K:K,"No encontrada",2)</f>
        <v>Media</v>
      </c>
      <c r="I1291" s="9" t="s">
        <v>339</v>
      </c>
      <c r="J1291" s="22" t="s">
        <v>120</v>
      </c>
      <c r="K1291" s="20" t="s">
        <v>116</v>
      </c>
      <c r="L1291" s="21"/>
      <c r="M1291" s="21"/>
      <c r="N1291" s="21"/>
      <c r="O1291" s="21"/>
      <c r="P1291" s="21"/>
      <c r="Q1291" s="21"/>
      <c r="R1291" s="21"/>
      <c r="S1291" s="21"/>
      <c r="T1291" s="21"/>
      <c r="U1291" s="9" t="s">
        <v>439</v>
      </c>
      <c r="V1291" s="9" t="s">
        <v>440</v>
      </c>
    </row>
    <row r="1292" ht="14.25" customHeight="1">
      <c r="A1292" s="27" t="s">
        <v>2407</v>
      </c>
      <c r="B1292" s="27" t="s">
        <v>2400</v>
      </c>
      <c r="C1292" s="27" t="str">
        <f t="array" ref="C1292">INDEX(Funciones!$G$2:$G$372,MATCH($A1292,Funciones!$B$2:$B$372,0))</f>
        <v>Conservar el diámetro de rueda mínimo de 800 mm</v>
      </c>
      <c r="D1292" s="27" t="s">
        <v>4478</v>
      </c>
      <c r="E1292" s="27" t="s">
        <v>3688</v>
      </c>
      <c r="F1292" s="27" t="s">
        <v>4479</v>
      </c>
      <c r="G1292" s="27" t="s">
        <v>4480</v>
      </c>
      <c r="H1292" s="18" t="str">
        <f t="array" ref="H1292">_xlfn.XLOOKUP(E:E,'Calificación consecuencia'!B:B,'Calificación consecuencia'!K:K,"No encontrada",2)</f>
        <v>Media</v>
      </c>
      <c r="I1292" s="27" t="s">
        <v>425</v>
      </c>
      <c r="J1292" s="30" t="s">
        <v>116</v>
      </c>
      <c r="K1292" s="21"/>
      <c r="L1292" s="21"/>
      <c r="M1292" s="30" t="s">
        <v>116</v>
      </c>
      <c r="N1292" s="30" t="s">
        <v>116</v>
      </c>
      <c r="O1292" s="21"/>
      <c r="P1292" s="21"/>
      <c r="Q1292" s="21"/>
      <c r="R1292" s="21"/>
      <c r="S1292" s="21"/>
      <c r="T1292" s="21"/>
      <c r="U1292" s="27" t="s">
        <v>195</v>
      </c>
      <c r="V1292" s="27" t="s">
        <v>196</v>
      </c>
    </row>
    <row r="1293" ht="14.25" customHeight="1">
      <c r="A1293" s="27" t="s">
        <v>2407</v>
      </c>
      <c r="B1293" s="27" t="s">
        <v>2400</v>
      </c>
      <c r="C1293" s="27" t="str">
        <f t="array" ref="C1293">INDEX(Funciones!$G$2:$G$372,MATCH($A1293,Funciones!$B$2:$B$372,0))</f>
        <v>Conservar el diámetro de rueda mínimo de 800 mm</v>
      </c>
      <c r="D1293" s="27" t="s">
        <v>4481</v>
      </c>
      <c r="E1293" s="27" t="s">
        <v>3689</v>
      </c>
      <c r="F1293" s="27" t="s">
        <v>4482</v>
      </c>
      <c r="G1293" s="27" t="s">
        <v>4483</v>
      </c>
      <c r="H1293" s="18" t="str">
        <f t="array" ref="H1293">_xlfn.XLOOKUP(E:E,'Calificación consecuencia'!B:B,'Calificación consecuencia'!K:K,"No encontrada",2)</f>
        <v>Media</v>
      </c>
      <c r="I1293" s="27" t="s">
        <v>425</v>
      </c>
      <c r="J1293" s="30" t="s">
        <v>116</v>
      </c>
      <c r="K1293" s="21"/>
      <c r="L1293" s="21"/>
      <c r="M1293" s="30" t="s">
        <v>116</v>
      </c>
      <c r="N1293" s="30" t="s">
        <v>116</v>
      </c>
      <c r="O1293" s="21"/>
      <c r="P1293" s="21"/>
      <c r="Q1293" s="21"/>
      <c r="R1293" s="21"/>
      <c r="S1293" s="21"/>
      <c r="T1293" s="21"/>
      <c r="U1293" s="27" t="s">
        <v>195</v>
      </c>
      <c r="V1293" s="27" t="s">
        <v>196</v>
      </c>
    </row>
    <row r="1294" ht="14.25" customHeight="1">
      <c r="A1294" s="9" t="s">
        <v>2411</v>
      </c>
      <c r="B1294" s="9" t="s">
        <v>2400</v>
      </c>
      <c r="C1294" s="9" t="str">
        <f t="array" ref="C1294">INDEX(Funciones!$G$2:$G$372,MATCH($A1294,Funciones!$B$2:$B$372,0))</f>
        <v>Guiar el eje con pestaña de 25 a 33 mm</v>
      </c>
      <c r="D1294" s="9" t="s">
        <v>4484</v>
      </c>
      <c r="E1294" s="9" t="s">
        <v>3690</v>
      </c>
      <c r="F1294" s="9" t="s">
        <v>4485</v>
      </c>
      <c r="G1294" s="9" t="s">
        <v>3222</v>
      </c>
      <c r="H1294" s="18" t="str">
        <f t="array" ref="H1294">_xlfn.XLOOKUP(E:E,'Calificación consecuencia'!B:B,'Calificación consecuencia'!K:K,"No encontrada",2)</f>
        <v>Baja</v>
      </c>
      <c r="I1294" s="9" t="s">
        <v>425</v>
      </c>
      <c r="J1294" s="22" t="s">
        <v>120</v>
      </c>
      <c r="K1294" s="20" t="s">
        <v>116</v>
      </c>
      <c r="L1294" s="21"/>
      <c r="M1294" s="21"/>
      <c r="N1294" s="21"/>
      <c r="O1294" s="21"/>
      <c r="P1294" s="21"/>
      <c r="Q1294" s="21"/>
      <c r="R1294" s="21"/>
      <c r="S1294" s="21"/>
      <c r="T1294" s="21"/>
      <c r="U1294" s="9" t="s">
        <v>439</v>
      </c>
      <c r="V1294" s="9" t="s">
        <v>440</v>
      </c>
    </row>
    <row r="1295" ht="14.25" customHeight="1">
      <c r="A1295" s="9" t="s">
        <v>2411</v>
      </c>
      <c r="B1295" s="9" t="s">
        <v>2400</v>
      </c>
      <c r="C1295" s="9" t="str">
        <f t="array" ref="C1295">INDEX(Funciones!$G$2:$G$372,MATCH($A1295,Funciones!$B$2:$B$372,0))</f>
        <v>Guiar el eje con pestaña de 25 a 33 mm</v>
      </c>
      <c r="D1295" s="9" t="s">
        <v>4486</v>
      </c>
      <c r="E1295" s="9" t="s">
        <v>3154</v>
      </c>
      <c r="F1295" s="9" t="s">
        <v>4487</v>
      </c>
      <c r="G1295" s="9" t="s">
        <v>3232</v>
      </c>
      <c r="H1295" s="18" t="str">
        <f t="array" ref="H1295">_xlfn.XLOOKUP(E:E,'Calificación consecuencia'!B:B,'Calificación consecuencia'!K:K,"No encontrada",2)</f>
        <v>Media</v>
      </c>
      <c r="I1295" s="9" t="s">
        <v>425</v>
      </c>
      <c r="J1295" s="22" t="s">
        <v>120</v>
      </c>
      <c r="K1295" s="20" t="s">
        <v>116</v>
      </c>
      <c r="L1295" s="21"/>
      <c r="M1295" s="21"/>
      <c r="N1295" s="21"/>
      <c r="O1295" s="21"/>
      <c r="P1295" s="21"/>
      <c r="Q1295" s="21"/>
      <c r="R1295" s="21"/>
      <c r="S1295" s="21"/>
      <c r="T1295" s="21"/>
      <c r="U1295" s="9" t="s">
        <v>439</v>
      </c>
      <c r="V1295" s="9" t="s">
        <v>440</v>
      </c>
    </row>
    <row r="1296" ht="14.25" customHeight="1">
      <c r="A1296" s="9" t="s">
        <v>2411</v>
      </c>
      <c r="B1296" s="9" t="s">
        <v>2400</v>
      </c>
      <c r="C1296" s="9" t="str">
        <f t="array" ref="C1296">INDEX(Funciones!$G$2:$G$372,MATCH($A1296,Funciones!$B$2:$B$372,0))</f>
        <v>Guiar el eje con pestaña de 25 a 33 mm</v>
      </c>
      <c r="D1296" s="9" t="s">
        <v>4488</v>
      </c>
      <c r="E1296" s="9" t="s">
        <v>3691</v>
      </c>
      <c r="F1296" s="9" t="s">
        <v>4489</v>
      </c>
      <c r="G1296" s="9" t="s">
        <v>4490</v>
      </c>
      <c r="H1296" s="18" t="str">
        <f t="array" ref="H1296">_xlfn.XLOOKUP(E:E,'Calificación consecuencia'!B:B,'Calificación consecuencia'!K:K,"No encontrada",2)</f>
        <v>Media</v>
      </c>
      <c r="I1296" s="9" t="s">
        <v>425</v>
      </c>
      <c r="J1296" s="22" t="s">
        <v>120</v>
      </c>
      <c r="K1296" s="20" t="s">
        <v>116</v>
      </c>
      <c r="L1296" s="21"/>
      <c r="M1296" s="21"/>
      <c r="N1296" s="21"/>
      <c r="O1296" s="21"/>
      <c r="P1296" s="21"/>
      <c r="Q1296" s="21"/>
      <c r="R1296" s="21"/>
      <c r="S1296" s="21"/>
      <c r="T1296" s="21"/>
      <c r="U1296" s="9" t="s">
        <v>439</v>
      </c>
      <c r="V1296" s="9" t="s">
        <v>440</v>
      </c>
    </row>
    <row r="1297" ht="14.25" customHeight="1">
      <c r="A1297" s="27" t="s">
        <v>2414</v>
      </c>
      <c r="B1297" s="27" t="s">
        <v>2400</v>
      </c>
      <c r="C1297" s="27" t="str">
        <f t="array" ref="C1297">INDEX(Funciones!$G$2:$G$372,MATCH($A1297,Funciones!$B$2:$B$372,0))</f>
        <v>Impedir el remonte de pestaña con cota qR ≥ 6,5 mm</v>
      </c>
      <c r="D1297" s="27" t="s">
        <v>3220</v>
      </c>
      <c r="E1297" s="27" t="s">
        <v>1127</v>
      </c>
      <c r="F1297" s="27" t="s">
        <v>3221</v>
      </c>
      <c r="G1297" s="27" t="s">
        <v>3222</v>
      </c>
      <c r="H1297" s="18" t="str">
        <f t="array" ref="H1297">_xlfn.XLOOKUP(E:E,'Calificación consecuencia'!B:B,'Calificación consecuencia'!K:K,"No encontrada",2)</f>
        <v>Baja</v>
      </c>
      <c r="I1297" s="27" t="s">
        <v>425</v>
      </c>
      <c r="J1297" s="29" t="s">
        <v>120</v>
      </c>
      <c r="K1297" s="30" t="s">
        <v>116</v>
      </c>
      <c r="L1297" s="21"/>
      <c r="M1297" s="21"/>
      <c r="N1297" s="21"/>
      <c r="O1297" s="21"/>
      <c r="P1297" s="21"/>
      <c r="Q1297" s="21"/>
      <c r="R1297" s="21"/>
      <c r="S1297" s="21"/>
      <c r="T1297" s="21"/>
      <c r="U1297" s="27" t="s">
        <v>439</v>
      </c>
      <c r="V1297" s="27" t="s">
        <v>440</v>
      </c>
    </row>
    <row r="1298" ht="14.25" customHeight="1">
      <c r="A1298" s="27" t="s">
        <v>2414</v>
      </c>
      <c r="B1298" s="27" t="s">
        <v>2400</v>
      </c>
      <c r="C1298" s="27" t="str">
        <f t="array" ref="C1298">INDEX(Funciones!$G$2:$G$372,MATCH($A1298,Funciones!$B$2:$B$372,0))</f>
        <v>Impedir el remonte de pestaña con cota qR ≥ 6,5 mm</v>
      </c>
      <c r="D1298" s="27" t="s">
        <v>3230</v>
      </c>
      <c r="E1298" s="27" t="s">
        <v>1134</v>
      </c>
      <c r="F1298" s="27" t="s">
        <v>3231</v>
      </c>
      <c r="G1298" s="27" t="s">
        <v>3232</v>
      </c>
      <c r="H1298" s="18" t="str">
        <f t="array" ref="H1298">_xlfn.XLOOKUP(E:E,'Calificación consecuencia'!B:B,'Calificación consecuencia'!K:K,"No encontrada",2)</f>
        <v>Media</v>
      </c>
      <c r="I1298" s="27" t="s">
        <v>425</v>
      </c>
      <c r="J1298" s="29" t="s">
        <v>120</v>
      </c>
      <c r="K1298" s="30" t="s">
        <v>116</v>
      </c>
      <c r="L1298" s="21"/>
      <c r="M1298" s="21"/>
      <c r="N1298" s="21"/>
      <c r="O1298" s="21"/>
      <c r="P1298" s="21"/>
      <c r="Q1298" s="21"/>
      <c r="R1298" s="21"/>
      <c r="S1298" s="21"/>
      <c r="T1298" s="21"/>
      <c r="U1298" s="27" t="s">
        <v>439</v>
      </c>
      <c r="V1298" s="27" t="s">
        <v>440</v>
      </c>
    </row>
    <row r="1299" ht="14.25" customHeight="1">
      <c r="A1299" s="27" t="s">
        <v>2414</v>
      </c>
      <c r="B1299" s="27" t="s">
        <v>2400</v>
      </c>
      <c r="C1299" s="27" t="str">
        <f t="array" ref="C1299">INDEX(Funciones!$G$2:$G$372,MATCH($A1299,Funciones!$B$2:$B$372,0))</f>
        <v>Impedir el remonte de pestaña con cota qR ≥ 6,5 mm</v>
      </c>
      <c r="D1299" s="27" t="s">
        <v>3230</v>
      </c>
      <c r="E1299" s="27" t="s">
        <v>1141</v>
      </c>
      <c r="F1299" s="27" t="s">
        <v>3250</v>
      </c>
      <c r="G1299" s="27" t="s">
        <v>3251</v>
      </c>
      <c r="H1299" s="18" t="str">
        <f t="array" ref="H1299">_xlfn.XLOOKUP(E:E,'Calificación consecuencia'!B:B,'Calificación consecuencia'!K:K,"No encontrada",2)</f>
        <v>Media</v>
      </c>
      <c r="I1299" s="27" t="s">
        <v>425</v>
      </c>
      <c r="J1299" s="29" t="s">
        <v>120</v>
      </c>
      <c r="K1299" s="30" t="s">
        <v>116</v>
      </c>
      <c r="L1299" s="21"/>
      <c r="M1299" s="21"/>
      <c r="N1299" s="21"/>
      <c r="O1299" s="21"/>
      <c r="P1299" s="21"/>
      <c r="Q1299" s="21"/>
      <c r="R1299" s="21"/>
      <c r="S1299" s="21"/>
      <c r="T1299" s="21"/>
      <c r="U1299" s="27" t="s">
        <v>439</v>
      </c>
      <c r="V1299" s="27" t="s">
        <v>440</v>
      </c>
    </row>
    <row r="1300" ht="14.25" customHeight="1">
      <c r="A1300" s="27" t="s">
        <v>2414</v>
      </c>
      <c r="B1300" s="27" t="s">
        <v>2400</v>
      </c>
      <c r="C1300" s="27" t="str">
        <f t="array" ref="C1300">INDEX(Funciones!$G$2:$G$372,MATCH($A1300,Funciones!$B$2:$B$372,0))</f>
        <v>Impedir el remonte de pestaña con cota qR ≥ 6,5 mm</v>
      </c>
      <c r="D1300" s="27" t="s">
        <v>3230</v>
      </c>
      <c r="E1300" s="27" t="s">
        <v>1147</v>
      </c>
      <c r="F1300" s="27" t="s">
        <v>3271</v>
      </c>
      <c r="G1300" s="27" t="s">
        <v>3272</v>
      </c>
      <c r="H1300" s="18" t="str">
        <f t="array" ref="H1300">_xlfn.XLOOKUP(E:E,'Calificación consecuencia'!B:B,'Calificación consecuencia'!K:K,"No encontrada",2)</f>
        <v>Media</v>
      </c>
      <c r="I1300" s="27" t="s">
        <v>425</v>
      </c>
      <c r="J1300" s="29" t="s">
        <v>120</v>
      </c>
      <c r="K1300" s="30" t="s">
        <v>116</v>
      </c>
      <c r="L1300" s="21"/>
      <c r="M1300" s="21"/>
      <c r="N1300" s="21"/>
      <c r="O1300" s="21"/>
      <c r="P1300" s="21"/>
      <c r="Q1300" s="21"/>
      <c r="R1300" s="21"/>
      <c r="S1300" s="21"/>
      <c r="T1300" s="21"/>
      <c r="U1300" s="27" t="s">
        <v>439</v>
      </c>
      <c r="V1300" s="27" t="s">
        <v>440</v>
      </c>
    </row>
    <row r="1301" ht="14.25" customHeight="1">
      <c r="A1301" s="9" t="s">
        <v>2417</v>
      </c>
      <c r="B1301" s="9" t="s">
        <v>2400</v>
      </c>
      <c r="C1301" s="9" t="str">
        <f t="array" ref="C1301">INDEX(Funciones!$G$2:$G$372,MATCH($A1301,Funciones!$B$2:$B$372,0))</f>
        <v>Limitar la altura de pestaña de 27,5 a 36 mm</v>
      </c>
      <c r="D1301" s="9" t="s">
        <v>4491</v>
      </c>
      <c r="E1301" s="9" t="s">
        <v>3690</v>
      </c>
      <c r="F1301" s="9" t="s">
        <v>4492</v>
      </c>
      <c r="G1301" s="9" t="s">
        <v>3222</v>
      </c>
      <c r="H1301" s="18" t="str">
        <f t="array" ref="H1301">_xlfn.XLOOKUP(E:E,'Calificación consecuencia'!B:B,'Calificación consecuencia'!K:K,"No encontrada",2)</f>
        <v>Baja</v>
      </c>
      <c r="I1301" s="9" t="s">
        <v>425</v>
      </c>
      <c r="J1301" s="22" t="s">
        <v>120</v>
      </c>
      <c r="K1301" s="20" t="s">
        <v>116</v>
      </c>
      <c r="L1301" s="21"/>
      <c r="M1301" s="21"/>
      <c r="N1301" s="21"/>
      <c r="O1301" s="21"/>
      <c r="P1301" s="21"/>
      <c r="Q1301" s="21"/>
      <c r="R1301" s="21"/>
      <c r="S1301" s="21"/>
      <c r="T1301" s="21"/>
      <c r="U1301" s="9" t="s">
        <v>439</v>
      </c>
      <c r="V1301" s="9" t="s">
        <v>440</v>
      </c>
    </row>
    <row r="1302" ht="14.25" customHeight="1">
      <c r="A1302" s="9" t="s">
        <v>2417</v>
      </c>
      <c r="B1302" s="9" t="s">
        <v>2400</v>
      </c>
      <c r="C1302" s="9" t="str">
        <f t="array" ref="C1302">INDEX(Funciones!$G$2:$G$372,MATCH($A1302,Funciones!$B$2:$B$372,0))</f>
        <v>Limitar la altura de pestaña de 27,5 a 36 mm</v>
      </c>
      <c r="D1302" s="9" t="s">
        <v>4493</v>
      </c>
      <c r="E1302" s="9" t="s">
        <v>3154</v>
      </c>
      <c r="F1302" s="9" t="s">
        <v>4494</v>
      </c>
      <c r="G1302" s="9" t="s">
        <v>3232</v>
      </c>
      <c r="H1302" s="18" t="str">
        <f t="array" ref="H1302">_xlfn.XLOOKUP(E:E,'Calificación consecuencia'!B:B,'Calificación consecuencia'!K:K,"No encontrada",2)</f>
        <v>Media</v>
      </c>
      <c r="I1302" s="9" t="s">
        <v>425</v>
      </c>
      <c r="J1302" s="22" t="s">
        <v>120</v>
      </c>
      <c r="K1302" s="20" t="s">
        <v>116</v>
      </c>
      <c r="L1302" s="21"/>
      <c r="M1302" s="21"/>
      <c r="N1302" s="21"/>
      <c r="O1302" s="21"/>
      <c r="P1302" s="21"/>
      <c r="Q1302" s="21"/>
      <c r="R1302" s="21"/>
      <c r="S1302" s="21"/>
      <c r="T1302" s="21"/>
      <c r="U1302" s="9" t="s">
        <v>439</v>
      </c>
      <c r="V1302" s="9" t="s">
        <v>440</v>
      </c>
    </row>
    <row r="1303" ht="14.25" customHeight="1">
      <c r="A1303" s="9" t="s">
        <v>2417</v>
      </c>
      <c r="B1303" s="9" t="s">
        <v>2400</v>
      </c>
      <c r="C1303" s="9" t="str">
        <f t="array" ref="C1303">INDEX(Funciones!$G$2:$G$372,MATCH($A1303,Funciones!$B$2:$B$372,0))</f>
        <v>Limitar la altura de pestaña de 27,5 a 36 mm</v>
      </c>
      <c r="D1303" s="9" t="s">
        <v>4495</v>
      </c>
      <c r="E1303" s="9" t="s">
        <v>3691</v>
      </c>
      <c r="F1303" s="9" t="s">
        <v>4496</v>
      </c>
      <c r="G1303" s="9" t="s">
        <v>4490</v>
      </c>
      <c r="H1303" s="18" t="str">
        <f t="array" ref="H1303">_xlfn.XLOOKUP(E:E,'Calificación consecuencia'!B:B,'Calificación consecuencia'!K:K,"No encontrada",2)</f>
        <v>Media</v>
      </c>
      <c r="I1303" s="9" t="s">
        <v>425</v>
      </c>
      <c r="J1303" s="22" t="s">
        <v>120</v>
      </c>
      <c r="K1303" s="20" t="s">
        <v>116</v>
      </c>
      <c r="L1303" s="21"/>
      <c r="M1303" s="21"/>
      <c r="N1303" s="21"/>
      <c r="O1303" s="21"/>
      <c r="P1303" s="21"/>
      <c r="Q1303" s="21"/>
      <c r="R1303" s="21"/>
      <c r="S1303" s="21"/>
      <c r="T1303" s="21"/>
      <c r="U1303" s="9" t="s">
        <v>439</v>
      </c>
      <c r="V1303" s="9" t="s">
        <v>440</v>
      </c>
    </row>
    <row r="1304" ht="14.25" customHeight="1">
      <c r="A1304" s="27" t="s">
        <v>2421</v>
      </c>
      <c r="B1304" s="27" t="s">
        <v>2400</v>
      </c>
      <c r="C1304" s="27" t="str">
        <f t="array" ref="C1304">INDEX(Funciones!$G$2:$G$372,MATCH($A1304,Funciones!$B$2:$B$372,0))</f>
        <v>Mantener la distancia entre ruedas de 1.358 a 1.363 mm</v>
      </c>
      <c r="D1304" s="27" t="s">
        <v>4497</v>
      </c>
      <c r="E1304" s="27" t="s">
        <v>1644</v>
      </c>
      <c r="F1304" s="27" t="s">
        <v>4498</v>
      </c>
      <c r="G1304" s="27" t="s">
        <v>3525</v>
      </c>
      <c r="H1304" s="18" t="str">
        <f t="array" ref="H1304">_xlfn.XLOOKUP(E:E,'Calificación consecuencia'!B:B,'Calificación consecuencia'!K:K,"No encontrada",2)</f>
        <v>Baja</v>
      </c>
      <c r="I1304" s="27" t="s">
        <v>425</v>
      </c>
      <c r="J1304" s="29" t="s">
        <v>120</v>
      </c>
      <c r="K1304" s="30" t="s">
        <v>116</v>
      </c>
      <c r="L1304" s="21"/>
      <c r="M1304" s="21"/>
      <c r="N1304" s="21"/>
      <c r="O1304" s="21"/>
      <c r="P1304" s="21"/>
      <c r="Q1304" s="21"/>
      <c r="R1304" s="21"/>
      <c r="S1304" s="21"/>
      <c r="T1304" s="21"/>
      <c r="U1304" s="27" t="s">
        <v>439</v>
      </c>
      <c r="V1304" s="27" t="s">
        <v>440</v>
      </c>
    </row>
    <row r="1305" ht="14.25" customHeight="1">
      <c r="A1305" s="27" t="s">
        <v>2421</v>
      </c>
      <c r="B1305" s="27" t="s">
        <v>2400</v>
      </c>
      <c r="C1305" s="27" t="str">
        <f t="array" ref="C1305">INDEX(Funciones!$G$2:$G$372,MATCH($A1305,Funciones!$B$2:$B$372,0))</f>
        <v>Mantener la distancia entre ruedas de 1.358 a 1.363 mm</v>
      </c>
      <c r="D1305" s="27" t="s">
        <v>4499</v>
      </c>
      <c r="E1305" s="27" t="s">
        <v>1650</v>
      </c>
      <c r="F1305" s="27" t="s">
        <v>4500</v>
      </c>
      <c r="G1305" s="27" t="s">
        <v>3528</v>
      </c>
      <c r="H1305" s="18" t="str">
        <f t="array" ref="H1305">_xlfn.XLOOKUP(E:E,'Calificación consecuencia'!B:B,'Calificación consecuencia'!K:K,"No encontrada",2)</f>
        <v>Baja</v>
      </c>
      <c r="I1305" s="27" t="s">
        <v>425</v>
      </c>
      <c r="J1305" s="29" t="s">
        <v>120</v>
      </c>
      <c r="K1305" s="30" t="s">
        <v>116</v>
      </c>
      <c r="L1305" s="21"/>
      <c r="M1305" s="21"/>
      <c r="N1305" s="21"/>
      <c r="O1305" s="21"/>
      <c r="P1305" s="21"/>
      <c r="Q1305" s="21"/>
      <c r="R1305" s="21"/>
      <c r="S1305" s="21"/>
      <c r="T1305" s="21"/>
      <c r="U1305" s="27" t="s">
        <v>439</v>
      </c>
      <c r="V1305" s="27" t="s">
        <v>440</v>
      </c>
    </row>
    <row r="1306" ht="14.25" customHeight="1">
      <c r="A1306" s="27" t="s">
        <v>2421</v>
      </c>
      <c r="B1306" s="27" t="s">
        <v>2400</v>
      </c>
      <c r="C1306" s="27" t="str">
        <f t="array" ref="C1306">INDEX(Funciones!$G$2:$G$372,MATCH($A1306,Funciones!$B$2:$B$372,0))</f>
        <v>Mantener la distancia entre ruedas de 1.358 a 1.363 mm</v>
      </c>
      <c r="D1306" s="27" t="s">
        <v>4501</v>
      </c>
      <c r="E1306" s="27" t="s">
        <v>1655</v>
      </c>
      <c r="F1306" s="27" t="s">
        <v>3530</v>
      </c>
      <c r="G1306" s="27" t="s">
        <v>3531</v>
      </c>
      <c r="H1306" s="18" t="str">
        <f t="array" ref="H1306">_xlfn.XLOOKUP(E:E,'Calificación consecuencia'!B:B,'Calificación consecuencia'!K:K,"No encontrada",2)</f>
        <v>Baja</v>
      </c>
      <c r="I1306" s="27" t="s">
        <v>425</v>
      </c>
      <c r="J1306" s="29" t="s">
        <v>120</v>
      </c>
      <c r="K1306" s="30" t="s">
        <v>116</v>
      </c>
      <c r="L1306" s="21"/>
      <c r="M1306" s="21"/>
      <c r="N1306" s="21"/>
      <c r="O1306" s="21"/>
      <c r="P1306" s="21"/>
      <c r="Q1306" s="21"/>
      <c r="R1306" s="21"/>
      <c r="S1306" s="21"/>
      <c r="T1306" s="21"/>
      <c r="U1306" s="27" t="s">
        <v>439</v>
      </c>
      <c r="V1306" s="27" t="s">
        <v>440</v>
      </c>
    </row>
    <row r="1307" ht="14.25" customHeight="1">
      <c r="A1307" s="9" t="s">
        <v>2423</v>
      </c>
      <c r="B1307" s="9" t="s">
        <v>2400</v>
      </c>
      <c r="C1307" s="9" t="str">
        <f t="array" ref="C1307">INDEX(Funciones!$G$2:$G$372,MATCH($A1307,Funciones!$B$2:$B$372,0))</f>
        <v>Mantener el ancho de llanta de 133 a 145 mm</v>
      </c>
      <c r="D1307" s="9" t="s">
        <v>4502</v>
      </c>
      <c r="E1307" s="9" t="s">
        <v>3692</v>
      </c>
      <c r="F1307" s="9" t="s">
        <v>4503</v>
      </c>
      <c r="G1307" s="9" t="s">
        <v>4504</v>
      </c>
      <c r="H1307" s="18" t="str">
        <f t="array" ref="H1307">_xlfn.XLOOKUP(E:E,'Calificación consecuencia'!B:B,'Calificación consecuencia'!K:K,"No encontrada",2)</f>
        <v>Baja</v>
      </c>
      <c r="I1307" s="9" t="s">
        <v>425</v>
      </c>
      <c r="J1307" s="22" t="s">
        <v>120</v>
      </c>
      <c r="K1307" s="20" t="s">
        <v>116</v>
      </c>
      <c r="L1307" s="21"/>
      <c r="M1307" s="21"/>
      <c r="N1307" s="21"/>
      <c r="O1307" s="21"/>
      <c r="P1307" s="21"/>
      <c r="Q1307" s="21"/>
      <c r="R1307" s="21"/>
      <c r="S1307" s="21"/>
      <c r="T1307" s="21"/>
      <c r="U1307" s="9" t="s">
        <v>439</v>
      </c>
      <c r="V1307" s="9" t="s">
        <v>440</v>
      </c>
    </row>
    <row r="1308" ht="14.25" customHeight="1">
      <c r="A1308" s="9" t="s">
        <v>2423</v>
      </c>
      <c r="B1308" s="9" t="s">
        <v>2400</v>
      </c>
      <c r="C1308" s="9" t="str">
        <f t="array" ref="C1308">INDEX(Funciones!$G$2:$G$372,MATCH($A1308,Funciones!$B$2:$B$372,0))</f>
        <v>Mantener el ancho de llanta de 133 a 145 mm</v>
      </c>
      <c r="D1308" s="9" t="s">
        <v>4505</v>
      </c>
      <c r="E1308" s="9" t="s">
        <v>3693</v>
      </c>
      <c r="F1308" s="9" t="s">
        <v>4506</v>
      </c>
      <c r="G1308" s="9" t="s">
        <v>4507</v>
      </c>
      <c r="H1308" s="18" t="str">
        <f t="array" ref="H1308">_xlfn.XLOOKUP(E:E,'Calificación consecuencia'!B:B,'Calificación consecuencia'!K:K,"No encontrada",2)</f>
        <v>Media</v>
      </c>
      <c r="I1308" s="9" t="s">
        <v>425</v>
      </c>
      <c r="J1308" s="22" t="s">
        <v>120</v>
      </c>
      <c r="K1308" s="20" t="s">
        <v>116</v>
      </c>
      <c r="L1308" s="21"/>
      <c r="M1308" s="21"/>
      <c r="N1308" s="21"/>
      <c r="O1308" s="21"/>
      <c r="P1308" s="21"/>
      <c r="Q1308" s="21"/>
      <c r="R1308" s="21"/>
      <c r="S1308" s="21"/>
      <c r="T1308" s="21"/>
      <c r="U1308" s="9" t="s">
        <v>439</v>
      </c>
      <c r="V1308" s="9" t="s">
        <v>440</v>
      </c>
    </row>
    <row r="1309" ht="14.25" customHeight="1">
      <c r="A1309" s="9" t="s">
        <v>2423</v>
      </c>
      <c r="B1309" s="9" t="s">
        <v>2400</v>
      </c>
      <c r="C1309" s="9" t="str">
        <f t="array" ref="C1309">INDEX(Funciones!$G$2:$G$372,MATCH($A1309,Funciones!$B$2:$B$372,0))</f>
        <v>Mantener el ancho de llanta de 133 a 145 mm</v>
      </c>
      <c r="D1309" s="9" t="s">
        <v>4508</v>
      </c>
      <c r="E1309" s="9" t="s">
        <v>3694</v>
      </c>
      <c r="F1309" s="9" t="s">
        <v>4509</v>
      </c>
      <c r="G1309" s="9" t="s">
        <v>4510</v>
      </c>
      <c r="H1309" s="18" t="str">
        <f t="array" ref="H1309">_xlfn.XLOOKUP(E:E,'Calificación consecuencia'!B:B,'Calificación consecuencia'!K:K,"No encontrada",2)</f>
        <v>Media</v>
      </c>
      <c r="I1309" s="9" t="s">
        <v>425</v>
      </c>
      <c r="J1309" s="22" t="s">
        <v>120</v>
      </c>
      <c r="K1309" s="20" t="s">
        <v>116</v>
      </c>
      <c r="L1309" s="21"/>
      <c r="M1309" s="21"/>
      <c r="N1309" s="21"/>
      <c r="O1309" s="21"/>
      <c r="P1309" s="21"/>
      <c r="Q1309" s="21"/>
      <c r="R1309" s="21"/>
      <c r="S1309" s="21"/>
      <c r="T1309" s="21"/>
      <c r="U1309" s="9" t="s">
        <v>439</v>
      </c>
      <c r="V1309" s="9" t="s">
        <v>440</v>
      </c>
    </row>
    <row r="1310" ht="14.25" customHeight="1">
      <c r="A1310" s="27" t="s">
        <v>2425</v>
      </c>
      <c r="B1310" s="27" t="s">
        <v>2400</v>
      </c>
      <c r="C1310" s="27" t="str">
        <f t="array" ref="C1310">INDEX(Funciones!$G$2:$G$372,MATCH($A1310,Funciones!$B$2:$B$372,0))</f>
        <v>Igualar el diámetro de ruedas con diferencia máxima de 0,1 mm</v>
      </c>
      <c r="D1310" s="27" t="s">
        <v>4511</v>
      </c>
      <c r="E1310" s="27" t="s">
        <v>3695</v>
      </c>
      <c r="F1310" s="27" t="s">
        <v>4512</v>
      </c>
      <c r="G1310" s="27" t="s">
        <v>4513</v>
      </c>
      <c r="H1310" s="18" t="str">
        <f t="array" ref="H1310">_xlfn.XLOOKUP(E:E,'Calificación consecuencia'!B:B,'Calificación consecuencia'!K:K,"No encontrada",2)</f>
        <v>Baja</v>
      </c>
      <c r="I1310" s="27" t="s">
        <v>425</v>
      </c>
      <c r="J1310" s="29" t="s">
        <v>120</v>
      </c>
      <c r="K1310" s="30" t="s">
        <v>116</v>
      </c>
      <c r="L1310" s="21"/>
      <c r="M1310" s="21"/>
      <c r="N1310" s="21"/>
      <c r="O1310" s="21"/>
      <c r="P1310" s="21"/>
      <c r="Q1310" s="21"/>
      <c r="R1310" s="21"/>
      <c r="S1310" s="21"/>
      <c r="T1310" s="21"/>
      <c r="U1310" s="27" t="s">
        <v>439</v>
      </c>
      <c r="V1310" s="27" t="s">
        <v>440</v>
      </c>
    </row>
    <row r="1311" ht="14.25" customHeight="1">
      <c r="A1311" s="27" t="s">
        <v>2425</v>
      </c>
      <c r="B1311" s="27" t="s">
        <v>2400</v>
      </c>
      <c r="C1311" s="27" t="str">
        <f t="array" ref="C1311">INDEX(Funciones!$G$2:$G$372,MATCH($A1311,Funciones!$B$2:$B$372,0))</f>
        <v>Igualar el diámetro de ruedas con diferencia máxima de 0,1 mm</v>
      </c>
      <c r="D1311" s="27" t="s">
        <v>4514</v>
      </c>
      <c r="E1311" s="27" t="s">
        <v>3696</v>
      </c>
      <c r="F1311" s="27" t="s">
        <v>4515</v>
      </c>
      <c r="G1311" s="27" t="s">
        <v>4516</v>
      </c>
      <c r="H1311" s="18" t="str">
        <f t="array" ref="H1311">_xlfn.XLOOKUP(E:E,'Calificación consecuencia'!B:B,'Calificación consecuencia'!K:K,"No encontrada",2)</f>
        <v>Media</v>
      </c>
      <c r="I1311" s="27" t="s">
        <v>425</v>
      </c>
      <c r="J1311" s="29" t="s">
        <v>120</v>
      </c>
      <c r="K1311" s="30" t="s">
        <v>116</v>
      </c>
      <c r="L1311" s="21"/>
      <c r="M1311" s="21"/>
      <c r="N1311" s="21"/>
      <c r="O1311" s="21"/>
      <c r="P1311" s="21"/>
      <c r="Q1311" s="21"/>
      <c r="R1311" s="21"/>
      <c r="S1311" s="21"/>
      <c r="T1311" s="21"/>
      <c r="U1311" s="27" t="s">
        <v>439</v>
      </c>
      <c r="V1311" s="27" t="s">
        <v>440</v>
      </c>
    </row>
    <row r="1312" ht="14.25" customHeight="1">
      <c r="A1312" s="27" t="s">
        <v>2425</v>
      </c>
      <c r="B1312" s="27" t="s">
        <v>2400</v>
      </c>
      <c r="C1312" s="27" t="str">
        <f t="array" ref="C1312">INDEX(Funciones!$G$2:$G$372,MATCH($A1312,Funciones!$B$2:$B$372,0))</f>
        <v>Igualar el diámetro de ruedas con diferencia máxima de 0,1 mm</v>
      </c>
      <c r="D1312" s="27" t="s">
        <v>4514</v>
      </c>
      <c r="E1312" s="27" t="s">
        <v>3697</v>
      </c>
      <c r="F1312" s="27" t="s">
        <v>4517</v>
      </c>
      <c r="G1312" s="27" t="s">
        <v>4518</v>
      </c>
      <c r="H1312" s="18" t="str">
        <f t="array" ref="H1312">_xlfn.XLOOKUP(E:E,'Calificación consecuencia'!B:B,'Calificación consecuencia'!K:K,"No encontrada",2)</f>
        <v>Media</v>
      </c>
      <c r="I1312" s="27" t="s">
        <v>425</v>
      </c>
      <c r="J1312" s="29" t="s">
        <v>120</v>
      </c>
      <c r="K1312" s="30" t="s">
        <v>116</v>
      </c>
      <c r="L1312" s="21"/>
      <c r="M1312" s="21"/>
      <c r="N1312" s="21"/>
      <c r="O1312" s="21"/>
      <c r="P1312" s="21"/>
      <c r="Q1312" s="21"/>
      <c r="R1312" s="21"/>
      <c r="S1312" s="21"/>
      <c r="T1312" s="21"/>
      <c r="U1312" s="27" t="s">
        <v>439</v>
      </c>
      <c r="V1312" s="27" t="s">
        <v>440</v>
      </c>
    </row>
    <row r="1313" ht="14.25" customHeight="1">
      <c r="A1313" s="9" t="s">
        <v>2429</v>
      </c>
      <c r="B1313" s="9" t="s">
        <v>2428</v>
      </c>
      <c r="C1313" s="9" t="str">
        <f t="array" ref="C1313">INDEX(Funciones!$G$2:$G$372,MATCH($A1313,Funciones!$B$2:$B$372,0))</f>
        <v>Sellar la caja del coche con 0 filtraciones en prueba de agua</v>
      </c>
      <c r="D1313" s="9" t="s">
        <v>4656</v>
      </c>
      <c r="E1313" s="9" t="s">
        <v>3768</v>
      </c>
      <c r="F1313" s="9" t="s">
        <v>4657</v>
      </c>
      <c r="G1313" s="9" t="s">
        <v>4658</v>
      </c>
      <c r="H1313" s="18" t="str">
        <f t="array" ref="H1313">_xlfn.XLOOKUP(E:E,'Calificación consecuencia'!B:B,'Calificación consecuencia'!K:K,"No encontrada",2)</f>
        <v>Baja</v>
      </c>
      <c r="I1313" s="9" t="s">
        <v>339</v>
      </c>
      <c r="J1313" s="20" t="s">
        <v>116</v>
      </c>
      <c r="K1313" s="21"/>
      <c r="L1313" s="21"/>
      <c r="M1313" s="22" t="s">
        <v>120</v>
      </c>
      <c r="N1313" s="21"/>
      <c r="O1313" s="20" t="s">
        <v>116</v>
      </c>
      <c r="P1313" s="20" t="s">
        <v>116</v>
      </c>
      <c r="Q1313" s="21"/>
      <c r="R1313" s="21"/>
      <c r="S1313" s="21"/>
      <c r="T1313" s="21"/>
      <c r="U1313" s="9" t="s">
        <v>345</v>
      </c>
      <c r="V1313" s="9" t="s">
        <v>196</v>
      </c>
    </row>
    <row r="1314" ht="14.25" customHeight="1">
      <c r="A1314" s="9" t="s">
        <v>2429</v>
      </c>
      <c r="B1314" s="9" t="s">
        <v>2428</v>
      </c>
      <c r="C1314" s="9" t="str">
        <f t="array" ref="C1314">INDEX(Funciones!$G$2:$G$372,MATCH($A1314,Funciones!$B$2:$B$372,0))</f>
        <v>Sellar la caja del coche con 0 filtraciones en prueba de agua</v>
      </c>
      <c r="D1314" s="9" t="s">
        <v>4659</v>
      </c>
      <c r="E1314" s="9" t="s">
        <v>1184</v>
      </c>
      <c r="F1314" s="9" t="s">
        <v>4660</v>
      </c>
      <c r="G1314" s="9" t="s">
        <v>3286</v>
      </c>
      <c r="H1314" s="18" t="str">
        <f t="array" ref="H1314">_xlfn.XLOOKUP(E:E,'Calificación consecuencia'!B:B,'Calificación consecuencia'!K:K,"No encontrada",2)</f>
        <v>Baja</v>
      </c>
      <c r="I1314" s="9" t="s">
        <v>2106</v>
      </c>
      <c r="J1314" s="20" t="s">
        <v>116</v>
      </c>
      <c r="K1314" s="21"/>
      <c r="L1314" s="21"/>
      <c r="M1314" s="22" t="s">
        <v>120</v>
      </c>
      <c r="N1314" s="21"/>
      <c r="O1314" s="20" t="s">
        <v>116</v>
      </c>
      <c r="P1314" s="20" t="s">
        <v>116</v>
      </c>
      <c r="Q1314" s="21"/>
      <c r="R1314" s="21"/>
      <c r="S1314" s="21"/>
      <c r="T1314" s="21"/>
      <c r="U1314" s="9" t="s">
        <v>345</v>
      </c>
      <c r="V1314" s="9" t="s">
        <v>196</v>
      </c>
    </row>
    <row r="1315" ht="14.25" customHeight="1">
      <c r="A1315" s="9" t="s">
        <v>2429</v>
      </c>
      <c r="B1315" s="9" t="s">
        <v>2428</v>
      </c>
      <c r="C1315" s="9" t="str">
        <f t="array" ref="C1315">INDEX(Funciones!$G$2:$G$372,MATCH($A1315,Funciones!$B$2:$B$372,0))</f>
        <v>Sellar la caja del coche con 0 filtraciones en prueba de agua</v>
      </c>
      <c r="D1315" s="9" t="s">
        <v>4659</v>
      </c>
      <c r="E1315" s="9" t="s">
        <v>3769</v>
      </c>
      <c r="F1315" s="9" t="s">
        <v>4661</v>
      </c>
      <c r="G1315" s="9" t="s">
        <v>4662</v>
      </c>
      <c r="H1315" s="18" t="str">
        <f t="array" ref="H1315">_xlfn.XLOOKUP(E:E,'Calificación consecuencia'!B:B,'Calificación consecuencia'!K:K,"No encontrada",2)</f>
        <v>Baja</v>
      </c>
      <c r="I1315" s="9" t="s">
        <v>2106</v>
      </c>
      <c r="J1315" s="20" t="s">
        <v>116</v>
      </c>
      <c r="K1315" s="21"/>
      <c r="L1315" s="21"/>
      <c r="M1315" s="22" t="s">
        <v>120</v>
      </c>
      <c r="N1315" s="21"/>
      <c r="O1315" s="22" t="s">
        <v>120</v>
      </c>
      <c r="P1315" s="21"/>
      <c r="Q1315" s="21"/>
      <c r="R1315" s="21"/>
      <c r="S1315" s="22" t="s">
        <v>120</v>
      </c>
      <c r="T1315" s="21"/>
      <c r="U1315" s="9" t="s">
        <v>1680</v>
      </c>
      <c r="V1315" s="9" t="s">
        <v>1408</v>
      </c>
    </row>
    <row r="1316" ht="14.25" customHeight="1">
      <c r="A1316" s="9" t="s">
        <v>2429</v>
      </c>
      <c r="B1316" s="9" t="s">
        <v>2428</v>
      </c>
      <c r="C1316" s="9" t="str">
        <f t="array" ref="C1316">INDEX(Funciones!$G$2:$G$372,MATCH($A1316,Funciones!$B$2:$B$372,0))</f>
        <v>Sellar la caja del coche con 0 filtraciones en prueba de agua</v>
      </c>
      <c r="D1316" s="9" t="s">
        <v>4659</v>
      </c>
      <c r="E1316" s="9" t="s">
        <v>3770</v>
      </c>
      <c r="F1316" s="9" t="s">
        <v>4663</v>
      </c>
      <c r="G1316" s="9" t="s">
        <v>4658</v>
      </c>
      <c r="H1316" s="18" t="str">
        <f t="array" ref="H1316">_xlfn.XLOOKUP(E:E,'Calificación consecuencia'!B:B,'Calificación consecuencia'!K:K,"No encontrada",2)</f>
        <v>Baja</v>
      </c>
      <c r="I1316" s="9" t="s">
        <v>2106</v>
      </c>
      <c r="J1316" s="20" t="s">
        <v>116</v>
      </c>
      <c r="K1316" s="21"/>
      <c r="L1316" s="21"/>
      <c r="M1316" s="22" t="s">
        <v>120</v>
      </c>
      <c r="N1316" s="21"/>
      <c r="O1316" s="20" t="s">
        <v>116</v>
      </c>
      <c r="P1316" s="20" t="s">
        <v>116</v>
      </c>
      <c r="Q1316" s="21"/>
      <c r="R1316" s="21"/>
      <c r="S1316" s="21"/>
      <c r="T1316" s="21"/>
      <c r="U1316" s="9" t="s">
        <v>345</v>
      </c>
      <c r="V1316" s="9" t="s">
        <v>196</v>
      </c>
    </row>
    <row r="1317" ht="14.25" customHeight="1">
      <c r="A1317" s="27" t="s">
        <v>2439</v>
      </c>
      <c r="B1317" s="27" t="s">
        <v>2438</v>
      </c>
      <c r="C1317" s="27" t="str">
        <f t="array" ref="C1317">INDEX(Funciones!$G$2:$G$372,MATCH($A1317,Funciones!$B$2:$B$372,0))</f>
        <v>Barrer el agua del parabrisas a _____ ciclos/min</v>
      </c>
      <c r="D1317" s="27" t="s">
        <v>4664</v>
      </c>
      <c r="E1317" s="27" t="s">
        <v>3771</v>
      </c>
      <c r="F1317" s="27" t="s">
        <v>4665</v>
      </c>
      <c r="G1317" s="27" t="s">
        <v>4666</v>
      </c>
      <c r="H1317" s="18" t="str">
        <f t="array" ref="H1317">_xlfn.XLOOKUP(E:E,'Calificación consecuencia'!B:B,'Calificación consecuencia'!K:K,"No encontrada",2)</f>
        <v>Media</v>
      </c>
      <c r="I1317" s="27" t="s">
        <v>4588</v>
      </c>
      <c r="J1317" s="30" t="s">
        <v>116</v>
      </c>
      <c r="K1317" s="21"/>
      <c r="L1317" s="21"/>
      <c r="M1317" s="30" t="s">
        <v>116</v>
      </c>
      <c r="N1317" s="30" t="s">
        <v>116</v>
      </c>
      <c r="O1317" s="21"/>
      <c r="P1317" s="21"/>
      <c r="Q1317" s="21"/>
      <c r="R1317" s="21"/>
      <c r="S1317" s="21"/>
      <c r="T1317" s="21"/>
      <c r="U1317" s="27" t="s">
        <v>195</v>
      </c>
      <c r="V1317" s="27" t="s">
        <v>196</v>
      </c>
    </row>
    <row r="1318" ht="14.25" customHeight="1">
      <c r="A1318" s="27" t="s">
        <v>2439</v>
      </c>
      <c r="B1318" s="27" t="s">
        <v>2438</v>
      </c>
      <c r="C1318" s="27" t="str">
        <f t="array" ref="C1318">INDEX(Funciones!$G$2:$G$372,MATCH($A1318,Funciones!$B$2:$B$372,0))</f>
        <v>Barrer el agua del parabrisas a _____ ciclos/min</v>
      </c>
      <c r="D1318" s="27" t="s">
        <v>4664</v>
      </c>
      <c r="E1318" s="27" t="s">
        <v>3772</v>
      </c>
      <c r="F1318" s="27" t="s">
        <v>4667</v>
      </c>
      <c r="G1318" s="27" t="s">
        <v>4668</v>
      </c>
      <c r="H1318" s="18" t="str">
        <f t="array" ref="H1318">_xlfn.XLOOKUP(E:E,'Calificación consecuencia'!B:B,'Calificación consecuencia'!K:K,"No encontrada",2)</f>
        <v>Baja</v>
      </c>
      <c r="I1318" s="27" t="s">
        <v>4588</v>
      </c>
      <c r="J1318" s="30" t="s">
        <v>116</v>
      </c>
      <c r="K1318" s="21"/>
      <c r="L1318" s="21"/>
      <c r="M1318" s="30" t="s">
        <v>116</v>
      </c>
      <c r="N1318" s="30" t="s">
        <v>116</v>
      </c>
      <c r="O1318" s="21"/>
      <c r="P1318" s="21"/>
      <c r="Q1318" s="21"/>
      <c r="R1318" s="21"/>
      <c r="S1318" s="21"/>
      <c r="T1318" s="21"/>
      <c r="U1318" s="27" t="s">
        <v>195</v>
      </c>
      <c r="V1318" s="27" t="s">
        <v>196</v>
      </c>
    </row>
    <row r="1319" ht="14.25" customHeight="1">
      <c r="A1319" s="27" t="s">
        <v>2439</v>
      </c>
      <c r="B1319" s="27" t="s">
        <v>2438</v>
      </c>
      <c r="C1319" s="27" t="str">
        <f t="array" ref="C1319">INDEX(Funciones!$G$2:$G$372,MATCH($A1319,Funciones!$B$2:$B$372,0))</f>
        <v>Barrer el agua del parabrisas a _____ ciclos/min</v>
      </c>
      <c r="D1319" s="27" t="s">
        <v>4669</v>
      </c>
      <c r="E1319" s="27" t="s">
        <v>3773</v>
      </c>
      <c r="F1319" s="27" t="s">
        <v>4670</v>
      </c>
      <c r="G1319" s="27" t="s">
        <v>4671</v>
      </c>
      <c r="H1319" s="18" t="str">
        <f t="array" ref="H1319">_xlfn.XLOOKUP(E:E,'Calificación consecuencia'!B:B,'Calificación consecuencia'!K:K,"No encontrada",2)</f>
        <v>Baja</v>
      </c>
      <c r="I1319" s="27" t="s">
        <v>425</v>
      </c>
      <c r="J1319" s="30" t="s">
        <v>116</v>
      </c>
      <c r="K1319" s="21"/>
      <c r="L1319" s="21"/>
      <c r="M1319" s="30" t="s">
        <v>116</v>
      </c>
      <c r="N1319" s="30" t="s">
        <v>116</v>
      </c>
      <c r="O1319" s="21"/>
      <c r="P1319" s="21"/>
      <c r="Q1319" s="21"/>
      <c r="R1319" s="21"/>
      <c r="S1319" s="21"/>
      <c r="T1319" s="21"/>
      <c r="U1319" s="27" t="s">
        <v>195</v>
      </c>
      <c r="V1319" s="27" t="s">
        <v>196</v>
      </c>
    </row>
    <row r="1320" ht="14.25" customHeight="1">
      <c r="A1320" s="27" t="s">
        <v>2439</v>
      </c>
      <c r="B1320" s="27" t="s">
        <v>2438</v>
      </c>
      <c r="C1320" s="27" t="str">
        <f t="array" ref="C1320">INDEX(Funciones!$G$2:$G$372,MATCH($A1320,Funciones!$B$2:$B$372,0))</f>
        <v>Barrer el agua del parabrisas a _____ ciclos/min</v>
      </c>
      <c r="D1320" s="27" t="s">
        <v>4669</v>
      </c>
      <c r="E1320" s="27" t="s">
        <v>3774</v>
      </c>
      <c r="F1320" s="27" t="s">
        <v>4672</v>
      </c>
      <c r="G1320" s="27" t="s">
        <v>4673</v>
      </c>
      <c r="H1320" s="18" t="str">
        <f t="array" ref="H1320">_xlfn.XLOOKUP(E:E,'Calificación consecuencia'!B:B,'Calificación consecuencia'!K:K,"No encontrada",2)</f>
        <v>Baja</v>
      </c>
      <c r="I1320" s="27" t="s">
        <v>425</v>
      </c>
      <c r="J1320" s="30" t="s">
        <v>116</v>
      </c>
      <c r="K1320" s="21"/>
      <c r="L1320" s="21"/>
      <c r="M1320" s="30" t="s">
        <v>116</v>
      </c>
      <c r="N1320" s="30" t="s">
        <v>116</v>
      </c>
      <c r="O1320" s="21"/>
      <c r="P1320" s="21"/>
      <c r="Q1320" s="21"/>
      <c r="R1320" s="21"/>
      <c r="S1320" s="21"/>
      <c r="T1320" s="21"/>
      <c r="U1320" s="27" t="s">
        <v>195</v>
      </c>
      <c r="V1320" s="27" t="s">
        <v>196</v>
      </c>
    </row>
    <row r="1321" ht="14.25" customHeight="1">
      <c r="A1321" s="9" t="s">
        <v>2454</v>
      </c>
      <c r="B1321" s="9" t="s">
        <v>2453</v>
      </c>
      <c r="C1321" s="9" t="str">
        <f t="array" ref="C1321">INDEX(Funciones!$G$2:$G$372,MATCH($A1321,Funciones!$B$2:$B$372,0))</f>
        <v>Respaldar los circuitos de mando durante un mínimo de _____ min</v>
      </c>
      <c r="D1321" s="9" t="s">
        <v>4674</v>
      </c>
      <c r="E1321" s="9" t="s">
        <v>3775</v>
      </c>
      <c r="F1321" s="9" t="s">
        <v>4675</v>
      </c>
      <c r="G1321" s="9" t="s">
        <v>4676</v>
      </c>
      <c r="H1321" s="18" t="str">
        <f t="array" ref="H1321">_xlfn.XLOOKUP(E:E,'Calificación consecuencia'!B:B,'Calificación consecuencia'!K:K,"No encontrada",2)</f>
        <v>Baja</v>
      </c>
      <c r="I1321" s="9" t="s">
        <v>425</v>
      </c>
      <c r="J1321" s="22" t="s">
        <v>120</v>
      </c>
      <c r="K1321" s="20" t="s">
        <v>116</v>
      </c>
      <c r="L1321" s="21"/>
      <c r="M1321" s="21"/>
      <c r="N1321" s="21"/>
      <c r="O1321" s="21"/>
      <c r="P1321" s="21"/>
      <c r="Q1321" s="21"/>
      <c r="R1321" s="21"/>
      <c r="S1321" s="21"/>
      <c r="T1321" s="21"/>
      <c r="U1321" s="9" t="s">
        <v>439</v>
      </c>
      <c r="V1321" s="9" t="s">
        <v>440</v>
      </c>
    </row>
    <row r="1322" ht="14.25" customHeight="1">
      <c r="A1322" s="9" t="s">
        <v>2454</v>
      </c>
      <c r="B1322" s="9" t="s">
        <v>2453</v>
      </c>
      <c r="C1322" s="9" t="str">
        <f t="array" ref="C1322">INDEX(Funciones!$G$2:$G$372,MATCH($A1322,Funciones!$B$2:$B$372,0))</f>
        <v>Respaldar los circuitos de mando durante un mínimo de _____ min</v>
      </c>
      <c r="D1322" s="9" t="s">
        <v>4674</v>
      </c>
      <c r="E1322" s="9" t="s">
        <v>3776</v>
      </c>
      <c r="F1322" s="9" t="s">
        <v>4677</v>
      </c>
      <c r="G1322" s="9" t="s">
        <v>4678</v>
      </c>
      <c r="H1322" s="18" t="str">
        <f t="array" ref="H1322">_xlfn.XLOOKUP(E:E,'Calificación consecuencia'!B:B,'Calificación consecuencia'!K:K,"No encontrada",2)</f>
        <v>Baja</v>
      </c>
      <c r="I1322" s="9" t="s">
        <v>1351</v>
      </c>
      <c r="J1322" s="22" t="s">
        <v>120</v>
      </c>
      <c r="K1322" s="20" t="s">
        <v>116</v>
      </c>
      <c r="L1322" s="21"/>
      <c r="M1322" s="21"/>
      <c r="N1322" s="21"/>
      <c r="O1322" s="21"/>
      <c r="P1322" s="21"/>
      <c r="Q1322" s="21"/>
      <c r="R1322" s="21"/>
      <c r="S1322" s="21"/>
      <c r="T1322" s="21"/>
      <c r="U1322" s="9" t="s">
        <v>439</v>
      </c>
      <c r="V1322" s="9" t="s">
        <v>440</v>
      </c>
    </row>
    <row r="1323" ht="14.25" customHeight="1">
      <c r="A1323" s="9" t="s">
        <v>2454</v>
      </c>
      <c r="B1323" s="9" t="s">
        <v>2453</v>
      </c>
      <c r="C1323" s="9" t="str">
        <f t="array" ref="C1323">INDEX(Funciones!$G$2:$G$372,MATCH($A1323,Funciones!$B$2:$B$372,0))</f>
        <v>Respaldar los circuitos de mando durante un mínimo de _____ min</v>
      </c>
      <c r="D1323" s="9" t="s">
        <v>4679</v>
      </c>
      <c r="E1323" s="9" t="s">
        <v>3777</v>
      </c>
      <c r="F1323" s="9" t="s">
        <v>4680</v>
      </c>
      <c r="G1323" s="9" t="s">
        <v>4681</v>
      </c>
      <c r="H1323" s="18" t="str">
        <f t="array" ref="H1323">_xlfn.XLOOKUP(E:E,'Calificación consecuencia'!B:B,'Calificación consecuencia'!K:K,"No encontrada",2)</f>
        <v>Baja</v>
      </c>
      <c r="I1323" s="9" t="s">
        <v>2106</v>
      </c>
      <c r="J1323" s="22" t="s">
        <v>120</v>
      </c>
      <c r="K1323" s="20" t="s">
        <v>116</v>
      </c>
      <c r="L1323" s="21"/>
      <c r="M1323" s="21"/>
      <c r="N1323" s="21"/>
      <c r="O1323" s="21"/>
      <c r="P1323" s="21"/>
      <c r="Q1323" s="21"/>
      <c r="R1323" s="21"/>
      <c r="S1323" s="21"/>
      <c r="T1323" s="21"/>
      <c r="U1323" s="9" t="s">
        <v>439</v>
      </c>
      <c r="V1323" s="9" t="s">
        <v>440</v>
      </c>
    </row>
    <row r="1324" ht="14.25" customHeight="1">
      <c r="A1324" s="27" t="s">
        <v>2467</v>
      </c>
      <c r="B1324" s="27" t="s">
        <v>2453</v>
      </c>
      <c r="C1324" s="27" t="str">
        <f t="array" ref="C1324">INDEX(Funciones!$G$2:$G$372,MATCH($A1324,Funciones!$B$2:$B$372,0))</f>
        <v>Almacenar energía eléctrica con capacidad de _____ Ah</v>
      </c>
      <c r="D1324" s="27" t="s">
        <v>4682</v>
      </c>
      <c r="E1324" s="27" t="s">
        <v>3775</v>
      </c>
      <c r="F1324" s="27" t="s">
        <v>4675</v>
      </c>
      <c r="G1324" s="27" t="s">
        <v>4676</v>
      </c>
      <c r="H1324" s="18" t="str">
        <f t="array" ref="H1324">_xlfn.XLOOKUP(E:E,'Calificación consecuencia'!B:B,'Calificación consecuencia'!K:K,"No encontrada",2)</f>
        <v>Baja</v>
      </c>
      <c r="I1324" s="27" t="s">
        <v>425</v>
      </c>
      <c r="J1324" s="29" t="s">
        <v>120</v>
      </c>
      <c r="K1324" s="30" t="s">
        <v>116</v>
      </c>
      <c r="L1324" s="21"/>
      <c r="M1324" s="21"/>
      <c r="N1324" s="21"/>
      <c r="O1324" s="21"/>
      <c r="P1324" s="21"/>
      <c r="Q1324" s="21"/>
      <c r="R1324" s="21"/>
      <c r="S1324" s="21"/>
      <c r="T1324" s="21"/>
      <c r="U1324" s="27" t="s">
        <v>439</v>
      </c>
      <c r="V1324" s="27" t="s">
        <v>440</v>
      </c>
    </row>
    <row r="1325" ht="14.25" customHeight="1">
      <c r="A1325" s="27" t="s">
        <v>2467</v>
      </c>
      <c r="B1325" s="27" t="s">
        <v>2453</v>
      </c>
      <c r="C1325" s="27" t="str">
        <f t="array" ref="C1325">INDEX(Funciones!$G$2:$G$372,MATCH($A1325,Funciones!$B$2:$B$372,0))</f>
        <v>Almacenar energía eléctrica con capacidad de _____ Ah</v>
      </c>
      <c r="D1325" s="27" t="s">
        <v>4682</v>
      </c>
      <c r="E1325" s="27" t="s">
        <v>3776</v>
      </c>
      <c r="F1325" s="27" t="s">
        <v>4677</v>
      </c>
      <c r="G1325" s="27" t="s">
        <v>4678</v>
      </c>
      <c r="H1325" s="18" t="str">
        <f t="array" ref="H1325">_xlfn.XLOOKUP(E:E,'Calificación consecuencia'!B:B,'Calificación consecuencia'!K:K,"No encontrada",2)</f>
        <v>Baja</v>
      </c>
      <c r="I1325" s="27" t="s">
        <v>1351</v>
      </c>
      <c r="J1325" s="29" t="s">
        <v>120</v>
      </c>
      <c r="K1325" s="30" t="s">
        <v>116</v>
      </c>
      <c r="L1325" s="21"/>
      <c r="M1325" s="21"/>
      <c r="N1325" s="21"/>
      <c r="O1325" s="21"/>
      <c r="P1325" s="21"/>
      <c r="Q1325" s="21"/>
      <c r="R1325" s="21"/>
      <c r="S1325" s="21"/>
      <c r="T1325" s="21"/>
      <c r="U1325" s="27" t="s">
        <v>439</v>
      </c>
      <c r="V1325" s="27" t="s">
        <v>440</v>
      </c>
    </row>
    <row r="1326" ht="14.25" customHeight="1">
      <c r="A1326" s="27" t="s">
        <v>2467</v>
      </c>
      <c r="B1326" s="27" t="s">
        <v>2453</v>
      </c>
      <c r="C1326" s="27" t="str">
        <f t="array" ref="C1326">INDEX(Funciones!$G$2:$G$372,MATCH($A1326,Funciones!$B$2:$B$372,0))</f>
        <v>Almacenar energía eléctrica con capacidad de _____ Ah</v>
      </c>
      <c r="D1326" s="27" t="s">
        <v>4683</v>
      </c>
      <c r="E1326" s="27" t="s">
        <v>3777</v>
      </c>
      <c r="F1326" s="27" t="s">
        <v>4680</v>
      </c>
      <c r="G1326" s="27" t="s">
        <v>4681</v>
      </c>
      <c r="H1326" s="18" t="str">
        <f t="array" ref="H1326">_xlfn.XLOOKUP(E:E,'Calificación consecuencia'!B:B,'Calificación consecuencia'!K:K,"No encontrada",2)</f>
        <v>Baja</v>
      </c>
      <c r="I1326" s="27" t="s">
        <v>2106</v>
      </c>
      <c r="J1326" s="29" t="s">
        <v>120</v>
      </c>
      <c r="K1326" s="30" t="s">
        <v>116</v>
      </c>
      <c r="L1326" s="21"/>
      <c r="M1326" s="21"/>
      <c r="N1326" s="21"/>
      <c r="O1326" s="21"/>
      <c r="P1326" s="21"/>
      <c r="Q1326" s="21"/>
      <c r="R1326" s="21"/>
      <c r="S1326" s="21"/>
      <c r="T1326" s="21"/>
      <c r="U1326" s="27" t="s">
        <v>439</v>
      </c>
      <c r="V1326" s="27" t="s">
        <v>440</v>
      </c>
    </row>
    <row r="1327" ht="14.25" customHeight="1">
      <c r="A1327" s="9" t="s">
        <v>2470</v>
      </c>
      <c r="B1327" s="9" t="s">
        <v>2469</v>
      </c>
      <c r="C1327" s="9" t="str">
        <f t="array" ref="C1327">INDEX(Funciones!$G$2:$G$372,MATCH($A1327,Funciones!$B$2:$B$372,0))</f>
        <v>Suministrar la energía auxiliar con potencia de _____ kVA</v>
      </c>
      <c r="D1327" s="9" t="s">
        <v>4684</v>
      </c>
      <c r="E1327" s="9" t="s">
        <v>3778</v>
      </c>
      <c r="F1327" s="9" t="s">
        <v>4685</v>
      </c>
      <c r="G1327" s="9" t="s">
        <v>4686</v>
      </c>
      <c r="H1327" s="18" t="str">
        <f t="array" ref="H1327">_xlfn.XLOOKUP(E:E,'Calificación consecuencia'!B:B,'Calificación consecuencia'!K:K,"No encontrada",2)</f>
        <v>Media</v>
      </c>
      <c r="I1327" s="9" t="s">
        <v>113</v>
      </c>
      <c r="J1327" s="20" t="s">
        <v>116</v>
      </c>
      <c r="K1327" s="21"/>
      <c r="L1327" s="21"/>
      <c r="M1327" s="22" t="s">
        <v>120</v>
      </c>
      <c r="N1327" s="21"/>
      <c r="O1327" s="20" t="s">
        <v>116</v>
      </c>
      <c r="P1327" s="20" t="s">
        <v>116</v>
      </c>
      <c r="Q1327" s="21"/>
      <c r="R1327" s="21"/>
      <c r="S1327" s="21"/>
      <c r="T1327" s="21"/>
      <c r="U1327" s="9" t="s">
        <v>345</v>
      </c>
      <c r="V1327" s="9" t="s">
        <v>196</v>
      </c>
    </row>
    <row r="1328" ht="14.25" customHeight="1">
      <c r="A1328" s="9" t="s">
        <v>2470</v>
      </c>
      <c r="B1328" s="9" t="s">
        <v>2469</v>
      </c>
      <c r="C1328" s="9" t="str">
        <f t="array" ref="C1328">INDEX(Funciones!$G$2:$G$372,MATCH($A1328,Funciones!$B$2:$B$372,0))</f>
        <v>Suministrar la energía auxiliar con potencia de _____ kVA</v>
      </c>
      <c r="D1328" s="9" t="s">
        <v>4684</v>
      </c>
      <c r="E1328" s="9" t="s">
        <v>3779</v>
      </c>
      <c r="F1328" s="9" t="s">
        <v>4687</v>
      </c>
      <c r="G1328" s="9" t="s">
        <v>4688</v>
      </c>
      <c r="H1328" s="18" t="str">
        <f t="array" ref="H1328">_xlfn.XLOOKUP(E:E,'Calificación consecuencia'!B:B,'Calificación consecuencia'!K:K,"No encontrada",2)</f>
        <v>Media</v>
      </c>
      <c r="I1328" s="9" t="s">
        <v>113</v>
      </c>
      <c r="J1328" s="20" t="s">
        <v>116</v>
      </c>
      <c r="K1328" s="21"/>
      <c r="L1328" s="21"/>
      <c r="M1328" s="22" t="s">
        <v>120</v>
      </c>
      <c r="N1328" s="21"/>
      <c r="O1328" s="20" t="s">
        <v>116</v>
      </c>
      <c r="P1328" s="20" t="s">
        <v>116</v>
      </c>
      <c r="Q1328" s="21"/>
      <c r="R1328" s="21"/>
      <c r="S1328" s="21"/>
      <c r="T1328" s="21"/>
      <c r="U1328" s="9" t="s">
        <v>345</v>
      </c>
      <c r="V1328" s="9" t="s">
        <v>196</v>
      </c>
    </row>
    <row r="1329" ht="14.25" customHeight="1">
      <c r="A1329" s="9" t="s">
        <v>2470</v>
      </c>
      <c r="B1329" s="9" t="s">
        <v>2469</v>
      </c>
      <c r="C1329" s="9" t="str">
        <f t="array" ref="C1329">INDEX(Funciones!$G$2:$G$372,MATCH($A1329,Funciones!$B$2:$B$372,0))</f>
        <v>Suministrar la energía auxiliar con potencia de _____ kVA</v>
      </c>
      <c r="D1329" s="9" t="s">
        <v>4684</v>
      </c>
      <c r="E1329" s="9" t="s">
        <v>3780</v>
      </c>
      <c r="F1329" s="9" t="s">
        <v>4689</v>
      </c>
      <c r="G1329" s="9" t="s">
        <v>1727</v>
      </c>
      <c r="H1329" s="18" t="str">
        <f t="array" ref="H1329">_xlfn.XLOOKUP(E:E,'Calificación consecuencia'!B:B,'Calificación consecuencia'!K:K,"No encontrada",2)</f>
        <v>Baja</v>
      </c>
      <c r="I1329" s="9" t="s">
        <v>113</v>
      </c>
      <c r="J1329" s="20" t="s">
        <v>116</v>
      </c>
      <c r="K1329" s="21"/>
      <c r="L1329" s="21"/>
      <c r="M1329" s="22" t="s">
        <v>120</v>
      </c>
      <c r="N1329" s="21"/>
      <c r="O1329" s="20" t="s">
        <v>116</v>
      </c>
      <c r="P1329" s="20" t="s">
        <v>116</v>
      </c>
      <c r="Q1329" s="21"/>
      <c r="R1329" s="21"/>
      <c r="S1329" s="21"/>
      <c r="T1329" s="21"/>
      <c r="U1329" s="9" t="s">
        <v>345</v>
      </c>
      <c r="V1329" s="9" t="s">
        <v>196</v>
      </c>
    </row>
    <row r="1330" ht="14.25" customHeight="1">
      <c r="A1330" s="9" t="s">
        <v>2470</v>
      </c>
      <c r="B1330" s="9" t="s">
        <v>2469</v>
      </c>
      <c r="C1330" s="9" t="str">
        <f t="array" ref="C1330">INDEX(Funciones!$G$2:$G$372,MATCH($A1330,Funciones!$B$2:$B$372,0))</f>
        <v>Suministrar la energía auxiliar con potencia de _____ kVA</v>
      </c>
      <c r="D1330" s="9" t="s">
        <v>4690</v>
      </c>
      <c r="E1330" s="9" t="s">
        <v>3781</v>
      </c>
      <c r="F1330" s="9" t="s">
        <v>4691</v>
      </c>
      <c r="G1330" s="9" t="s">
        <v>4692</v>
      </c>
      <c r="H1330" s="18" t="str">
        <f t="array" ref="H1330">_xlfn.XLOOKUP(E:E,'Calificación consecuencia'!B:B,'Calificación consecuencia'!K:K,"No encontrada",2)</f>
        <v>Baja</v>
      </c>
      <c r="I1330" s="9" t="s">
        <v>339</v>
      </c>
      <c r="J1330" s="20" t="s">
        <v>116</v>
      </c>
      <c r="K1330" s="21"/>
      <c r="L1330" s="21"/>
      <c r="M1330" s="22" t="s">
        <v>120</v>
      </c>
      <c r="N1330" s="21"/>
      <c r="O1330" s="20" t="s">
        <v>116</v>
      </c>
      <c r="P1330" s="20" t="s">
        <v>116</v>
      </c>
      <c r="Q1330" s="21"/>
      <c r="R1330" s="21"/>
      <c r="S1330" s="21"/>
      <c r="T1330" s="21"/>
      <c r="U1330" s="9" t="s">
        <v>345</v>
      </c>
      <c r="V1330" s="9" t="s">
        <v>196</v>
      </c>
    </row>
    <row r="1331" ht="14.25" customHeight="1">
      <c r="A1331" s="27" t="s">
        <v>2481</v>
      </c>
      <c r="B1331" s="27" t="s">
        <v>2469</v>
      </c>
      <c r="C1331" s="27" t="str">
        <f t="array" ref="C1331">INDEX(Funciones!$G$2:$G$372,MATCH($A1331,Funciones!$B$2:$B$372,0))</f>
        <v>Cargar la batería con tensión de carga de _____ V</v>
      </c>
      <c r="D1331" s="27" t="s">
        <v>4693</v>
      </c>
      <c r="E1331" s="27" t="s">
        <v>3782</v>
      </c>
      <c r="F1331" s="27" t="s">
        <v>4694</v>
      </c>
      <c r="G1331" s="27" t="s">
        <v>4695</v>
      </c>
      <c r="H1331" s="18" t="str">
        <f t="array" ref="H1331">_xlfn.XLOOKUP(E:E,'Calificación consecuencia'!B:B,'Calificación consecuencia'!K:K,"No encontrada",2)</f>
        <v>Media</v>
      </c>
      <c r="I1331" s="27" t="s">
        <v>113</v>
      </c>
      <c r="J1331" s="30" t="s">
        <v>116</v>
      </c>
      <c r="K1331" s="21"/>
      <c r="L1331" s="21"/>
      <c r="M1331" s="29" t="s">
        <v>120</v>
      </c>
      <c r="N1331" s="21"/>
      <c r="O1331" s="30" t="s">
        <v>116</v>
      </c>
      <c r="P1331" s="30" t="s">
        <v>116</v>
      </c>
      <c r="Q1331" s="21"/>
      <c r="R1331" s="21"/>
      <c r="S1331" s="21"/>
      <c r="T1331" s="21"/>
      <c r="U1331" s="27" t="s">
        <v>345</v>
      </c>
      <c r="V1331" s="27" t="s">
        <v>196</v>
      </c>
    </row>
    <row r="1332" ht="14.25" customHeight="1">
      <c r="A1332" s="27" t="s">
        <v>2481</v>
      </c>
      <c r="B1332" s="27" t="s">
        <v>2469</v>
      </c>
      <c r="C1332" s="27" t="str">
        <f t="array" ref="C1332">INDEX(Funciones!$G$2:$G$372,MATCH($A1332,Funciones!$B$2:$B$372,0))</f>
        <v>Cargar la batería con tensión de carga de _____ V</v>
      </c>
      <c r="D1332" s="27" t="s">
        <v>4696</v>
      </c>
      <c r="E1332" s="27" t="s">
        <v>3783</v>
      </c>
      <c r="F1332" s="27" t="s">
        <v>4697</v>
      </c>
      <c r="G1332" s="27" t="s">
        <v>4698</v>
      </c>
      <c r="H1332" s="18" t="str">
        <f t="array" ref="H1332">_xlfn.XLOOKUP(E:E,'Calificación consecuencia'!B:B,'Calificación consecuencia'!K:K,"No encontrada",2)</f>
        <v>Baja</v>
      </c>
      <c r="I1332" s="27" t="s">
        <v>339</v>
      </c>
      <c r="J1332" s="30" t="s">
        <v>116</v>
      </c>
      <c r="K1332" s="21"/>
      <c r="L1332" s="21"/>
      <c r="M1332" s="29" t="s">
        <v>120</v>
      </c>
      <c r="N1332" s="21"/>
      <c r="O1332" s="30" t="s">
        <v>116</v>
      </c>
      <c r="P1332" s="29" t="s">
        <v>120</v>
      </c>
      <c r="Q1332" s="30" t="s">
        <v>116</v>
      </c>
      <c r="R1332" s="21"/>
      <c r="S1332" s="21"/>
      <c r="T1332" s="21"/>
      <c r="U1332" s="27" t="s">
        <v>785</v>
      </c>
      <c r="V1332" s="27" t="s">
        <v>786</v>
      </c>
    </row>
    <row r="1333" ht="14.25" customHeight="1">
      <c r="A1333" s="27" t="s">
        <v>2481</v>
      </c>
      <c r="B1333" s="27" t="s">
        <v>2469</v>
      </c>
      <c r="C1333" s="27" t="str">
        <f t="array" ref="C1333">INDEX(Funciones!$G$2:$G$372,MATCH($A1333,Funciones!$B$2:$B$372,0))</f>
        <v>Cargar la batería con tensión de carga de _____ V</v>
      </c>
      <c r="D1333" s="27" t="s">
        <v>4699</v>
      </c>
      <c r="E1333" s="27" t="s">
        <v>3784</v>
      </c>
      <c r="F1333" s="27" t="s">
        <v>4700</v>
      </c>
      <c r="G1333" s="27" t="s">
        <v>4698</v>
      </c>
      <c r="H1333" s="18" t="str">
        <f t="array" ref="H1333">_xlfn.XLOOKUP(E:E,'Calificación consecuencia'!B:B,'Calificación consecuencia'!K:K,"No encontrada",2)</f>
        <v>Baja</v>
      </c>
      <c r="I1333" s="27" t="s">
        <v>339</v>
      </c>
      <c r="J1333" s="30" t="s">
        <v>116</v>
      </c>
      <c r="K1333" s="21"/>
      <c r="L1333" s="21"/>
      <c r="M1333" s="29" t="s">
        <v>120</v>
      </c>
      <c r="N1333" s="21"/>
      <c r="O1333" s="30" t="s">
        <v>116</v>
      </c>
      <c r="P1333" s="29" t="s">
        <v>120</v>
      </c>
      <c r="Q1333" s="30" t="s">
        <v>116</v>
      </c>
      <c r="R1333" s="21"/>
      <c r="S1333" s="21"/>
      <c r="T1333" s="21"/>
      <c r="U1333" s="27" t="s">
        <v>785</v>
      </c>
      <c r="V1333" s="27" t="s">
        <v>786</v>
      </c>
    </row>
    <row r="1334" ht="14.25" customHeight="1">
      <c r="A1334" s="9" t="s">
        <v>2489</v>
      </c>
      <c r="B1334" s="9" t="s">
        <v>2488</v>
      </c>
      <c r="C1334" s="9" t="str">
        <f t="array" ref="C1334">INDEX(Funciones!$G$2:$G$372,MATCH($A1334,Funciones!$B$2:$B$372,0))</f>
        <v>Acoplar las unidades con tracción de 850 kN</v>
      </c>
      <c r="D1334" s="9" t="s">
        <v>4701</v>
      </c>
      <c r="E1334" s="9" t="s">
        <v>3785</v>
      </c>
      <c r="F1334" s="9" t="s">
        <v>4702</v>
      </c>
      <c r="G1334" s="9" t="s">
        <v>4703</v>
      </c>
      <c r="H1334" s="18" t="str">
        <f t="array" ref="H1334">_xlfn.XLOOKUP(E:E,'Calificación consecuencia'!B:B,'Calificación consecuencia'!K:K,"No encontrada",2)</f>
        <v>Alta</v>
      </c>
      <c r="I1334" s="9" t="s">
        <v>844</v>
      </c>
      <c r="J1334" s="20" t="s">
        <v>116</v>
      </c>
      <c r="K1334" s="21"/>
      <c r="L1334" s="21"/>
      <c r="M1334" s="20" t="s">
        <v>116</v>
      </c>
      <c r="N1334" s="22" t="s">
        <v>120</v>
      </c>
      <c r="O1334" s="21"/>
      <c r="P1334" s="21"/>
      <c r="Q1334" s="21"/>
      <c r="R1334" s="21"/>
      <c r="S1334" s="21"/>
      <c r="T1334" s="21"/>
      <c r="U1334" s="9" t="s">
        <v>230</v>
      </c>
      <c r="V1334" s="9" t="s">
        <v>230</v>
      </c>
    </row>
    <row r="1335" ht="14.25" customHeight="1">
      <c r="A1335" s="9" t="s">
        <v>2489</v>
      </c>
      <c r="B1335" s="9" t="s">
        <v>2488</v>
      </c>
      <c r="C1335" s="9" t="str">
        <f t="array" ref="C1335">INDEX(Funciones!$G$2:$G$372,MATCH($A1335,Funciones!$B$2:$B$372,0))</f>
        <v>Acoplar las unidades con tracción de 850 kN</v>
      </c>
      <c r="D1335" s="9" t="s">
        <v>4704</v>
      </c>
      <c r="E1335" s="9" t="s">
        <v>3786</v>
      </c>
      <c r="F1335" s="9" t="s">
        <v>4705</v>
      </c>
      <c r="G1335" s="9" t="s">
        <v>4706</v>
      </c>
      <c r="H1335" s="18" t="str">
        <f t="array" ref="H1335">_xlfn.XLOOKUP(E:E,'Calificación consecuencia'!B:B,'Calificación consecuencia'!K:K,"No encontrada",2)</f>
        <v>Baja</v>
      </c>
      <c r="I1335" s="9" t="s">
        <v>425</v>
      </c>
      <c r="J1335" s="20" t="s">
        <v>116</v>
      </c>
      <c r="K1335" s="21"/>
      <c r="L1335" s="21"/>
      <c r="M1335" s="20" t="s">
        <v>116</v>
      </c>
      <c r="N1335" s="20" t="s">
        <v>116</v>
      </c>
      <c r="O1335" s="21"/>
      <c r="P1335" s="21"/>
      <c r="Q1335" s="21"/>
      <c r="R1335" s="21"/>
      <c r="S1335" s="21"/>
      <c r="T1335" s="21"/>
      <c r="U1335" s="9" t="s">
        <v>195</v>
      </c>
      <c r="V1335" s="9" t="s">
        <v>196</v>
      </c>
    </row>
    <row r="1336" ht="14.25" customHeight="1">
      <c r="A1336" s="27" t="s">
        <v>2503</v>
      </c>
      <c r="B1336" s="27" t="s">
        <v>2488</v>
      </c>
      <c r="C1336" s="27" t="str">
        <f t="array" ref="C1336">INDEX(Funciones!$G$2:$G$372,MATCH($A1336,Funciones!$B$2:$B$372,0))</f>
        <v>Amortiguar los choques con energía de _____ kJ</v>
      </c>
      <c r="D1336" s="27" t="s">
        <v>4707</v>
      </c>
      <c r="E1336" s="27" t="s">
        <v>3787</v>
      </c>
      <c r="F1336" s="27" t="s">
        <v>4708</v>
      </c>
      <c r="G1336" s="27" t="s">
        <v>4709</v>
      </c>
      <c r="H1336" s="18" t="str">
        <f t="array" ref="H1336">_xlfn.XLOOKUP(E:E,'Calificación consecuencia'!B:B,'Calificación consecuencia'!K:K,"No encontrada",2)</f>
        <v>Baja</v>
      </c>
      <c r="I1336" s="27" t="s">
        <v>1351</v>
      </c>
      <c r="J1336" s="29" t="s">
        <v>120</v>
      </c>
      <c r="K1336" s="30" t="s">
        <v>116</v>
      </c>
      <c r="L1336" s="21"/>
      <c r="M1336" s="21"/>
      <c r="N1336" s="21"/>
      <c r="O1336" s="21"/>
      <c r="P1336" s="21"/>
      <c r="Q1336" s="21"/>
      <c r="R1336" s="21"/>
      <c r="S1336" s="21"/>
      <c r="T1336" s="21"/>
      <c r="U1336" s="27" t="s">
        <v>439</v>
      </c>
      <c r="V1336" s="27" t="s">
        <v>440</v>
      </c>
    </row>
    <row r="1337" ht="14.25" customHeight="1">
      <c r="A1337" s="27" t="s">
        <v>2503</v>
      </c>
      <c r="B1337" s="27" t="s">
        <v>2488</v>
      </c>
      <c r="C1337" s="27" t="str">
        <f t="array" ref="C1337">INDEX(Funciones!$G$2:$G$372,MATCH($A1337,Funciones!$B$2:$B$372,0))</f>
        <v>Amortiguar los choques con energía de _____ kJ</v>
      </c>
      <c r="D1337" s="27" t="s">
        <v>4710</v>
      </c>
      <c r="E1337" s="27" t="s">
        <v>3788</v>
      </c>
      <c r="F1337" s="27" t="s">
        <v>4711</v>
      </c>
      <c r="G1337" s="27" t="s">
        <v>4712</v>
      </c>
      <c r="H1337" s="18" t="str">
        <f t="array" ref="H1337">_xlfn.XLOOKUP(E:E,'Calificación consecuencia'!B:B,'Calificación consecuencia'!K:K,"No encontrada",2)</f>
        <v>Baja</v>
      </c>
      <c r="I1337" s="27" t="s">
        <v>2106</v>
      </c>
      <c r="J1337" s="29" t="s">
        <v>120</v>
      </c>
      <c r="K1337" s="30" t="s">
        <v>116</v>
      </c>
      <c r="L1337" s="21"/>
      <c r="M1337" s="21"/>
      <c r="N1337" s="21"/>
      <c r="O1337" s="21"/>
      <c r="P1337" s="21"/>
      <c r="Q1337" s="21"/>
      <c r="R1337" s="21"/>
      <c r="S1337" s="21"/>
      <c r="T1337" s="21"/>
      <c r="U1337" s="27" t="s">
        <v>439</v>
      </c>
      <c r="V1337" s="27" t="s">
        <v>440</v>
      </c>
    </row>
    <row r="1338" ht="14.25" customHeight="1">
      <c r="A1338" s="9" t="s">
        <v>2512</v>
      </c>
      <c r="B1338" s="9" t="s">
        <v>2511</v>
      </c>
      <c r="C1338" s="9" t="str">
        <f t="array" ref="C1338">INDEX(Funciones!$G$2:$G$372,MATCH($A1338,Funciones!$B$2:$B$372,0))</f>
        <v>Amortiguar los choques con energía de _____ kJ</v>
      </c>
      <c r="D1338" s="9" t="s">
        <v>4713</v>
      </c>
      <c r="E1338" s="9" t="s">
        <v>3787</v>
      </c>
      <c r="F1338" s="9" t="s">
        <v>4708</v>
      </c>
      <c r="G1338" s="9" t="s">
        <v>4709</v>
      </c>
      <c r="H1338" s="18" t="str">
        <f t="array" ref="H1338">_xlfn.XLOOKUP(E:E,'Calificación consecuencia'!B:B,'Calificación consecuencia'!K:K,"No encontrada",2)</f>
        <v>Baja</v>
      </c>
      <c r="I1338" s="9" t="s">
        <v>1351</v>
      </c>
      <c r="J1338" s="22" t="s">
        <v>120</v>
      </c>
      <c r="K1338" s="20" t="s">
        <v>116</v>
      </c>
      <c r="L1338" s="21"/>
      <c r="M1338" s="21"/>
      <c r="N1338" s="21"/>
      <c r="O1338" s="21"/>
      <c r="P1338" s="21"/>
      <c r="Q1338" s="21"/>
      <c r="R1338" s="21"/>
      <c r="S1338" s="21"/>
      <c r="T1338" s="21"/>
      <c r="U1338" s="9" t="s">
        <v>439</v>
      </c>
      <c r="V1338" s="9" t="s">
        <v>440</v>
      </c>
    </row>
    <row r="1339" ht="14.25" customHeight="1">
      <c r="A1339" s="9" t="s">
        <v>2512</v>
      </c>
      <c r="B1339" s="9" t="s">
        <v>2511</v>
      </c>
      <c r="C1339" s="9" t="str">
        <f t="array" ref="C1339">INDEX(Funciones!$G$2:$G$372,MATCH($A1339,Funciones!$B$2:$B$372,0))</f>
        <v>Amortiguar los choques con energía de _____ kJ</v>
      </c>
      <c r="D1339" s="9" t="s">
        <v>4714</v>
      </c>
      <c r="E1339" s="9" t="s">
        <v>3788</v>
      </c>
      <c r="F1339" s="9" t="s">
        <v>4711</v>
      </c>
      <c r="G1339" s="9" t="s">
        <v>4712</v>
      </c>
      <c r="H1339" s="18" t="str">
        <f t="array" ref="H1339">_xlfn.XLOOKUP(E:E,'Calificación consecuencia'!B:B,'Calificación consecuencia'!K:K,"No encontrada",2)</f>
        <v>Baja</v>
      </c>
      <c r="I1339" s="9" t="s">
        <v>2106</v>
      </c>
      <c r="J1339" s="22" t="s">
        <v>120</v>
      </c>
      <c r="K1339" s="20" t="s">
        <v>116</v>
      </c>
      <c r="L1339" s="21"/>
      <c r="M1339" s="21"/>
      <c r="N1339" s="21"/>
      <c r="O1339" s="21"/>
      <c r="P1339" s="21"/>
      <c r="Q1339" s="21"/>
      <c r="R1339" s="21"/>
      <c r="S1339" s="21"/>
      <c r="T1339" s="21"/>
      <c r="U1339" s="9" t="s">
        <v>439</v>
      </c>
      <c r="V1339" s="9" t="s">
        <v>440</v>
      </c>
    </row>
    <row r="1340" ht="14.25" customHeight="1">
      <c r="A1340" s="27" t="s">
        <v>2522</v>
      </c>
      <c r="B1340" s="27" t="s">
        <v>2511</v>
      </c>
      <c r="C1340" s="27" t="str">
        <f t="array" ref="C1340">INDEX(Funciones!$G$2:$G$372,MATCH($A1340,Funciones!$B$2:$B$372,0))</f>
        <v>Unir los coches con esfuerzo longitudinal de _____ kN</v>
      </c>
      <c r="D1340" s="27" t="s">
        <v>4715</v>
      </c>
      <c r="E1340" s="27" t="s">
        <v>3789</v>
      </c>
      <c r="F1340" s="27" t="s">
        <v>4716</v>
      </c>
      <c r="G1340" s="27" t="s">
        <v>4717</v>
      </c>
      <c r="H1340" s="18" t="str">
        <f t="array" ref="H1340">_xlfn.XLOOKUP(E:E,'Calificación consecuencia'!B:B,'Calificación consecuencia'!K:K,"No encontrada",2)</f>
        <v>Baja</v>
      </c>
      <c r="I1340" s="27" t="s">
        <v>844</v>
      </c>
      <c r="J1340" s="29" t="s">
        <v>120</v>
      </c>
      <c r="K1340" s="30" t="s">
        <v>116</v>
      </c>
      <c r="L1340" s="21"/>
      <c r="M1340" s="21"/>
      <c r="N1340" s="21"/>
      <c r="O1340" s="21"/>
      <c r="P1340" s="21"/>
      <c r="Q1340" s="21"/>
      <c r="R1340" s="21"/>
      <c r="S1340" s="21"/>
      <c r="T1340" s="21"/>
      <c r="U1340" s="27" t="s">
        <v>439</v>
      </c>
      <c r="V1340" s="27" t="s">
        <v>440</v>
      </c>
    </row>
    <row r="1341" ht="14.25" customHeight="1">
      <c r="A1341" s="27" t="s">
        <v>2522</v>
      </c>
      <c r="B1341" s="27" t="s">
        <v>2511</v>
      </c>
      <c r="C1341" s="27" t="str">
        <f t="array" ref="C1341">INDEX(Funciones!$G$2:$G$372,MATCH($A1341,Funciones!$B$2:$B$372,0))</f>
        <v>Unir los coches con esfuerzo longitudinal de _____ kN</v>
      </c>
      <c r="D1341" s="27" t="s">
        <v>4715</v>
      </c>
      <c r="E1341" s="27" t="s">
        <v>3790</v>
      </c>
      <c r="F1341" s="27" t="s">
        <v>4718</v>
      </c>
      <c r="G1341" s="27" t="s">
        <v>4719</v>
      </c>
      <c r="H1341" s="18" t="str">
        <f t="array" ref="H1341">_xlfn.XLOOKUP(E:E,'Calificación consecuencia'!B:B,'Calificación consecuencia'!K:K,"No encontrada",2)</f>
        <v>Baja</v>
      </c>
      <c r="I1341" s="27" t="s">
        <v>844</v>
      </c>
      <c r="J1341" s="29" t="s">
        <v>120</v>
      </c>
      <c r="K1341" s="30" t="s">
        <v>116</v>
      </c>
      <c r="L1341" s="21"/>
      <c r="M1341" s="21"/>
      <c r="N1341" s="21"/>
      <c r="O1341" s="21"/>
      <c r="P1341" s="21"/>
      <c r="Q1341" s="21"/>
      <c r="R1341" s="21"/>
      <c r="S1341" s="21"/>
      <c r="T1341" s="21"/>
      <c r="U1341" s="27" t="s">
        <v>439</v>
      </c>
      <c r="V1341" s="27" t="s">
        <v>440</v>
      </c>
    </row>
    <row r="1342" ht="14.25" customHeight="1">
      <c r="A1342" s="27" t="s">
        <v>2522</v>
      </c>
      <c r="B1342" s="27" t="s">
        <v>2511</v>
      </c>
      <c r="C1342" s="27" t="str">
        <f t="array" ref="C1342">INDEX(Funciones!$G$2:$G$372,MATCH($A1342,Funciones!$B$2:$B$372,0))</f>
        <v>Unir los coches con esfuerzo longitudinal de _____ kN</v>
      </c>
      <c r="D1342" s="27" t="s">
        <v>4720</v>
      </c>
      <c r="E1342" s="27" t="s">
        <v>3791</v>
      </c>
      <c r="F1342" s="27" t="s">
        <v>4721</v>
      </c>
      <c r="G1342" s="27" t="s">
        <v>4722</v>
      </c>
      <c r="H1342" s="18" t="str">
        <f t="array" ref="H1342">_xlfn.XLOOKUP(E:E,'Calificación consecuencia'!B:B,'Calificación consecuencia'!K:K,"No encontrada",2)</f>
        <v>Media</v>
      </c>
      <c r="I1342" s="27" t="s">
        <v>425</v>
      </c>
      <c r="J1342" s="29" t="s">
        <v>120</v>
      </c>
      <c r="K1342" s="30" t="s">
        <v>116</v>
      </c>
      <c r="L1342" s="21"/>
      <c r="M1342" s="21"/>
      <c r="N1342" s="21"/>
      <c r="O1342" s="21"/>
      <c r="P1342" s="21"/>
      <c r="Q1342" s="21"/>
      <c r="R1342" s="21"/>
      <c r="S1342" s="21"/>
      <c r="T1342" s="21"/>
      <c r="U1342" s="27" t="s">
        <v>439</v>
      </c>
      <c r="V1342" s="27" t="s">
        <v>440</v>
      </c>
    </row>
    <row r="1343" ht="14.25" customHeight="1">
      <c r="A1343" s="9" t="s">
        <v>2530</v>
      </c>
      <c r="B1343" s="9" t="s">
        <v>2529</v>
      </c>
      <c r="C1343" s="9" t="str">
        <f t="array" ref="C1343">INDEX(Funciones!$G$2:$G$372,MATCH($A1343,Funciones!$B$2:$B$372,0))</f>
        <v>Unir los coches con esfuerzo longitudinal de _____ kN</v>
      </c>
      <c r="D1343" s="9" t="s">
        <v>4715</v>
      </c>
      <c r="E1343" s="9" t="s">
        <v>3789</v>
      </c>
      <c r="F1343" s="9" t="s">
        <v>4716</v>
      </c>
      <c r="G1343" s="9" t="s">
        <v>4717</v>
      </c>
      <c r="H1343" s="18" t="str">
        <f t="array" ref="H1343">_xlfn.XLOOKUP(E:E,'Calificación consecuencia'!B:B,'Calificación consecuencia'!K:K,"No encontrada",2)</f>
        <v>Baja</v>
      </c>
      <c r="I1343" s="9" t="s">
        <v>844</v>
      </c>
      <c r="J1343" s="22" t="s">
        <v>120</v>
      </c>
      <c r="K1343" s="20" t="s">
        <v>116</v>
      </c>
      <c r="L1343" s="21"/>
      <c r="M1343" s="21"/>
      <c r="N1343" s="21"/>
      <c r="O1343" s="21"/>
      <c r="P1343" s="21"/>
      <c r="Q1343" s="21"/>
      <c r="R1343" s="21"/>
      <c r="S1343" s="21"/>
      <c r="T1343" s="21"/>
      <c r="U1343" s="9" t="s">
        <v>439</v>
      </c>
      <c r="V1343" s="9" t="s">
        <v>440</v>
      </c>
    </row>
    <row r="1344" ht="14.25" customHeight="1">
      <c r="A1344" s="9" t="s">
        <v>2530</v>
      </c>
      <c r="B1344" s="9" t="s">
        <v>2529</v>
      </c>
      <c r="C1344" s="9" t="str">
        <f t="array" ref="C1344">INDEX(Funciones!$G$2:$G$372,MATCH($A1344,Funciones!$B$2:$B$372,0))</f>
        <v>Unir los coches con esfuerzo longitudinal de _____ kN</v>
      </c>
      <c r="D1344" s="9" t="s">
        <v>4715</v>
      </c>
      <c r="E1344" s="9" t="s">
        <v>3790</v>
      </c>
      <c r="F1344" s="9" t="s">
        <v>4718</v>
      </c>
      <c r="G1344" s="9" t="s">
        <v>4719</v>
      </c>
      <c r="H1344" s="18" t="str">
        <f t="array" ref="H1344">_xlfn.XLOOKUP(E:E,'Calificación consecuencia'!B:B,'Calificación consecuencia'!K:K,"No encontrada",2)</f>
        <v>Baja</v>
      </c>
      <c r="I1344" s="9" t="s">
        <v>844</v>
      </c>
      <c r="J1344" s="22" t="s">
        <v>120</v>
      </c>
      <c r="K1344" s="20" t="s">
        <v>116</v>
      </c>
      <c r="L1344" s="21"/>
      <c r="M1344" s="21"/>
      <c r="N1344" s="21"/>
      <c r="O1344" s="21"/>
      <c r="P1344" s="21"/>
      <c r="Q1344" s="21"/>
      <c r="R1344" s="21"/>
      <c r="S1344" s="21"/>
      <c r="T1344" s="21"/>
      <c r="U1344" s="9" t="s">
        <v>439</v>
      </c>
      <c r="V1344" s="9" t="s">
        <v>440</v>
      </c>
    </row>
    <row r="1345" ht="14.25" customHeight="1">
      <c r="A1345" s="9" t="s">
        <v>2530</v>
      </c>
      <c r="B1345" s="9" t="s">
        <v>2529</v>
      </c>
      <c r="C1345" s="9" t="str">
        <f t="array" ref="C1345">INDEX(Funciones!$G$2:$G$372,MATCH($A1345,Funciones!$B$2:$B$372,0))</f>
        <v>Unir los coches con esfuerzo longitudinal de _____ kN</v>
      </c>
      <c r="D1345" s="9" t="s">
        <v>4720</v>
      </c>
      <c r="E1345" s="9" t="s">
        <v>3791</v>
      </c>
      <c r="F1345" s="9" t="s">
        <v>4721</v>
      </c>
      <c r="G1345" s="9" t="s">
        <v>4722</v>
      </c>
      <c r="H1345" s="18" t="str">
        <f t="array" ref="H1345">_xlfn.XLOOKUP(E:E,'Calificación consecuencia'!B:B,'Calificación consecuencia'!K:K,"No encontrada",2)</f>
        <v>Media</v>
      </c>
      <c r="I1345" s="9" t="s">
        <v>425</v>
      </c>
      <c r="J1345" s="22" t="s">
        <v>120</v>
      </c>
      <c r="K1345" s="20" t="s">
        <v>116</v>
      </c>
      <c r="L1345" s="21"/>
      <c r="M1345" s="21"/>
      <c r="N1345" s="21"/>
      <c r="O1345" s="21"/>
      <c r="P1345" s="21"/>
      <c r="Q1345" s="21"/>
      <c r="R1345" s="21"/>
      <c r="S1345" s="21"/>
      <c r="T1345" s="21"/>
      <c r="U1345" s="9" t="s">
        <v>439</v>
      </c>
      <c r="V1345" s="9" t="s">
        <v>440</v>
      </c>
    </row>
    <row r="1346" ht="14.25" customHeight="1">
      <c r="A1346" s="27" t="s">
        <v>2536</v>
      </c>
      <c r="B1346" s="27" t="s">
        <v>2535</v>
      </c>
      <c r="C1346" s="27" t="str">
        <f t="array" ref="C1346">INDEX(Funciones!$G$2:$G$372,MATCH($A1346,Funciones!$B$2:$B$372,0))</f>
        <v>Desacoplar el enganche en un máximo de _____ s</v>
      </c>
      <c r="D1346" s="27" t="s">
        <v>4723</v>
      </c>
      <c r="E1346" s="27" t="s">
        <v>3792</v>
      </c>
      <c r="F1346" s="27" t="s">
        <v>4724</v>
      </c>
      <c r="G1346" s="27" t="s">
        <v>4725</v>
      </c>
      <c r="H1346" s="18" t="str">
        <f t="array" ref="H1346">_xlfn.XLOOKUP(E:E,'Calificación consecuencia'!B:B,'Calificación consecuencia'!K:K,"No encontrada",2)</f>
        <v>Media</v>
      </c>
      <c r="I1346" s="27" t="s">
        <v>1800</v>
      </c>
      <c r="J1346" s="30" t="s">
        <v>116</v>
      </c>
      <c r="K1346" s="21"/>
      <c r="L1346" s="21"/>
      <c r="M1346" s="29" t="s">
        <v>120</v>
      </c>
      <c r="N1346" s="21"/>
      <c r="O1346" s="29" t="s">
        <v>120</v>
      </c>
      <c r="P1346" s="21"/>
      <c r="Q1346" s="21"/>
      <c r="R1346" s="21"/>
      <c r="S1346" s="30" t="s">
        <v>116</v>
      </c>
      <c r="T1346" s="30" t="s">
        <v>116</v>
      </c>
      <c r="U1346" s="27" t="s">
        <v>3471</v>
      </c>
      <c r="V1346" s="27" t="s">
        <v>196</v>
      </c>
    </row>
    <row r="1347" ht="14.25" customHeight="1">
      <c r="A1347" s="27" t="s">
        <v>2536</v>
      </c>
      <c r="B1347" s="27" t="s">
        <v>2535</v>
      </c>
      <c r="C1347" s="27" t="str">
        <f t="array" ref="C1347">INDEX(Funciones!$G$2:$G$372,MATCH($A1347,Funciones!$B$2:$B$372,0))</f>
        <v>Desacoplar el enganche en un máximo de _____ s</v>
      </c>
      <c r="D1347" s="27" t="s">
        <v>4723</v>
      </c>
      <c r="E1347" s="27" t="s">
        <v>3793</v>
      </c>
      <c r="F1347" s="27" t="s">
        <v>4726</v>
      </c>
      <c r="G1347" s="27" t="s">
        <v>4727</v>
      </c>
      <c r="H1347" s="18" t="str">
        <f t="array" ref="H1347">_xlfn.XLOOKUP(E:E,'Calificación consecuencia'!B:B,'Calificación consecuencia'!K:K,"No encontrada",2)</f>
        <v>Baja</v>
      </c>
      <c r="I1347" s="27" t="s">
        <v>2106</v>
      </c>
      <c r="J1347" s="30" t="s">
        <v>116</v>
      </c>
      <c r="K1347" s="21"/>
      <c r="L1347" s="21"/>
      <c r="M1347" s="29" t="s">
        <v>120</v>
      </c>
      <c r="N1347" s="21"/>
      <c r="O1347" s="29" t="s">
        <v>120</v>
      </c>
      <c r="P1347" s="21"/>
      <c r="Q1347" s="21"/>
      <c r="R1347" s="21"/>
      <c r="S1347" s="29" t="s">
        <v>120</v>
      </c>
      <c r="T1347" s="21"/>
      <c r="U1347" s="27" t="s">
        <v>1680</v>
      </c>
      <c r="V1347" s="27" t="s">
        <v>1408</v>
      </c>
    </row>
    <row r="1348" ht="14.25" customHeight="1">
      <c r="A1348" s="27" t="s">
        <v>2536</v>
      </c>
      <c r="B1348" s="27" t="s">
        <v>2535</v>
      </c>
      <c r="C1348" s="27" t="str">
        <f t="array" ref="C1348">INDEX(Funciones!$G$2:$G$372,MATCH($A1348,Funciones!$B$2:$B$372,0))</f>
        <v>Desacoplar el enganche en un máximo de _____ s</v>
      </c>
      <c r="D1348" s="27" t="s">
        <v>4728</v>
      </c>
      <c r="E1348" s="27" t="s">
        <v>3794</v>
      </c>
      <c r="F1348" s="27" t="s">
        <v>4729</v>
      </c>
      <c r="G1348" s="27" t="s">
        <v>4730</v>
      </c>
      <c r="H1348" s="18" t="str">
        <f t="array" ref="H1348">_xlfn.XLOOKUP(E:E,'Calificación consecuencia'!B:B,'Calificación consecuencia'!K:K,"No encontrada",2)</f>
        <v>Media</v>
      </c>
      <c r="I1348" s="27" t="s">
        <v>2106</v>
      </c>
      <c r="J1348" s="30" t="s">
        <v>116</v>
      </c>
      <c r="K1348" s="21"/>
      <c r="L1348" s="21"/>
      <c r="M1348" s="29" t="s">
        <v>120</v>
      </c>
      <c r="N1348" s="21"/>
      <c r="O1348" s="30" t="s">
        <v>116</v>
      </c>
      <c r="P1348" s="30" t="s">
        <v>116</v>
      </c>
      <c r="Q1348" s="21"/>
      <c r="R1348" s="21"/>
      <c r="S1348" s="21"/>
      <c r="T1348" s="21"/>
      <c r="U1348" s="27" t="s">
        <v>345</v>
      </c>
      <c r="V1348" s="27" t="s">
        <v>196</v>
      </c>
    </row>
    <row r="1349" ht="14.25" customHeight="1">
      <c r="A1349" s="9" t="s">
        <v>2549</v>
      </c>
      <c r="B1349" s="9" t="s">
        <v>2548</v>
      </c>
      <c r="C1349" s="9" t="str">
        <f t="array" ref="C1349">INDEX(Funciones!$G$2:$G$372,MATCH($A1349,Funciones!$B$2:$B$372,0))</f>
        <v>Corregir el deslizamiento de ruedas por debajo de 10 %</v>
      </c>
      <c r="D1349" s="9" t="s">
        <v>4731</v>
      </c>
      <c r="E1349" s="9" t="s">
        <v>3795</v>
      </c>
      <c r="F1349" s="9" t="s">
        <v>4732</v>
      </c>
      <c r="G1349" s="9" t="s">
        <v>4733</v>
      </c>
      <c r="H1349" s="18" t="str">
        <f t="array" ref="H1349">_xlfn.XLOOKUP(E:E,'Calificación consecuencia'!B:B,'Calificación consecuencia'!K:K,"No encontrada",2)</f>
        <v>Media</v>
      </c>
      <c r="I1349" s="9" t="s">
        <v>844</v>
      </c>
      <c r="J1349" s="22" t="s">
        <v>120</v>
      </c>
      <c r="K1349" s="20" t="s">
        <v>116</v>
      </c>
      <c r="L1349" s="21"/>
      <c r="M1349" s="21"/>
      <c r="N1349" s="21"/>
      <c r="O1349" s="21"/>
      <c r="P1349" s="21"/>
      <c r="Q1349" s="21"/>
      <c r="R1349" s="21"/>
      <c r="S1349" s="21"/>
      <c r="T1349" s="21"/>
      <c r="U1349" s="9" t="s">
        <v>439</v>
      </c>
      <c r="V1349" s="9" t="s">
        <v>440</v>
      </c>
    </row>
    <row r="1350" ht="14.25" customHeight="1">
      <c r="A1350" s="9" t="s">
        <v>2549</v>
      </c>
      <c r="B1350" s="9" t="s">
        <v>2548</v>
      </c>
      <c r="C1350" s="9" t="str">
        <f t="array" ref="C1350">INDEX(Funciones!$G$2:$G$372,MATCH($A1350,Funciones!$B$2:$B$372,0))</f>
        <v>Corregir el deslizamiento de ruedas por debajo de 10 %</v>
      </c>
      <c r="D1350" s="9" t="s">
        <v>4731</v>
      </c>
      <c r="E1350" s="9" t="s">
        <v>3796</v>
      </c>
      <c r="F1350" s="9" t="s">
        <v>4734</v>
      </c>
      <c r="G1350" s="9" t="s">
        <v>4735</v>
      </c>
      <c r="H1350" s="18" t="str">
        <f t="array" ref="H1350">_xlfn.XLOOKUP(E:E,'Calificación consecuencia'!B:B,'Calificación consecuencia'!K:K,"No encontrada",2)</f>
        <v>Media</v>
      </c>
      <c r="I1350" s="9" t="s">
        <v>844</v>
      </c>
      <c r="J1350" s="22" t="s">
        <v>120</v>
      </c>
      <c r="K1350" s="20" t="s">
        <v>116</v>
      </c>
      <c r="L1350" s="21"/>
      <c r="M1350" s="21"/>
      <c r="N1350" s="21"/>
      <c r="O1350" s="21"/>
      <c r="P1350" s="21"/>
      <c r="Q1350" s="21"/>
      <c r="R1350" s="21"/>
      <c r="S1350" s="21"/>
      <c r="T1350" s="21"/>
      <c r="U1350" s="9" t="s">
        <v>439</v>
      </c>
      <c r="V1350" s="9" t="s">
        <v>440</v>
      </c>
    </row>
    <row r="1351" ht="14.25" customHeight="1">
      <c r="A1351" s="9" t="s">
        <v>2549</v>
      </c>
      <c r="B1351" s="9" t="s">
        <v>2548</v>
      </c>
      <c r="C1351" s="9" t="str">
        <f t="array" ref="C1351">INDEX(Funciones!$G$2:$G$372,MATCH($A1351,Funciones!$B$2:$B$372,0))</f>
        <v>Corregir el deslizamiento de ruedas por debajo de 10 %</v>
      </c>
      <c r="D1351" s="9" t="s">
        <v>4736</v>
      </c>
      <c r="E1351" s="9" t="s">
        <v>3797</v>
      </c>
      <c r="F1351" s="9" t="s">
        <v>4737</v>
      </c>
      <c r="G1351" s="9" t="s">
        <v>4733</v>
      </c>
      <c r="H1351" s="18" t="str">
        <f t="array" ref="H1351">_xlfn.XLOOKUP(E:E,'Calificación consecuencia'!B:B,'Calificación consecuencia'!K:K,"No encontrada",2)</f>
        <v>Media</v>
      </c>
      <c r="I1351" s="9" t="s">
        <v>425</v>
      </c>
      <c r="J1351" s="22" t="s">
        <v>120</v>
      </c>
      <c r="K1351" s="20" t="s">
        <v>116</v>
      </c>
      <c r="L1351" s="21"/>
      <c r="M1351" s="21"/>
      <c r="N1351" s="21"/>
      <c r="O1351" s="21"/>
      <c r="P1351" s="21"/>
      <c r="Q1351" s="21"/>
      <c r="R1351" s="21"/>
      <c r="S1351" s="21"/>
      <c r="T1351" s="21"/>
      <c r="U1351" s="9" t="s">
        <v>439</v>
      </c>
      <c r="V1351" s="9" t="s">
        <v>440</v>
      </c>
    </row>
    <row r="1352" ht="14.25" customHeight="1">
      <c r="A1352" s="9" t="s">
        <v>2549</v>
      </c>
      <c r="B1352" s="9" t="s">
        <v>2548</v>
      </c>
      <c r="C1352" s="9" t="str">
        <f t="array" ref="C1352">INDEX(Funciones!$G$2:$G$372,MATCH($A1352,Funciones!$B$2:$B$372,0))</f>
        <v>Corregir el deslizamiento de ruedas por debajo de 10 %</v>
      </c>
      <c r="D1352" s="9" t="s">
        <v>4736</v>
      </c>
      <c r="E1352" s="9" t="s">
        <v>3798</v>
      </c>
      <c r="F1352" s="9" t="s">
        <v>4738</v>
      </c>
      <c r="G1352" s="9" t="s">
        <v>4739</v>
      </c>
      <c r="H1352" s="18" t="str">
        <f t="array" ref="H1352">_xlfn.XLOOKUP(E:E,'Calificación consecuencia'!B:B,'Calificación consecuencia'!K:K,"No encontrada",2)</f>
        <v>Media</v>
      </c>
      <c r="I1352" s="9" t="s">
        <v>425</v>
      </c>
      <c r="J1352" s="22" t="s">
        <v>120</v>
      </c>
      <c r="K1352" s="20" t="s">
        <v>116</v>
      </c>
      <c r="L1352" s="21"/>
      <c r="M1352" s="21"/>
      <c r="N1352" s="21"/>
      <c r="O1352" s="21"/>
      <c r="P1352" s="21"/>
      <c r="Q1352" s="21"/>
      <c r="R1352" s="21"/>
      <c r="S1352" s="21"/>
      <c r="T1352" s="21"/>
      <c r="U1352" s="9" t="s">
        <v>439</v>
      </c>
      <c r="V1352" s="9" t="s">
        <v>440</v>
      </c>
    </row>
    <row r="1353" ht="14.25" customHeight="1">
      <c r="A1353" s="9" t="s">
        <v>2549</v>
      </c>
      <c r="B1353" s="9" t="s">
        <v>2548</v>
      </c>
      <c r="C1353" s="9" t="str">
        <f t="array" ref="C1353">INDEX(Funciones!$G$2:$G$372,MATCH($A1353,Funciones!$B$2:$B$372,0))</f>
        <v>Corregir el deslizamiento de ruedas por debajo de 10 %</v>
      </c>
      <c r="D1353" s="9" t="s">
        <v>4736</v>
      </c>
      <c r="E1353" s="9" t="s">
        <v>3799</v>
      </c>
      <c r="F1353" s="9" t="s">
        <v>4740</v>
      </c>
      <c r="G1353" s="9" t="s">
        <v>4741</v>
      </c>
      <c r="H1353" s="18" t="str">
        <f t="array" ref="H1353">_xlfn.XLOOKUP(E:E,'Calificación consecuencia'!B:B,'Calificación consecuencia'!K:K,"No encontrada",2)</f>
        <v>Media</v>
      </c>
      <c r="I1353" s="9" t="s">
        <v>425</v>
      </c>
      <c r="J1353" s="22" t="s">
        <v>120</v>
      </c>
      <c r="K1353" s="20" t="s">
        <v>116</v>
      </c>
      <c r="L1353" s="21"/>
      <c r="M1353" s="21"/>
      <c r="N1353" s="21"/>
      <c r="O1353" s="21"/>
      <c r="P1353" s="21"/>
      <c r="Q1353" s="21"/>
      <c r="R1353" s="21"/>
      <c r="S1353" s="21"/>
      <c r="T1353" s="21"/>
      <c r="U1353" s="9" t="s">
        <v>439</v>
      </c>
      <c r="V1353" s="9" t="s">
        <v>440</v>
      </c>
    </row>
    <row r="1354" ht="14.25" customHeight="1">
      <c r="A1354" s="27" t="s">
        <v>2562</v>
      </c>
      <c r="B1354" s="27" t="s">
        <v>2561</v>
      </c>
      <c r="C1354" s="27" t="str">
        <f t="array" ref="C1354">INDEX(Funciones!$G$2:$G$372,MATCH($A1354,Funciones!$B$2:$B$372,0))</f>
        <v>Ejercer la fuerza de frenado de _____ kN</v>
      </c>
      <c r="D1354" s="27" t="s">
        <v>4742</v>
      </c>
      <c r="E1354" s="27" t="s">
        <v>3800</v>
      </c>
      <c r="F1354" s="27" t="s">
        <v>4743</v>
      </c>
      <c r="G1354" s="27" t="s">
        <v>970</v>
      </c>
      <c r="H1354" s="18" t="str">
        <f t="array" ref="H1354">_xlfn.XLOOKUP(E:E,'Calificación consecuencia'!B:B,'Calificación consecuencia'!K:K,"No encontrada",2)</f>
        <v>Media</v>
      </c>
      <c r="I1354" s="27" t="s">
        <v>844</v>
      </c>
      <c r="J1354" s="30" t="s">
        <v>116</v>
      </c>
      <c r="K1354" s="21"/>
      <c r="L1354" s="21"/>
      <c r="M1354" s="30" t="s">
        <v>116</v>
      </c>
      <c r="N1354" s="30" t="s">
        <v>116</v>
      </c>
      <c r="O1354" s="21"/>
      <c r="P1354" s="21"/>
      <c r="Q1354" s="21"/>
      <c r="R1354" s="21"/>
      <c r="S1354" s="21"/>
      <c r="T1354" s="21"/>
      <c r="U1354" s="27" t="s">
        <v>195</v>
      </c>
      <c r="V1354" s="27" t="s">
        <v>196</v>
      </c>
    </row>
    <row r="1355" ht="14.25" customHeight="1">
      <c r="A1355" s="27" t="s">
        <v>2562</v>
      </c>
      <c r="B1355" s="27" t="s">
        <v>2561</v>
      </c>
      <c r="C1355" s="27" t="str">
        <f t="array" ref="C1355">INDEX(Funciones!$G$2:$G$372,MATCH($A1355,Funciones!$B$2:$B$372,0))</f>
        <v>Ejercer la fuerza de frenado de _____ kN</v>
      </c>
      <c r="D1355" s="27" t="s">
        <v>4742</v>
      </c>
      <c r="E1355" s="27" t="s">
        <v>3801</v>
      </c>
      <c r="F1355" s="27" t="s">
        <v>4744</v>
      </c>
      <c r="G1355" s="27" t="s">
        <v>4745</v>
      </c>
      <c r="H1355" s="18" t="str">
        <f t="array" ref="H1355">_xlfn.XLOOKUP(E:E,'Calificación consecuencia'!B:B,'Calificación consecuencia'!K:K,"No encontrada",2)</f>
        <v>Media</v>
      </c>
      <c r="I1355" s="27" t="s">
        <v>844</v>
      </c>
      <c r="J1355" s="30" t="s">
        <v>116</v>
      </c>
      <c r="K1355" s="21"/>
      <c r="L1355" s="21"/>
      <c r="M1355" s="30" t="s">
        <v>116</v>
      </c>
      <c r="N1355" s="30" t="s">
        <v>116</v>
      </c>
      <c r="O1355" s="21"/>
      <c r="P1355" s="21"/>
      <c r="Q1355" s="21"/>
      <c r="R1355" s="21"/>
      <c r="S1355" s="21"/>
      <c r="T1355" s="21"/>
      <c r="U1355" s="27" t="s">
        <v>195</v>
      </c>
      <c r="V1355" s="27" t="s">
        <v>196</v>
      </c>
    </row>
    <row r="1356" ht="14.25" customHeight="1">
      <c r="A1356" s="27" t="s">
        <v>2562</v>
      </c>
      <c r="B1356" s="27" t="s">
        <v>2561</v>
      </c>
      <c r="C1356" s="27" t="str">
        <f t="array" ref="C1356">INDEX(Funciones!$G$2:$G$372,MATCH($A1356,Funciones!$B$2:$B$372,0))</f>
        <v>Ejercer la fuerza de frenado de _____ kN</v>
      </c>
      <c r="D1356" s="27" t="s">
        <v>4746</v>
      </c>
      <c r="E1356" s="27" t="s">
        <v>1259</v>
      </c>
      <c r="F1356" s="27" t="s">
        <v>4747</v>
      </c>
      <c r="G1356" s="27" t="s">
        <v>3323</v>
      </c>
      <c r="H1356" s="18" t="str">
        <f t="array" ref="H1356">_xlfn.XLOOKUP(E:E,'Calificación consecuencia'!B:B,'Calificación consecuencia'!K:K,"No encontrada",2)</f>
        <v>Baja</v>
      </c>
      <c r="I1356" s="27" t="s">
        <v>425</v>
      </c>
      <c r="J1356" s="30" t="s">
        <v>116</v>
      </c>
      <c r="K1356" s="21"/>
      <c r="L1356" s="21"/>
      <c r="M1356" s="30" t="s">
        <v>116</v>
      </c>
      <c r="N1356" s="30" t="s">
        <v>116</v>
      </c>
      <c r="O1356" s="21"/>
      <c r="P1356" s="21"/>
      <c r="Q1356" s="21"/>
      <c r="R1356" s="21"/>
      <c r="S1356" s="21"/>
      <c r="T1356" s="21"/>
      <c r="U1356" s="27" t="s">
        <v>195</v>
      </c>
      <c r="V1356" s="27" t="s">
        <v>196</v>
      </c>
    </row>
    <row r="1357" ht="14.25" customHeight="1">
      <c r="A1357" s="27" t="s">
        <v>2562</v>
      </c>
      <c r="B1357" s="27" t="s">
        <v>2561</v>
      </c>
      <c r="C1357" s="27" t="str">
        <f t="array" ref="C1357">INDEX(Funciones!$G$2:$G$372,MATCH($A1357,Funciones!$B$2:$B$372,0))</f>
        <v>Ejercer la fuerza de frenado de _____ kN</v>
      </c>
      <c r="D1357" s="27" t="s">
        <v>4746</v>
      </c>
      <c r="E1357" s="27" t="s">
        <v>3802</v>
      </c>
      <c r="F1357" s="27" t="s">
        <v>4748</v>
      </c>
      <c r="G1357" s="27" t="s">
        <v>4749</v>
      </c>
      <c r="H1357" s="18" t="str">
        <f t="array" ref="H1357">_xlfn.XLOOKUP(E:E,'Calificación consecuencia'!B:B,'Calificación consecuencia'!K:K,"No encontrada",2)</f>
        <v>Baja</v>
      </c>
      <c r="I1357" s="27" t="s">
        <v>425</v>
      </c>
      <c r="J1357" s="30" t="s">
        <v>116</v>
      </c>
      <c r="K1357" s="21"/>
      <c r="L1357" s="21"/>
      <c r="M1357" s="30" t="s">
        <v>116</v>
      </c>
      <c r="N1357" s="30" t="s">
        <v>116</v>
      </c>
      <c r="O1357" s="21"/>
      <c r="P1357" s="21"/>
      <c r="Q1357" s="21"/>
      <c r="R1357" s="21"/>
      <c r="S1357" s="21"/>
      <c r="T1357" s="21"/>
      <c r="U1357" s="27" t="s">
        <v>195</v>
      </c>
      <c r="V1357" s="27" t="s">
        <v>196</v>
      </c>
    </row>
    <row r="1358" ht="14.25" customHeight="1">
      <c r="A1358" s="9" t="s">
        <v>2573</v>
      </c>
      <c r="B1358" s="9" t="s">
        <v>2572</v>
      </c>
      <c r="C1358" s="9" t="str">
        <f t="array" ref="C1358">INDEX(Funciones!$G$2:$G$372,MATCH($A1358,Funciones!$B$2:$B$372,0))</f>
        <v>Adherir el patín al riel con 76 kN por metro</v>
      </c>
      <c r="D1358" s="9" t="s">
        <v>4750</v>
      </c>
      <c r="E1358" s="9" t="s">
        <v>3803</v>
      </c>
      <c r="F1358" s="9" t="s">
        <v>4751</v>
      </c>
      <c r="G1358" s="9" t="s">
        <v>4752</v>
      </c>
      <c r="H1358" s="18" t="str">
        <f t="array" ref="H1358">_xlfn.XLOOKUP(E:E,'Calificación consecuencia'!B:B,'Calificación consecuencia'!K:K,"No encontrada",2)</f>
        <v>Media</v>
      </c>
      <c r="I1358" s="9" t="s">
        <v>844</v>
      </c>
      <c r="J1358" s="22" t="s">
        <v>120</v>
      </c>
      <c r="K1358" s="20" t="s">
        <v>116</v>
      </c>
      <c r="L1358" s="21"/>
      <c r="M1358" s="21"/>
      <c r="N1358" s="21"/>
      <c r="O1358" s="21"/>
      <c r="P1358" s="21"/>
      <c r="Q1358" s="21"/>
      <c r="R1358" s="21"/>
      <c r="S1358" s="21"/>
      <c r="T1358" s="21"/>
      <c r="U1358" s="9" t="s">
        <v>439</v>
      </c>
      <c r="V1358" s="9" t="s">
        <v>440</v>
      </c>
    </row>
    <row r="1359" ht="14.25" customHeight="1">
      <c r="A1359" s="9" t="s">
        <v>2573</v>
      </c>
      <c r="B1359" s="9" t="s">
        <v>2572</v>
      </c>
      <c r="C1359" s="9" t="str">
        <f t="array" ref="C1359">INDEX(Funciones!$G$2:$G$372,MATCH($A1359,Funciones!$B$2:$B$372,0))</f>
        <v>Adherir el patín al riel con 76 kN por metro</v>
      </c>
      <c r="D1359" s="9" t="s">
        <v>4753</v>
      </c>
      <c r="E1359" s="9" t="s">
        <v>3804</v>
      </c>
      <c r="F1359" s="9" t="s">
        <v>4754</v>
      </c>
      <c r="G1359" s="9" t="s">
        <v>4755</v>
      </c>
      <c r="H1359" s="18" t="str">
        <f t="array" ref="H1359">_xlfn.XLOOKUP(E:E,'Calificación consecuencia'!B:B,'Calificación consecuencia'!K:K,"No encontrada",2)</f>
        <v>Media</v>
      </c>
      <c r="I1359" s="9" t="s">
        <v>425</v>
      </c>
      <c r="J1359" s="22" t="s">
        <v>120</v>
      </c>
      <c r="K1359" s="20" t="s">
        <v>116</v>
      </c>
      <c r="L1359" s="21"/>
      <c r="M1359" s="21"/>
      <c r="N1359" s="21"/>
      <c r="O1359" s="21"/>
      <c r="P1359" s="21"/>
      <c r="Q1359" s="21"/>
      <c r="R1359" s="21"/>
      <c r="S1359" s="21"/>
      <c r="T1359" s="21"/>
      <c r="U1359" s="9" t="s">
        <v>439</v>
      </c>
      <c r="V1359" s="9" t="s">
        <v>440</v>
      </c>
    </row>
    <row r="1360" ht="14.25" customHeight="1">
      <c r="A1360" s="9" t="s">
        <v>2573</v>
      </c>
      <c r="B1360" s="9" t="s">
        <v>2572</v>
      </c>
      <c r="C1360" s="9" t="str">
        <f t="array" ref="C1360">INDEX(Funciones!$G$2:$G$372,MATCH($A1360,Funciones!$B$2:$B$372,0))</f>
        <v>Adherir el patín al riel con 76 kN por metro</v>
      </c>
      <c r="D1360" s="9" t="s">
        <v>4753</v>
      </c>
      <c r="E1360" s="9" t="s">
        <v>3805</v>
      </c>
      <c r="F1360" s="9" t="s">
        <v>4756</v>
      </c>
      <c r="G1360" s="9" t="s">
        <v>4757</v>
      </c>
      <c r="H1360" s="18" t="str">
        <f t="array" ref="H1360">_xlfn.XLOOKUP(E:E,'Calificación consecuencia'!B:B,'Calificación consecuencia'!K:K,"No encontrada",2)</f>
        <v>Media</v>
      </c>
      <c r="I1360" s="9" t="s">
        <v>425</v>
      </c>
      <c r="J1360" s="22" t="s">
        <v>120</v>
      </c>
      <c r="K1360" s="20" t="s">
        <v>116</v>
      </c>
      <c r="L1360" s="21"/>
      <c r="M1360" s="21"/>
      <c r="N1360" s="21"/>
      <c r="O1360" s="21"/>
      <c r="P1360" s="21"/>
      <c r="Q1360" s="21"/>
      <c r="R1360" s="21"/>
      <c r="S1360" s="21"/>
      <c r="T1360" s="21"/>
      <c r="U1360" s="9" t="s">
        <v>439</v>
      </c>
      <c r="V1360" s="9" t="s">
        <v>440</v>
      </c>
    </row>
    <row r="1361" ht="14.25" customHeight="1">
      <c r="A1361" s="27" t="s">
        <v>2590</v>
      </c>
      <c r="B1361" s="27" t="s">
        <v>2589</v>
      </c>
      <c r="C1361" s="27" t="str">
        <f t="array" ref="C1361">INDEX(Funciones!$G$2:$G$372,MATCH($A1361,Funciones!$B$2:$B$372,0))</f>
        <v>Iluminar el salón con un mínimo de 150 lux</v>
      </c>
      <c r="D1361" s="27" t="s">
        <v>4758</v>
      </c>
      <c r="E1361" s="27" t="s">
        <v>3806</v>
      </c>
      <c r="F1361" s="27" t="s">
        <v>4759</v>
      </c>
      <c r="G1361" s="27" t="s">
        <v>4760</v>
      </c>
      <c r="H1361" s="18" t="str">
        <f t="array" ref="H1361">_xlfn.XLOOKUP(E:E,'Calificación consecuencia'!B:B,'Calificación consecuencia'!K:K,"No encontrada",2)</f>
        <v>Baja</v>
      </c>
      <c r="I1361" s="27" t="s">
        <v>1800</v>
      </c>
      <c r="J1361" s="30" t="s">
        <v>116</v>
      </c>
      <c r="K1361" s="21"/>
      <c r="L1361" s="21"/>
      <c r="M1361" s="29" t="s">
        <v>120</v>
      </c>
      <c r="N1361" s="21"/>
      <c r="O1361" s="30" t="s">
        <v>116</v>
      </c>
      <c r="P1361" s="30" t="s">
        <v>116</v>
      </c>
      <c r="Q1361" s="21"/>
      <c r="R1361" s="21"/>
      <c r="S1361" s="21"/>
      <c r="T1361" s="21"/>
      <c r="U1361" s="27" t="s">
        <v>345</v>
      </c>
      <c r="V1361" s="27" t="s">
        <v>196</v>
      </c>
    </row>
    <row r="1362" ht="14.25" customHeight="1">
      <c r="A1362" s="27" t="s">
        <v>2590</v>
      </c>
      <c r="B1362" s="27" t="s">
        <v>2589</v>
      </c>
      <c r="C1362" s="27" t="str">
        <f t="array" ref="C1362">INDEX(Funciones!$G$2:$G$372,MATCH($A1362,Funciones!$B$2:$B$372,0))</f>
        <v>Iluminar el salón con un mínimo de 150 lux</v>
      </c>
      <c r="D1362" s="27" t="s">
        <v>4761</v>
      </c>
      <c r="E1362" s="27" t="s">
        <v>3807</v>
      </c>
      <c r="F1362" s="27" t="s">
        <v>4762</v>
      </c>
      <c r="G1362" s="27" t="s">
        <v>4763</v>
      </c>
      <c r="H1362" s="18" t="str">
        <f t="array" ref="H1362">_xlfn.XLOOKUP(E:E,'Calificación consecuencia'!B:B,'Calificación consecuencia'!K:K,"No encontrada",2)</f>
        <v>Baja</v>
      </c>
      <c r="I1362" s="27" t="s">
        <v>2106</v>
      </c>
      <c r="J1362" s="30" t="s">
        <v>116</v>
      </c>
      <c r="K1362" s="21"/>
      <c r="L1362" s="21"/>
      <c r="M1362" s="29" t="s">
        <v>120</v>
      </c>
      <c r="N1362" s="21"/>
      <c r="O1362" s="30" t="s">
        <v>116</v>
      </c>
      <c r="P1362" s="30" t="s">
        <v>116</v>
      </c>
      <c r="Q1362" s="21"/>
      <c r="R1362" s="21"/>
      <c r="S1362" s="21"/>
      <c r="T1362" s="21"/>
      <c r="U1362" s="27" t="s">
        <v>345</v>
      </c>
      <c r="V1362" s="27" t="s">
        <v>196</v>
      </c>
    </row>
    <row r="1363" ht="14.25" customHeight="1">
      <c r="A1363" s="27" t="s">
        <v>2590</v>
      </c>
      <c r="B1363" s="27" t="s">
        <v>2589</v>
      </c>
      <c r="C1363" s="27" t="str">
        <f t="array" ref="C1363">INDEX(Funciones!$G$2:$G$372,MATCH($A1363,Funciones!$B$2:$B$372,0))</f>
        <v>Iluminar el salón con un mínimo de 150 lux</v>
      </c>
      <c r="D1363" s="27" t="s">
        <v>4761</v>
      </c>
      <c r="E1363" s="27" t="s">
        <v>3808</v>
      </c>
      <c r="F1363" s="27" t="s">
        <v>4764</v>
      </c>
      <c r="G1363" s="27" t="s">
        <v>4765</v>
      </c>
      <c r="H1363" s="18" t="str">
        <f t="array" ref="H1363">_xlfn.XLOOKUP(E:E,'Calificación consecuencia'!B:B,'Calificación consecuencia'!K:K,"No encontrada",2)</f>
        <v>Baja</v>
      </c>
      <c r="I1363" s="27" t="s">
        <v>2106</v>
      </c>
      <c r="J1363" s="30" t="s">
        <v>116</v>
      </c>
      <c r="K1363" s="21"/>
      <c r="L1363" s="21"/>
      <c r="M1363" s="29" t="s">
        <v>120</v>
      </c>
      <c r="N1363" s="21"/>
      <c r="O1363" s="29" t="s">
        <v>120</v>
      </c>
      <c r="P1363" s="21"/>
      <c r="Q1363" s="21"/>
      <c r="R1363" s="21"/>
      <c r="S1363" s="29" t="s">
        <v>120</v>
      </c>
      <c r="T1363" s="21"/>
      <c r="U1363" s="27" t="s">
        <v>1680</v>
      </c>
      <c r="V1363" s="27" t="s">
        <v>1408</v>
      </c>
    </row>
    <row r="1364" ht="14.25" customHeight="1">
      <c r="A1364" s="27" t="s">
        <v>2590</v>
      </c>
      <c r="B1364" s="27" t="s">
        <v>2589</v>
      </c>
      <c r="C1364" s="27" t="str">
        <f t="array" ref="C1364">INDEX(Funciones!$G$2:$G$372,MATCH($A1364,Funciones!$B$2:$B$372,0))</f>
        <v>Iluminar el salón con un mínimo de 150 lux</v>
      </c>
      <c r="D1364" s="27" t="s">
        <v>4761</v>
      </c>
      <c r="E1364" s="27" t="s">
        <v>3809</v>
      </c>
      <c r="F1364" s="27" t="s">
        <v>4766</v>
      </c>
      <c r="G1364" s="27" t="s">
        <v>4767</v>
      </c>
      <c r="H1364" s="18" t="str">
        <f t="array" ref="H1364">_xlfn.XLOOKUP(E:E,'Calificación consecuencia'!B:B,'Calificación consecuencia'!K:K,"No encontrada",2)</f>
        <v>Baja</v>
      </c>
      <c r="I1364" s="27" t="s">
        <v>2106</v>
      </c>
      <c r="J1364" s="30" t="s">
        <v>116</v>
      </c>
      <c r="K1364" s="21"/>
      <c r="L1364" s="21"/>
      <c r="M1364" s="29" t="s">
        <v>120</v>
      </c>
      <c r="N1364" s="21"/>
      <c r="O1364" s="29" t="s">
        <v>120</v>
      </c>
      <c r="P1364" s="21"/>
      <c r="Q1364" s="21"/>
      <c r="R1364" s="21"/>
      <c r="S1364" s="29" t="s">
        <v>120</v>
      </c>
      <c r="T1364" s="21"/>
      <c r="U1364" s="27" t="s">
        <v>1680</v>
      </c>
      <c r="V1364" s="27" t="s">
        <v>1408</v>
      </c>
    </row>
    <row r="1365" ht="14.25" customHeight="1">
      <c r="A1365" s="9" t="s">
        <v>2604</v>
      </c>
      <c r="B1365" s="9" t="s">
        <v>2589</v>
      </c>
      <c r="C1365" s="9" t="str">
        <f t="array" ref="C1365">INDEX(Funciones!$G$2:$G$372,MATCH($A1365,Funciones!$B$2:$B$372,0))</f>
        <v>Iluminar el salón en emergencia durante un mínimo de 90 min</v>
      </c>
      <c r="D1365" s="9" t="s">
        <v>4768</v>
      </c>
      <c r="E1365" s="9" t="s">
        <v>976</v>
      </c>
      <c r="F1365" s="9" t="s">
        <v>4769</v>
      </c>
      <c r="G1365" s="9" t="s">
        <v>2579</v>
      </c>
      <c r="H1365" s="18" t="str">
        <f t="array" ref="H1365">_xlfn.XLOOKUP(E:E,'Calificación consecuencia'!B:B,'Calificación consecuencia'!K:K,"No encontrada",2)</f>
        <v>Baja</v>
      </c>
      <c r="I1365" s="9" t="s">
        <v>425</v>
      </c>
      <c r="J1365" s="22" t="s">
        <v>120</v>
      </c>
      <c r="K1365" s="20" t="s">
        <v>116</v>
      </c>
      <c r="L1365" s="21"/>
      <c r="M1365" s="21"/>
      <c r="N1365" s="21"/>
      <c r="O1365" s="21"/>
      <c r="P1365" s="21"/>
      <c r="Q1365" s="21"/>
      <c r="R1365" s="21"/>
      <c r="S1365" s="21"/>
      <c r="T1365" s="21"/>
      <c r="U1365" s="9" t="s">
        <v>439</v>
      </c>
      <c r="V1365" s="9" t="s">
        <v>440</v>
      </c>
    </row>
    <row r="1366" ht="14.25" customHeight="1">
      <c r="A1366" s="9" t="s">
        <v>2604</v>
      </c>
      <c r="B1366" s="9" t="s">
        <v>2589</v>
      </c>
      <c r="C1366" s="9" t="str">
        <f t="array" ref="C1366">INDEX(Funciones!$G$2:$G$372,MATCH($A1366,Funciones!$B$2:$B$372,0))</f>
        <v>Iluminar el salón en emergencia durante un mínimo de 90 min</v>
      </c>
      <c r="D1366" s="9" t="s">
        <v>4770</v>
      </c>
      <c r="E1366" s="9" t="s">
        <v>3810</v>
      </c>
      <c r="F1366" s="9" t="s">
        <v>4771</v>
      </c>
      <c r="G1366" s="9" t="s">
        <v>4772</v>
      </c>
      <c r="H1366" s="18" t="str">
        <f t="array" ref="H1366">_xlfn.XLOOKUP(E:E,'Calificación consecuencia'!B:B,'Calificación consecuencia'!K:K,"No encontrada",2)</f>
        <v>Baja</v>
      </c>
      <c r="I1366" s="9" t="s">
        <v>425</v>
      </c>
      <c r="J1366" s="22" t="s">
        <v>120</v>
      </c>
      <c r="K1366" s="20" t="s">
        <v>116</v>
      </c>
      <c r="L1366" s="21"/>
      <c r="M1366" s="21"/>
      <c r="N1366" s="21"/>
      <c r="O1366" s="21"/>
      <c r="P1366" s="21"/>
      <c r="Q1366" s="21"/>
      <c r="R1366" s="21"/>
      <c r="S1366" s="21"/>
      <c r="T1366" s="21"/>
      <c r="U1366" s="9" t="s">
        <v>439</v>
      </c>
      <c r="V1366" s="9" t="s">
        <v>440</v>
      </c>
    </row>
    <row r="1367" ht="14.25" customHeight="1">
      <c r="A1367" s="27" t="s">
        <v>2614</v>
      </c>
      <c r="B1367" s="27" t="s">
        <v>2613</v>
      </c>
      <c r="C1367" s="27" t="str">
        <f t="array" ref="C1367">INDEX(Funciones!$G$2:$G$372,MATCH($A1367,Funciones!$B$2:$B$372,0))</f>
        <v>Difundir los avisos sonoros con inteligibilidad ≥ 0,50 STI</v>
      </c>
      <c r="D1367" s="27" t="s">
        <v>4773</v>
      </c>
      <c r="E1367" s="27" t="s">
        <v>3811</v>
      </c>
      <c r="F1367" s="27" t="s">
        <v>4774</v>
      </c>
      <c r="G1367" s="27" t="s">
        <v>4775</v>
      </c>
      <c r="H1367" s="18" t="str">
        <f t="array" ref="H1367">_xlfn.XLOOKUP(E:E,'Calificación consecuencia'!B:B,'Calificación consecuencia'!K:K,"No encontrada",2)</f>
        <v>Baja</v>
      </c>
      <c r="I1367" s="27" t="s">
        <v>425</v>
      </c>
      <c r="J1367" s="30" t="s">
        <v>116</v>
      </c>
      <c r="K1367" s="21"/>
      <c r="L1367" s="21"/>
      <c r="M1367" s="30" t="s">
        <v>116</v>
      </c>
      <c r="N1367" s="30" t="s">
        <v>116</v>
      </c>
      <c r="O1367" s="21"/>
      <c r="P1367" s="21"/>
      <c r="Q1367" s="21"/>
      <c r="R1367" s="21"/>
      <c r="S1367" s="21"/>
      <c r="T1367" s="21"/>
      <c r="U1367" s="27" t="s">
        <v>195</v>
      </c>
      <c r="V1367" s="27" t="s">
        <v>196</v>
      </c>
    </row>
    <row r="1368" ht="14.25" customHeight="1">
      <c r="A1368" s="27" t="s">
        <v>2614</v>
      </c>
      <c r="B1368" s="27" t="s">
        <v>2613</v>
      </c>
      <c r="C1368" s="27" t="str">
        <f t="array" ref="C1368">INDEX(Funciones!$G$2:$G$372,MATCH($A1368,Funciones!$B$2:$B$372,0))</f>
        <v>Difundir los avisos sonoros con inteligibilidad ≥ 0,50 STI</v>
      </c>
      <c r="D1368" s="27" t="s">
        <v>4776</v>
      </c>
      <c r="E1368" s="27" t="s">
        <v>3812</v>
      </c>
      <c r="F1368" s="27" t="s">
        <v>4777</v>
      </c>
      <c r="G1368" s="27" t="s">
        <v>4778</v>
      </c>
      <c r="H1368" s="18" t="str">
        <f t="array" ref="H1368">_xlfn.XLOOKUP(E:E,'Calificación consecuencia'!B:B,'Calificación consecuencia'!K:K,"No encontrada",2)</f>
        <v>Baja</v>
      </c>
      <c r="I1368" s="27" t="s">
        <v>2106</v>
      </c>
      <c r="J1368" s="30" t="s">
        <v>116</v>
      </c>
      <c r="K1368" s="21"/>
      <c r="L1368" s="21"/>
      <c r="M1368" s="29" t="s">
        <v>120</v>
      </c>
      <c r="N1368" s="21"/>
      <c r="O1368" s="29" t="s">
        <v>120</v>
      </c>
      <c r="P1368" s="21"/>
      <c r="Q1368" s="21"/>
      <c r="R1368" s="21"/>
      <c r="S1368" s="29" t="s">
        <v>120</v>
      </c>
      <c r="T1368" s="21"/>
      <c r="U1368" s="27" t="s">
        <v>1680</v>
      </c>
      <c r="V1368" s="27" t="s">
        <v>1408</v>
      </c>
    </row>
    <row r="1369" ht="14.25" customHeight="1">
      <c r="A1369" s="27" t="s">
        <v>2614</v>
      </c>
      <c r="B1369" s="27" t="s">
        <v>2613</v>
      </c>
      <c r="C1369" s="27" t="str">
        <f t="array" ref="C1369">INDEX(Funciones!$G$2:$G$372,MATCH($A1369,Funciones!$B$2:$B$372,0))</f>
        <v>Difundir los avisos sonoros con inteligibilidad ≥ 0,50 STI</v>
      </c>
      <c r="D1369" s="27" t="s">
        <v>4776</v>
      </c>
      <c r="E1369" s="27" t="s">
        <v>3813</v>
      </c>
      <c r="F1369" s="27" t="s">
        <v>4779</v>
      </c>
      <c r="G1369" s="27" t="s">
        <v>4780</v>
      </c>
      <c r="H1369" s="18" t="str">
        <f t="array" ref="H1369">_xlfn.XLOOKUP(E:E,'Calificación consecuencia'!B:B,'Calificación consecuencia'!K:K,"No encontrada",2)</f>
        <v>Baja</v>
      </c>
      <c r="I1369" s="27" t="s">
        <v>2106</v>
      </c>
      <c r="J1369" s="30" t="s">
        <v>116</v>
      </c>
      <c r="K1369" s="21"/>
      <c r="L1369" s="21"/>
      <c r="M1369" s="29" t="s">
        <v>120</v>
      </c>
      <c r="N1369" s="21"/>
      <c r="O1369" s="29" t="s">
        <v>120</v>
      </c>
      <c r="P1369" s="21"/>
      <c r="Q1369" s="21"/>
      <c r="R1369" s="21"/>
      <c r="S1369" s="29" t="s">
        <v>120</v>
      </c>
      <c r="T1369" s="21"/>
      <c r="U1369" s="27" t="s">
        <v>1680</v>
      </c>
      <c r="V1369" s="27" t="s">
        <v>1408</v>
      </c>
    </row>
    <row r="1370" ht="14.25" customHeight="1">
      <c r="A1370" s="27" t="s">
        <v>2614</v>
      </c>
      <c r="B1370" s="27" t="s">
        <v>2613</v>
      </c>
      <c r="C1370" s="27" t="str">
        <f t="array" ref="C1370">INDEX(Funciones!$G$2:$G$372,MATCH($A1370,Funciones!$B$2:$B$372,0))</f>
        <v>Difundir los avisos sonoros con inteligibilidad ≥ 0,50 STI</v>
      </c>
      <c r="D1370" s="27" t="s">
        <v>4776</v>
      </c>
      <c r="E1370" s="27" t="s">
        <v>3814</v>
      </c>
      <c r="F1370" s="27" t="s">
        <v>4781</v>
      </c>
      <c r="G1370" s="27" t="s">
        <v>4782</v>
      </c>
      <c r="H1370" s="18" t="str">
        <f t="array" ref="H1370">_xlfn.XLOOKUP(E:E,'Calificación consecuencia'!B:B,'Calificación consecuencia'!K:K,"No encontrada",2)</f>
        <v>Baja</v>
      </c>
      <c r="I1370" s="27" t="s">
        <v>2106</v>
      </c>
      <c r="J1370" s="30" t="s">
        <v>116</v>
      </c>
      <c r="K1370" s="21"/>
      <c r="L1370" s="21"/>
      <c r="M1370" s="29" t="s">
        <v>120</v>
      </c>
      <c r="N1370" s="21"/>
      <c r="O1370" s="29" t="s">
        <v>120</v>
      </c>
      <c r="P1370" s="21"/>
      <c r="Q1370" s="21"/>
      <c r="R1370" s="21"/>
      <c r="S1370" s="29" t="s">
        <v>120</v>
      </c>
      <c r="T1370" s="21"/>
      <c r="U1370" s="27" t="s">
        <v>1680</v>
      </c>
      <c r="V1370" s="27" t="s">
        <v>1408</v>
      </c>
    </row>
    <row r="1371" ht="14.25" customHeight="1">
      <c r="A1371" s="9" t="s">
        <v>2628</v>
      </c>
      <c r="B1371" s="9" t="s">
        <v>2627</v>
      </c>
      <c r="C1371" s="9" t="str">
        <f t="array" ref="C1371">INDEX(Funciones!$G$2:$G$372,MATCH($A1371,Funciones!$B$2:$B$372,0))</f>
        <v>Cerrar la puerta entre 2 y 3 s</v>
      </c>
      <c r="D1371" s="9" t="s">
        <v>4783</v>
      </c>
      <c r="E1371" s="9" t="s">
        <v>3815</v>
      </c>
      <c r="F1371" s="9" t="s">
        <v>4784</v>
      </c>
      <c r="G1371" s="9" t="s">
        <v>4785</v>
      </c>
      <c r="H1371" s="18" t="str">
        <f t="array" ref="H1371">_xlfn.XLOOKUP(E:E,'Calificación consecuencia'!B:B,'Calificación consecuencia'!K:K,"No encontrada",2)</f>
        <v>Media</v>
      </c>
      <c r="I1371" s="9" t="s">
        <v>113</v>
      </c>
      <c r="J1371" s="20" t="s">
        <v>116</v>
      </c>
      <c r="K1371" s="21"/>
      <c r="L1371" s="21"/>
      <c r="M1371" s="20" t="s">
        <v>116</v>
      </c>
      <c r="N1371" s="20" t="s">
        <v>116</v>
      </c>
      <c r="O1371" s="21"/>
      <c r="P1371" s="21"/>
      <c r="Q1371" s="21"/>
      <c r="R1371" s="21"/>
      <c r="S1371" s="21"/>
      <c r="T1371" s="21"/>
      <c r="U1371" s="9" t="s">
        <v>195</v>
      </c>
      <c r="V1371" s="9" t="s">
        <v>196</v>
      </c>
    </row>
    <row r="1372" ht="14.25" customHeight="1">
      <c r="A1372" s="9" t="s">
        <v>2628</v>
      </c>
      <c r="B1372" s="9" t="s">
        <v>2627</v>
      </c>
      <c r="C1372" s="9" t="str">
        <f t="array" ref="C1372">INDEX(Funciones!$G$2:$G$372,MATCH($A1372,Funciones!$B$2:$B$372,0))</f>
        <v>Cerrar la puerta entre 2 y 3 s</v>
      </c>
      <c r="D1372" s="9" t="s">
        <v>4783</v>
      </c>
      <c r="E1372" s="9" t="s">
        <v>3816</v>
      </c>
      <c r="F1372" s="9" t="s">
        <v>4786</v>
      </c>
      <c r="G1372" s="9" t="s">
        <v>732</v>
      </c>
      <c r="H1372" s="18" t="str">
        <f t="array" ref="H1372">_xlfn.XLOOKUP(E:E,'Calificación consecuencia'!B:B,'Calificación consecuencia'!K:K,"No encontrada",2)</f>
        <v>Media</v>
      </c>
      <c r="I1372" s="9" t="s">
        <v>113</v>
      </c>
      <c r="J1372" s="20" t="s">
        <v>116</v>
      </c>
      <c r="K1372" s="21"/>
      <c r="L1372" s="21"/>
      <c r="M1372" s="20" t="s">
        <v>116</v>
      </c>
      <c r="N1372" s="20" t="s">
        <v>116</v>
      </c>
      <c r="O1372" s="21"/>
      <c r="P1372" s="21"/>
      <c r="Q1372" s="21"/>
      <c r="R1372" s="21"/>
      <c r="S1372" s="21"/>
      <c r="T1372" s="21"/>
      <c r="U1372" s="9" t="s">
        <v>195</v>
      </c>
      <c r="V1372" s="9" t="s">
        <v>196</v>
      </c>
    </row>
    <row r="1373" ht="14.25" customHeight="1">
      <c r="A1373" s="9" t="s">
        <v>2628</v>
      </c>
      <c r="B1373" s="9" t="s">
        <v>2627</v>
      </c>
      <c r="C1373" s="9" t="str">
        <f t="array" ref="C1373">INDEX(Funciones!$G$2:$G$372,MATCH($A1373,Funciones!$B$2:$B$372,0))</f>
        <v>Cerrar la puerta entre 2 y 3 s</v>
      </c>
      <c r="D1373" s="9" t="s">
        <v>4787</v>
      </c>
      <c r="E1373" s="9" t="s">
        <v>3817</v>
      </c>
      <c r="F1373" s="9" t="s">
        <v>4788</v>
      </c>
      <c r="G1373" s="9" t="s">
        <v>4789</v>
      </c>
      <c r="H1373" s="18" t="str">
        <f t="array" ref="H1373">_xlfn.XLOOKUP(E:E,'Calificación consecuencia'!B:B,'Calificación consecuencia'!K:K,"No encontrada",2)</f>
        <v>Baja</v>
      </c>
      <c r="I1373" s="9" t="s">
        <v>339</v>
      </c>
      <c r="J1373" s="20" t="s">
        <v>116</v>
      </c>
      <c r="K1373" s="21"/>
      <c r="L1373" s="21"/>
      <c r="M1373" s="22" t="s">
        <v>120</v>
      </c>
      <c r="N1373" s="21"/>
      <c r="O1373" s="20" t="s">
        <v>116</v>
      </c>
      <c r="P1373" s="22" t="s">
        <v>120</v>
      </c>
      <c r="Q1373" s="20" t="s">
        <v>116</v>
      </c>
      <c r="R1373" s="21"/>
      <c r="S1373" s="21"/>
      <c r="T1373" s="21"/>
      <c r="U1373" s="9" t="s">
        <v>785</v>
      </c>
      <c r="V1373" s="9" t="s">
        <v>786</v>
      </c>
    </row>
    <row r="1374" ht="14.25" customHeight="1">
      <c r="A1374" s="9" t="s">
        <v>2628</v>
      </c>
      <c r="B1374" s="9" t="s">
        <v>2627</v>
      </c>
      <c r="C1374" s="9" t="str">
        <f t="array" ref="C1374">INDEX(Funciones!$G$2:$G$372,MATCH($A1374,Funciones!$B$2:$B$372,0))</f>
        <v>Cerrar la puerta entre 2 y 3 s</v>
      </c>
      <c r="D1374" s="9" t="s">
        <v>4790</v>
      </c>
      <c r="E1374" s="9" t="s">
        <v>3818</v>
      </c>
      <c r="F1374" s="9" t="s">
        <v>4791</v>
      </c>
      <c r="G1374" s="9" t="s">
        <v>4792</v>
      </c>
      <c r="H1374" s="18" t="str">
        <f t="array" ref="H1374">_xlfn.XLOOKUP(E:E,'Calificación consecuencia'!B:B,'Calificación consecuencia'!K:K,"No encontrada",2)</f>
        <v>Baja</v>
      </c>
      <c r="I1374" s="9" t="s">
        <v>339</v>
      </c>
      <c r="J1374" s="20" t="s">
        <v>116</v>
      </c>
      <c r="K1374" s="21"/>
      <c r="L1374" s="21"/>
      <c r="M1374" s="22" t="s">
        <v>120</v>
      </c>
      <c r="N1374" s="21"/>
      <c r="O1374" s="20" t="s">
        <v>116</v>
      </c>
      <c r="P1374" s="22" t="s">
        <v>120</v>
      </c>
      <c r="Q1374" s="20" t="s">
        <v>116</v>
      </c>
      <c r="R1374" s="21"/>
      <c r="S1374" s="21"/>
      <c r="T1374" s="21"/>
      <c r="U1374" s="9" t="s">
        <v>785</v>
      </c>
      <c r="V1374" s="9" t="s">
        <v>786</v>
      </c>
    </row>
    <row r="1375" ht="14.25" customHeight="1">
      <c r="A1375" s="9" t="s">
        <v>2628</v>
      </c>
      <c r="B1375" s="9" t="s">
        <v>2627</v>
      </c>
      <c r="C1375" s="9" t="str">
        <f t="array" ref="C1375">INDEX(Funciones!$G$2:$G$372,MATCH($A1375,Funciones!$B$2:$B$372,0))</f>
        <v>Cerrar la puerta entre 2 y 3 s</v>
      </c>
      <c r="D1375" s="9" t="s">
        <v>4790</v>
      </c>
      <c r="E1375" s="9" t="s">
        <v>3819</v>
      </c>
      <c r="F1375" s="9" t="s">
        <v>4793</v>
      </c>
      <c r="G1375" s="9" t="s">
        <v>4794</v>
      </c>
      <c r="H1375" s="18" t="str">
        <f t="array" ref="H1375">_xlfn.XLOOKUP(E:E,'Calificación consecuencia'!B:B,'Calificación consecuencia'!K:K,"No encontrada",2)</f>
        <v>Baja</v>
      </c>
      <c r="I1375" s="9" t="s">
        <v>339</v>
      </c>
      <c r="J1375" s="20" t="s">
        <v>116</v>
      </c>
      <c r="K1375" s="21"/>
      <c r="L1375" s="21"/>
      <c r="M1375" s="22" t="s">
        <v>120</v>
      </c>
      <c r="N1375" s="21"/>
      <c r="O1375" s="20" t="s">
        <v>116</v>
      </c>
      <c r="P1375" s="22" t="s">
        <v>120</v>
      </c>
      <c r="Q1375" s="22" t="s">
        <v>120</v>
      </c>
      <c r="R1375" s="20" t="s">
        <v>116</v>
      </c>
      <c r="S1375" s="21"/>
      <c r="T1375" s="21"/>
      <c r="U1375" s="9" t="s">
        <v>1680</v>
      </c>
      <c r="V1375" s="9" t="s">
        <v>1408</v>
      </c>
    </row>
    <row r="1376" ht="14.25" customHeight="1">
      <c r="A1376" s="9" t="s">
        <v>2628</v>
      </c>
      <c r="B1376" s="9" t="s">
        <v>2627</v>
      </c>
      <c r="C1376" s="9" t="str">
        <f t="array" ref="C1376">INDEX(Funciones!$G$2:$G$372,MATCH($A1376,Funciones!$B$2:$B$372,0))</f>
        <v>Cerrar la puerta entre 2 y 3 s</v>
      </c>
      <c r="D1376" s="9" t="s">
        <v>4790</v>
      </c>
      <c r="E1376" s="9" t="s">
        <v>3820</v>
      </c>
      <c r="F1376" s="9" t="s">
        <v>4795</v>
      </c>
      <c r="G1376" s="9" t="s">
        <v>771</v>
      </c>
      <c r="H1376" s="18" t="str">
        <f t="array" ref="H1376">_xlfn.XLOOKUP(E:E,'Calificación consecuencia'!B:B,'Calificación consecuencia'!K:K,"No encontrada",2)</f>
        <v>Media</v>
      </c>
      <c r="I1376" s="9" t="s">
        <v>339</v>
      </c>
      <c r="J1376" s="20" t="s">
        <v>116</v>
      </c>
      <c r="K1376" s="21"/>
      <c r="L1376" s="21"/>
      <c r="M1376" s="22" t="s">
        <v>120</v>
      </c>
      <c r="N1376" s="21"/>
      <c r="O1376" s="20" t="s">
        <v>116</v>
      </c>
      <c r="P1376" s="22" t="s">
        <v>120</v>
      </c>
      <c r="Q1376" s="20" t="s">
        <v>116</v>
      </c>
      <c r="R1376" s="21"/>
      <c r="S1376" s="21"/>
      <c r="T1376" s="21"/>
      <c r="U1376" s="9" t="s">
        <v>785</v>
      </c>
      <c r="V1376" s="9" t="s">
        <v>786</v>
      </c>
    </row>
    <row r="1377" ht="14.25" customHeight="1">
      <c r="A1377" s="27" t="s">
        <v>2640</v>
      </c>
      <c r="B1377" s="27" t="s">
        <v>2627</v>
      </c>
      <c r="C1377" s="27" t="str">
        <f t="array" ref="C1377">INDEX(Funciones!$G$2:$G$372,MATCH($A1377,Funciones!$B$2:$B$372,0))</f>
        <v>Abrir la puerta entre 2 y 3 s</v>
      </c>
      <c r="D1377" s="27" t="s">
        <v>4796</v>
      </c>
      <c r="E1377" s="27" t="s">
        <v>3815</v>
      </c>
      <c r="F1377" s="27" t="s">
        <v>4797</v>
      </c>
      <c r="G1377" s="27" t="s">
        <v>4785</v>
      </c>
      <c r="H1377" s="18" t="str">
        <f t="array" ref="H1377">_xlfn.XLOOKUP(E:E,'Calificación consecuencia'!B:B,'Calificación consecuencia'!K:K,"No encontrada",2)</f>
        <v>Media</v>
      </c>
      <c r="I1377" s="27" t="s">
        <v>113</v>
      </c>
      <c r="J1377" s="30" t="s">
        <v>116</v>
      </c>
      <c r="K1377" s="21"/>
      <c r="L1377" s="21"/>
      <c r="M1377" s="30" t="s">
        <v>116</v>
      </c>
      <c r="N1377" s="30" t="s">
        <v>116</v>
      </c>
      <c r="O1377" s="21"/>
      <c r="P1377" s="21"/>
      <c r="Q1377" s="21"/>
      <c r="R1377" s="21"/>
      <c r="S1377" s="21"/>
      <c r="T1377" s="21"/>
      <c r="U1377" s="27" t="s">
        <v>195</v>
      </c>
      <c r="V1377" s="27" t="s">
        <v>196</v>
      </c>
    </row>
    <row r="1378" ht="14.25" customHeight="1">
      <c r="A1378" s="27" t="s">
        <v>2640</v>
      </c>
      <c r="B1378" s="27" t="s">
        <v>2627</v>
      </c>
      <c r="C1378" s="27" t="str">
        <f t="array" ref="C1378">INDEX(Funciones!$G$2:$G$372,MATCH($A1378,Funciones!$B$2:$B$372,0))</f>
        <v>Abrir la puerta entre 2 y 3 s</v>
      </c>
      <c r="D1378" s="27" t="s">
        <v>4796</v>
      </c>
      <c r="E1378" s="27" t="s">
        <v>3821</v>
      </c>
      <c r="F1378" s="27" t="s">
        <v>4798</v>
      </c>
      <c r="G1378" s="27" t="s">
        <v>4799</v>
      </c>
      <c r="H1378" s="18" t="str">
        <f t="array" ref="H1378">_xlfn.XLOOKUP(E:E,'Calificación consecuencia'!B:B,'Calificación consecuencia'!K:K,"No encontrada",2)</f>
        <v>Media</v>
      </c>
      <c r="I1378" s="27" t="s">
        <v>113</v>
      </c>
      <c r="J1378" s="30" t="s">
        <v>116</v>
      </c>
      <c r="K1378" s="21"/>
      <c r="L1378" s="21"/>
      <c r="M1378" s="30" t="s">
        <v>116</v>
      </c>
      <c r="N1378" s="30" t="s">
        <v>116</v>
      </c>
      <c r="O1378" s="21"/>
      <c r="P1378" s="21"/>
      <c r="Q1378" s="21"/>
      <c r="R1378" s="21"/>
      <c r="S1378" s="21"/>
      <c r="T1378" s="21"/>
      <c r="U1378" s="27" t="s">
        <v>195</v>
      </c>
      <c r="V1378" s="27" t="s">
        <v>196</v>
      </c>
    </row>
    <row r="1379" ht="14.25" customHeight="1">
      <c r="A1379" s="27" t="s">
        <v>2640</v>
      </c>
      <c r="B1379" s="27" t="s">
        <v>2627</v>
      </c>
      <c r="C1379" s="27" t="str">
        <f t="array" ref="C1379">INDEX(Funciones!$G$2:$G$372,MATCH($A1379,Funciones!$B$2:$B$372,0))</f>
        <v>Abrir la puerta entre 2 y 3 s</v>
      </c>
      <c r="D1379" s="27" t="s">
        <v>4796</v>
      </c>
      <c r="E1379" s="27" t="s">
        <v>3822</v>
      </c>
      <c r="F1379" s="27" t="s">
        <v>4800</v>
      </c>
      <c r="G1379" s="27" t="s">
        <v>4801</v>
      </c>
      <c r="H1379" s="18" t="str">
        <f t="array" ref="H1379">_xlfn.XLOOKUP(E:E,'Calificación consecuencia'!B:B,'Calificación consecuencia'!K:K,"No encontrada",2)</f>
        <v>Media</v>
      </c>
      <c r="I1379" s="27" t="s">
        <v>113</v>
      </c>
      <c r="J1379" s="30" t="s">
        <v>116</v>
      </c>
      <c r="K1379" s="21"/>
      <c r="L1379" s="21"/>
      <c r="M1379" s="30" t="s">
        <v>116</v>
      </c>
      <c r="N1379" s="30" t="s">
        <v>116</v>
      </c>
      <c r="O1379" s="21"/>
      <c r="P1379" s="21"/>
      <c r="Q1379" s="21"/>
      <c r="R1379" s="21"/>
      <c r="S1379" s="21"/>
      <c r="T1379" s="21"/>
      <c r="U1379" s="27" t="s">
        <v>195</v>
      </c>
      <c r="V1379" s="27" t="s">
        <v>196</v>
      </c>
    </row>
    <row r="1380" ht="14.25" customHeight="1">
      <c r="A1380" s="27" t="s">
        <v>2640</v>
      </c>
      <c r="B1380" s="27" t="s">
        <v>2627</v>
      </c>
      <c r="C1380" s="27" t="str">
        <f t="array" ref="C1380">INDEX(Funciones!$G$2:$G$372,MATCH($A1380,Funciones!$B$2:$B$372,0))</f>
        <v>Abrir la puerta entre 2 y 3 s</v>
      </c>
      <c r="D1380" s="27" t="s">
        <v>4802</v>
      </c>
      <c r="E1380" s="27" t="s">
        <v>3817</v>
      </c>
      <c r="F1380" s="27" t="s">
        <v>4803</v>
      </c>
      <c r="G1380" s="27" t="s">
        <v>4789</v>
      </c>
      <c r="H1380" s="18" t="str">
        <f t="array" ref="H1380">_xlfn.XLOOKUP(E:E,'Calificación consecuencia'!B:B,'Calificación consecuencia'!K:K,"No encontrada",2)</f>
        <v>Baja</v>
      </c>
      <c r="I1380" s="27" t="s">
        <v>339</v>
      </c>
      <c r="J1380" s="30" t="s">
        <v>116</v>
      </c>
      <c r="K1380" s="21"/>
      <c r="L1380" s="21"/>
      <c r="M1380" s="29" t="s">
        <v>120</v>
      </c>
      <c r="N1380" s="21"/>
      <c r="O1380" s="30" t="s">
        <v>116</v>
      </c>
      <c r="P1380" s="29" t="s">
        <v>120</v>
      </c>
      <c r="Q1380" s="30" t="s">
        <v>116</v>
      </c>
      <c r="R1380" s="21"/>
      <c r="S1380" s="21"/>
      <c r="T1380" s="21"/>
      <c r="U1380" s="27" t="s">
        <v>785</v>
      </c>
      <c r="V1380" s="27" t="s">
        <v>786</v>
      </c>
    </row>
    <row r="1381" ht="14.25" customHeight="1">
      <c r="A1381" s="27" t="s">
        <v>2640</v>
      </c>
      <c r="B1381" s="27" t="s">
        <v>2627</v>
      </c>
      <c r="C1381" s="27" t="str">
        <f t="array" ref="C1381">INDEX(Funciones!$G$2:$G$372,MATCH($A1381,Funciones!$B$2:$B$372,0))</f>
        <v>Abrir la puerta entre 2 y 3 s</v>
      </c>
      <c r="D1381" s="27" t="s">
        <v>4804</v>
      </c>
      <c r="E1381" s="27" t="s">
        <v>3818</v>
      </c>
      <c r="F1381" s="27" t="s">
        <v>4805</v>
      </c>
      <c r="G1381" s="27" t="s">
        <v>4792</v>
      </c>
      <c r="H1381" s="18" t="str">
        <f t="array" ref="H1381">_xlfn.XLOOKUP(E:E,'Calificación consecuencia'!B:B,'Calificación consecuencia'!K:K,"No encontrada",2)</f>
        <v>Baja</v>
      </c>
      <c r="I1381" s="27" t="s">
        <v>339</v>
      </c>
      <c r="J1381" s="30" t="s">
        <v>116</v>
      </c>
      <c r="K1381" s="21"/>
      <c r="L1381" s="21"/>
      <c r="M1381" s="29" t="s">
        <v>120</v>
      </c>
      <c r="N1381" s="21"/>
      <c r="O1381" s="30" t="s">
        <v>116</v>
      </c>
      <c r="P1381" s="29" t="s">
        <v>120</v>
      </c>
      <c r="Q1381" s="30" t="s">
        <v>116</v>
      </c>
      <c r="R1381" s="21"/>
      <c r="S1381" s="21"/>
      <c r="T1381" s="21"/>
      <c r="U1381" s="27" t="s">
        <v>785</v>
      </c>
      <c r="V1381" s="27" t="s">
        <v>786</v>
      </c>
    </row>
    <row r="1382" ht="14.25" customHeight="1">
      <c r="A1382" s="9" t="s">
        <v>2647</v>
      </c>
      <c r="B1382" s="9" t="s">
        <v>2627</v>
      </c>
      <c r="C1382" s="9" t="str">
        <f t="array" ref="C1382">INDEX(Funciones!$G$2:$G$372,MATCH($A1382,Funciones!$B$2:$B$372,0))</f>
        <v>Limitar la fuerza de cierre a un máximo de 400 N</v>
      </c>
      <c r="D1382" s="9" t="s">
        <v>4806</v>
      </c>
      <c r="E1382" s="9" t="s">
        <v>3823</v>
      </c>
      <c r="F1382" s="9" t="s">
        <v>4807</v>
      </c>
      <c r="G1382" s="9" t="s">
        <v>4808</v>
      </c>
      <c r="H1382" s="18" t="str">
        <f t="array" ref="H1382">_xlfn.XLOOKUP(E:E,'Calificación consecuencia'!B:B,'Calificación consecuencia'!K:K,"No encontrada",2)</f>
        <v>Baja</v>
      </c>
      <c r="I1382" s="9" t="s">
        <v>425</v>
      </c>
      <c r="J1382" s="22" t="s">
        <v>120</v>
      </c>
      <c r="K1382" s="20" t="s">
        <v>116</v>
      </c>
      <c r="L1382" s="21"/>
      <c r="M1382" s="21"/>
      <c r="N1382" s="21"/>
      <c r="O1382" s="21"/>
      <c r="P1382" s="21"/>
      <c r="Q1382" s="21"/>
      <c r="R1382" s="21"/>
      <c r="S1382" s="21"/>
      <c r="T1382" s="21"/>
      <c r="U1382" s="9" t="s">
        <v>439</v>
      </c>
      <c r="V1382" s="9" t="s">
        <v>440</v>
      </c>
    </row>
    <row r="1383" ht="14.25" customHeight="1">
      <c r="A1383" s="9" t="s">
        <v>2647</v>
      </c>
      <c r="B1383" s="9" t="s">
        <v>2627</v>
      </c>
      <c r="C1383" s="9" t="str">
        <f t="array" ref="C1383">INDEX(Funciones!$G$2:$G$372,MATCH($A1383,Funciones!$B$2:$B$372,0))</f>
        <v>Limitar la fuerza de cierre a un máximo de 400 N</v>
      </c>
      <c r="D1383" s="9" t="s">
        <v>4809</v>
      </c>
      <c r="E1383" s="9" t="s">
        <v>3824</v>
      </c>
      <c r="F1383" s="9" t="s">
        <v>4810</v>
      </c>
      <c r="G1383" s="9" t="s">
        <v>4811</v>
      </c>
      <c r="H1383" s="18" t="str">
        <f t="array" ref="H1383">_xlfn.XLOOKUP(E:E,'Calificación consecuencia'!B:B,'Calificación consecuencia'!K:K,"No encontrada",2)</f>
        <v>Media</v>
      </c>
      <c r="I1383" s="9" t="s">
        <v>425</v>
      </c>
      <c r="J1383" s="22" t="s">
        <v>120</v>
      </c>
      <c r="K1383" s="20" t="s">
        <v>116</v>
      </c>
      <c r="L1383" s="21"/>
      <c r="M1383" s="21"/>
      <c r="N1383" s="21"/>
      <c r="O1383" s="21"/>
      <c r="P1383" s="21"/>
      <c r="Q1383" s="21"/>
      <c r="R1383" s="21"/>
      <c r="S1383" s="21"/>
      <c r="T1383" s="21"/>
      <c r="U1383" s="9" t="s">
        <v>439</v>
      </c>
      <c r="V1383" s="9" t="s">
        <v>440</v>
      </c>
    </row>
    <row r="1384" ht="14.25" customHeight="1">
      <c r="A1384" s="9" t="s">
        <v>2647</v>
      </c>
      <c r="B1384" s="9" t="s">
        <v>2627</v>
      </c>
      <c r="C1384" s="9" t="str">
        <f t="array" ref="C1384">INDEX(Funciones!$G$2:$G$372,MATCH($A1384,Funciones!$B$2:$B$372,0))</f>
        <v>Limitar la fuerza de cierre a un máximo de 400 N</v>
      </c>
      <c r="D1384" s="9" t="s">
        <v>4809</v>
      </c>
      <c r="E1384" s="9" t="s">
        <v>3825</v>
      </c>
      <c r="F1384" s="9" t="s">
        <v>4812</v>
      </c>
      <c r="G1384" s="9" t="s">
        <v>4813</v>
      </c>
      <c r="H1384" s="18" t="str">
        <f t="array" ref="H1384">_xlfn.XLOOKUP(E:E,'Calificación consecuencia'!B:B,'Calificación consecuencia'!K:K,"No encontrada",2)</f>
        <v>Media</v>
      </c>
      <c r="I1384" s="9" t="s">
        <v>425</v>
      </c>
      <c r="J1384" s="22" t="s">
        <v>120</v>
      </c>
      <c r="K1384" s="20" t="s">
        <v>116</v>
      </c>
      <c r="L1384" s="21"/>
      <c r="M1384" s="21"/>
      <c r="N1384" s="21"/>
      <c r="O1384" s="21"/>
      <c r="P1384" s="21"/>
      <c r="Q1384" s="21"/>
      <c r="R1384" s="21"/>
      <c r="S1384" s="21"/>
      <c r="T1384" s="21"/>
      <c r="U1384" s="9" t="s">
        <v>439</v>
      </c>
      <c r="V1384" s="9" t="s">
        <v>440</v>
      </c>
    </row>
    <row r="1385" ht="14.25" customHeight="1">
      <c r="A1385" s="27" t="s">
        <v>2654</v>
      </c>
      <c r="B1385" s="27" t="s">
        <v>2627</v>
      </c>
      <c r="C1385" s="27" t="str">
        <f t="array" ref="C1385">INDEX(Funciones!$G$2:$G$372,MATCH($A1385,Funciones!$B$2:$B$372,0))</f>
        <v>Reabrir la puerta ante obstáculo en un mínimo de 100 mm</v>
      </c>
      <c r="D1385" s="27" t="s">
        <v>4814</v>
      </c>
      <c r="E1385" s="27" t="s">
        <v>3826</v>
      </c>
      <c r="F1385" s="27" t="s">
        <v>4815</v>
      </c>
      <c r="G1385" s="27" t="s">
        <v>4816</v>
      </c>
      <c r="H1385" s="18" t="str">
        <f t="array" ref="H1385">_xlfn.XLOOKUP(E:E,'Calificación consecuencia'!B:B,'Calificación consecuencia'!K:K,"No encontrada",2)</f>
        <v>Baja</v>
      </c>
      <c r="I1385" s="27" t="s">
        <v>425</v>
      </c>
      <c r="J1385" s="29" t="s">
        <v>120</v>
      </c>
      <c r="K1385" s="30" t="s">
        <v>116</v>
      </c>
      <c r="L1385" s="21"/>
      <c r="M1385" s="21"/>
      <c r="N1385" s="21"/>
      <c r="O1385" s="21"/>
      <c r="P1385" s="21"/>
      <c r="Q1385" s="21"/>
      <c r="R1385" s="21"/>
      <c r="S1385" s="21"/>
      <c r="T1385" s="21"/>
      <c r="U1385" s="27" t="s">
        <v>439</v>
      </c>
      <c r="V1385" s="27" t="s">
        <v>440</v>
      </c>
    </row>
    <row r="1386" ht="14.25" customHeight="1">
      <c r="A1386" s="27" t="s">
        <v>2654</v>
      </c>
      <c r="B1386" s="27" t="s">
        <v>2627</v>
      </c>
      <c r="C1386" s="27" t="str">
        <f t="array" ref="C1386">INDEX(Funciones!$G$2:$G$372,MATCH($A1386,Funciones!$B$2:$B$372,0))</f>
        <v>Reabrir la puerta ante obstáculo en un mínimo de 100 mm</v>
      </c>
      <c r="D1386" s="27" t="s">
        <v>4817</v>
      </c>
      <c r="E1386" s="27" t="s">
        <v>3827</v>
      </c>
      <c r="F1386" s="27" t="s">
        <v>4818</v>
      </c>
      <c r="G1386" s="27" t="s">
        <v>4819</v>
      </c>
      <c r="H1386" s="18" t="str">
        <f t="array" ref="H1386">_xlfn.XLOOKUP(E:E,'Calificación consecuencia'!B:B,'Calificación consecuencia'!K:K,"No encontrada",2)</f>
        <v>Media</v>
      </c>
      <c r="I1386" s="27" t="s">
        <v>425</v>
      </c>
      <c r="J1386" s="29" t="s">
        <v>120</v>
      </c>
      <c r="K1386" s="30" t="s">
        <v>116</v>
      </c>
      <c r="L1386" s="21"/>
      <c r="M1386" s="21"/>
      <c r="N1386" s="21"/>
      <c r="O1386" s="21"/>
      <c r="P1386" s="21"/>
      <c r="Q1386" s="21"/>
      <c r="R1386" s="21"/>
      <c r="S1386" s="21"/>
      <c r="T1386" s="21"/>
      <c r="U1386" s="27" t="s">
        <v>439</v>
      </c>
      <c r="V1386" s="27" t="s">
        <v>440</v>
      </c>
    </row>
    <row r="1387" ht="14.25" customHeight="1">
      <c r="A1387" s="9" t="s">
        <v>2663</v>
      </c>
      <c r="B1387" s="9" t="s">
        <v>2627</v>
      </c>
      <c r="C1387" s="9" t="str">
        <f t="array" ref="C1387">INDEX(Funciones!$G$2:$G$372,MATCH($A1387,Funciones!$B$2:$B$372,0))</f>
        <v>Enclavar la puerta en marcha a partir de _____ km/h</v>
      </c>
      <c r="D1387" s="9" t="s">
        <v>4820</v>
      </c>
      <c r="E1387" s="9" t="s">
        <v>3828</v>
      </c>
      <c r="F1387" s="9" t="s">
        <v>4821</v>
      </c>
      <c r="G1387" s="9" t="s">
        <v>4822</v>
      </c>
      <c r="H1387" s="18" t="str">
        <f t="array" ref="H1387">_xlfn.XLOOKUP(E:E,'Calificación consecuencia'!B:B,'Calificación consecuencia'!K:K,"No encontrada",2)</f>
        <v>Baja</v>
      </c>
      <c r="I1387" s="9" t="s">
        <v>425</v>
      </c>
      <c r="J1387" s="22" t="s">
        <v>120</v>
      </c>
      <c r="K1387" s="20" t="s">
        <v>116</v>
      </c>
      <c r="L1387" s="21"/>
      <c r="M1387" s="21"/>
      <c r="N1387" s="21"/>
      <c r="O1387" s="21"/>
      <c r="P1387" s="21"/>
      <c r="Q1387" s="21"/>
      <c r="R1387" s="21"/>
      <c r="S1387" s="21"/>
      <c r="T1387" s="21"/>
      <c r="U1387" s="9" t="s">
        <v>439</v>
      </c>
      <c r="V1387" s="9" t="s">
        <v>440</v>
      </c>
    </row>
    <row r="1388" ht="14.25" customHeight="1">
      <c r="A1388" s="9" t="s">
        <v>2663</v>
      </c>
      <c r="B1388" s="9" t="s">
        <v>2627</v>
      </c>
      <c r="C1388" s="9" t="str">
        <f t="array" ref="C1388">INDEX(Funciones!$G$2:$G$372,MATCH($A1388,Funciones!$B$2:$B$372,0))</f>
        <v>Enclavar la puerta en marcha a partir de _____ km/h</v>
      </c>
      <c r="D1388" s="9" t="s">
        <v>4823</v>
      </c>
      <c r="E1388" s="9" t="s">
        <v>3829</v>
      </c>
      <c r="F1388" s="9" t="s">
        <v>4824</v>
      </c>
      <c r="G1388" s="9" t="s">
        <v>4825</v>
      </c>
      <c r="H1388" s="18" t="str">
        <f t="array" ref="H1388">_xlfn.XLOOKUP(E:E,'Calificación consecuencia'!B:B,'Calificación consecuencia'!K:K,"No encontrada",2)</f>
        <v>Media</v>
      </c>
      <c r="I1388" s="9" t="s">
        <v>425</v>
      </c>
      <c r="J1388" s="22" t="s">
        <v>120</v>
      </c>
      <c r="K1388" s="20" t="s">
        <v>116</v>
      </c>
      <c r="L1388" s="21"/>
      <c r="M1388" s="21"/>
      <c r="N1388" s="21"/>
      <c r="O1388" s="21"/>
      <c r="P1388" s="21"/>
      <c r="Q1388" s="21"/>
      <c r="R1388" s="21"/>
      <c r="S1388" s="21"/>
      <c r="T1388" s="21"/>
      <c r="U1388" s="9" t="s">
        <v>439</v>
      </c>
      <c r="V1388" s="9" t="s">
        <v>440</v>
      </c>
    </row>
    <row r="1389" ht="14.25" customHeight="1">
      <c r="A1389" s="27" t="s">
        <v>2672</v>
      </c>
      <c r="B1389" s="27" t="s">
        <v>2671</v>
      </c>
      <c r="C1389" s="27" t="str">
        <f t="array" ref="C1389">INDEX(Funciones!$G$2:$G$372,MATCH($A1389,Funciones!$B$2:$B$372,0))</f>
        <v>Almacenar el aire de reserva hasta _____ L</v>
      </c>
      <c r="D1389" s="27" t="s">
        <v>4826</v>
      </c>
      <c r="E1389" s="27" t="s">
        <v>3830</v>
      </c>
      <c r="F1389" s="27" t="s">
        <v>4827</v>
      </c>
      <c r="G1389" s="27" t="s">
        <v>4828</v>
      </c>
      <c r="H1389" s="18" t="str">
        <f t="array" ref="H1389">_xlfn.XLOOKUP(E:E,'Calificación consecuencia'!B:B,'Calificación consecuencia'!K:K,"No encontrada",2)</f>
        <v>Media</v>
      </c>
      <c r="I1389" s="27" t="s">
        <v>113</v>
      </c>
      <c r="J1389" s="30" t="s">
        <v>116</v>
      </c>
      <c r="K1389" s="21"/>
      <c r="L1389" s="21"/>
      <c r="M1389" s="30" t="s">
        <v>116</v>
      </c>
      <c r="N1389" s="30" t="s">
        <v>116</v>
      </c>
      <c r="O1389" s="21"/>
      <c r="P1389" s="21"/>
      <c r="Q1389" s="21"/>
      <c r="R1389" s="21"/>
      <c r="S1389" s="21"/>
      <c r="T1389" s="21"/>
      <c r="U1389" s="27" t="s">
        <v>195</v>
      </c>
      <c r="V1389" s="27" t="s">
        <v>196</v>
      </c>
    </row>
    <row r="1390" ht="14.25" customHeight="1">
      <c r="A1390" s="27" t="s">
        <v>2672</v>
      </c>
      <c r="B1390" s="27" t="s">
        <v>2671</v>
      </c>
      <c r="C1390" s="27" t="str">
        <f t="array" ref="C1390">INDEX(Funciones!$G$2:$G$372,MATCH($A1390,Funciones!$B$2:$B$372,0))</f>
        <v>Almacenar el aire de reserva hasta _____ L</v>
      </c>
      <c r="D1390" s="27" t="s">
        <v>4829</v>
      </c>
      <c r="E1390" s="27" t="s">
        <v>3831</v>
      </c>
      <c r="F1390" s="27" t="s">
        <v>4830</v>
      </c>
      <c r="G1390" s="27" t="s">
        <v>4831</v>
      </c>
      <c r="H1390" s="18" t="str">
        <f t="array" ref="H1390">_xlfn.XLOOKUP(E:E,'Calificación consecuencia'!B:B,'Calificación consecuencia'!K:K,"No encontrada",2)</f>
        <v>Media</v>
      </c>
      <c r="I1390" s="27" t="s">
        <v>339</v>
      </c>
      <c r="J1390" s="30" t="s">
        <v>116</v>
      </c>
      <c r="K1390" s="21"/>
      <c r="L1390" s="21"/>
      <c r="M1390" s="29" t="s">
        <v>120</v>
      </c>
      <c r="N1390" s="21"/>
      <c r="O1390" s="30" t="s">
        <v>116</v>
      </c>
      <c r="P1390" s="29" t="s">
        <v>120</v>
      </c>
      <c r="Q1390" s="30" t="s">
        <v>116</v>
      </c>
      <c r="R1390" s="21"/>
      <c r="S1390" s="21"/>
      <c r="T1390" s="21"/>
      <c r="U1390" s="27" t="s">
        <v>785</v>
      </c>
      <c r="V1390" s="27" t="s">
        <v>786</v>
      </c>
    </row>
    <row r="1391" ht="14.25" customHeight="1">
      <c r="A1391" s="27" t="s">
        <v>2672</v>
      </c>
      <c r="B1391" s="27" t="s">
        <v>2671</v>
      </c>
      <c r="C1391" s="27" t="str">
        <f t="array" ref="C1391">INDEX(Funciones!$G$2:$G$372,MATCH($A1391,Funciones!$B$2:$B$372,0))</f>
        <v>Almacenar el aire de reserva hasta _____ L</v>
      </c>
      <c r="D1391" s="27" t="s">
        <v>4829</v>
      </c>
      <c r="E1391" s="27" t="s">
        <v>3722</v>
      </c>
      <c r="F1391" s="27" t="s">
        <v>4832</v>
      </c>
      <c r="G1391" s="27" t="s">
        <v>4576</v>
      </c>
      <c r="H1391" s="18" t="str">
        <f t="array" ref="H1391">_xlfn.XLOOKUP(E:E,'Calificación consecuencia'!B:B,'Calificación consecuencia'!K:K,"No encontrada",2)</f>
        <v>Media</v>
      </c>
      <c r="I1391" s="27" t="s">
        <v>339</v>
      </c>
      <c r="J1391" s="30" t="s">
        <v>116</v>
      </c>
      <c r="K1391" s="21"/>
      <c r="L1391" s="21"/>
      <c r="M1391" s="29" t="s">
        <v>120</v>
      </c>
      <c r="N1391" s="21"/>
      <c r="O1391" s="30" t="s">
        <v>116</v>
      </c>
      <c r="P1391" s="29" t="s">
        <v>120</v>
      </c>
      <c r="Q1391" s="30" t="s">
        <v>116</v>
      </c>
      <c r="R1391" s="21"/>
      <c r="S1391" s="21"/>
      <c r="T1391" s="21"/>
      <c r="U1391" s="27" t="s">
        <v>785</v>
      </c>
      <c r="V1391" s="27" t="s">
        <v>786</v>
      </c>
    </row>
    <row r="1392" ht="14.25" customHeight="1">
      <c r="A1392" s="9" t="s">
        <v>2684</v>
      </c>
      <c r="B1392" s="9" t="s">
        <v>2683</v>
      </c>
      <c r="C1392" s="9" t="str">
        <f t="array" ref="C1392">INDEX(Funciones!$G$2:$G$372,MATCH($A1392,Funciones!$B$2:$B$372,0))</f>
        <v>Transmitir la voz por radio con potencia de 10 W</v>
      </c>
      <c r="D1392" s="9" t="s">
        <v>4833</v>
      </c>
      <c r="E1392" s="9" t="s">
        <v>3832</v>
      </c>
      <c r="F1392" s="9" t="s">
        <v>4834</v>
      </c>
      <c r="G1392" s="9" t="s">
        <v>4835</v>
      </c>
      <c r="H1392" s="18" t="str">
        <f t="array" ref="H1392">_xlfn.XLOOKUP(E:E,'Calificación consecuencia'!B:B,'Calificación consecuencia'!K:K,"No encontrada",2)</f>
        <v>Baja</v>
      </c>
      <c r="I1392" s="9" t="s">
        <v>1351</v>
      </c>
      <c r="J1392" s="20" t="s">
        <v>116</v>
      </c>
      <c r="K1392" s="21"/>
      <c r="L1392" s="21"/>
      <c r="M1392" s="20" t="s">
        <v>116</v>
      </c>
      <c r="N1392" s="22" t="s">
        <v>120</v>
      </c>
      <c r="O1392" s="21"/>
      <c r="P1392" s="21"/>
      <c r="Q1392" s="21"/>
      <c r="R1392" s="21"/>
      <c r="S1392" s="21"/>
      <c r="T1392" s="21"/>
      <c r="U1392" s="9" t="s">
        <v>230</v>
      </c>
      <c r="V1392" s="9" t="s">
        <v>230</v>
      </c>
    </row>
    <row r="1393" ht="14.25" customHeight="1">
      <c r="A1393" s="9" t="s">
        <v>2684</v>
      </c>
      <c r="B1393" s="9" t="s">
        <v>2683</v>
      </c>
      <c r="C1393" s="9" t="str">
        <f t="array" ref="C1393">INDEX(Funciones!$G$2:$G$372,MATCH($A1393,Funciones!$B$2:$B$372,0))</f>
        <v>Transmitir la voz por radio con potencia de 10 W</v>
      </c>
      <c r="D1393" s="9" t="s">
        <v>4833</v>
      </c>
      <c r="E1393" s="9" t="s">
        <v>3833</v>
      </c>
      <c r="F1393" s="9" t="s">
        <v>4836</v>
      </c>
      <c r="G1393" s="9" t="s">
        <v>4837</v>
      </c>
      <c r="H1393" s="18" t="str">
        <f t="array" ref="H1393">_xlfn.XLOOKUP(E:E,'Calificación consecuencia'!B:B,'Calificación consecuencia'!K:K,"No encontrada",2)</f>
        <v>Baja</v>
      </c>
      <c r="I1393" s="9" t="s">
        <v>425</v>
      </c>
      <c r="J1393" s="20" t="s">
        <v>116</v>
      </c>
      <c r="K1393" s="21"/>
      <c r="L1393" s="21"/>
      <c r="M1393" s="20" t="s">
        <v>116</v>
      </c>
      <c r="N1393" s="20" t="s">
        <v>116</v>
      </c>
      <c r="O1393" s="21"/>
      <c r="P1393" s="21"/>
      <c r="Q1393" s="21"/>
      <c r="R1393" s="21"/>
      <c r="S1393" s="21"/>
      <c r="T1393" s="21"/>
      <c r="U1393" s="9" t="s">
        <v>195</v>
      </c>
      <c r="V1393" s="9" t="s">
        <v>196</v>
      </c>
    </row>
    <row r="1394" ht="14.25" customHeight="1">
      <c r="A1394" s="9" t="s">
        <v>2684</v>
      </c>
      <c r="B1394" s="9" t="s">
        <v>2683</v>
      </c>
      <c r="C1394" s="9" t="str">
        <f t="array" ref="C1394">INDEX(Funciones!$G$2:$G$372,MATCH($A1394,Funciones!$B$2:$B$372,0))</f>
        <v>Transmitir la voz por radio con potencia de 10 W</v>
      </c>
      <c r="D1394" s="9" t="s">
        <v>4833</v>
      </c>
      <c r="E1394" s="9" t="s">
        <v>3834</v>
      </c>
      <c r="F1394" s="9" t="s">
        <v>4838</v>
      </c>
      <c r="G1394" s="9" t="s">
        <v>4839</v>
      </c>
      <c r="H1394" s="18" t="str">
        <f t="array" ref="H1394">_xlfn.XLOOKUP(E:E,'Calificación consecuencia'!B:B,'Calificación consecuencia'!K:K,"No encontrada",2)</f>
        <v>Media</v>
      </c>
      <c r="I1394" s="9" t="s">
        <v>425</v>
      </c>
      <c r="J1394" s="20" t="s">
        <v>116</v>
      </c>
      <c r="K1394" s="21"/>
      <c r="L1394" s="21"/>
      <c r="M1394" s="20" t="s">
        <v>116</v>
      </c>
      <c r="N1394" s="20" t="s">
        <v>116</v>
      </c>
      <c r="O1394" s="21"/>
      <c r="P1394" s="21"/>
      <c r="Q1394" s="21"/>
      <c r="R1394" s="21"/>
      <c r="S1394" s="21"/>
      <c r="T1394" s="21"/>
      <c r="U1394" s="9" t="s">
        <v>195</v>
      </c>
      <c r="V1394" s="9" t="s">
        <v>196</v>
      </c>
    </row>
    <row r="1395" ht="14.25" customHeight="1">
      <c r="A1395" s="9" t="s">
        <v>2684</v>
      </c>
      <c r="B1395" s="9" t="s">
        <v>2683</v>
      </c>
      <c r="C1395" s="9" t="str">
        <f t="array" ref="C1395">INDEX(Funciones!$G$2:$G$372,MATCH($A1395,Funciones!$B$2:$B$372,0))</f>
        <v>Transmitir la voz por radio con potencia de 10 W</v>
      </c>
      <c r="D1395" s="9" t="s">
        <v>4840</v>
      </c>
      <c r="E1395" s="9" t="s">
        <v>3835</v>
      </c>
      <c r="F1395" s="9" t="s">
        <v>4841</v>
      </c>
      <c r="G1395" s="9" t="s">
        <v>4842</v>
      </c>
      <c r="H1395" s="18" t="str">
        <f t="array" ref="H1395">_xlfn.XLOOKUP(E:E,'Calificación consecuencia'!B:B,'Calificación consecuencia'!K:K,"No encontrada",2)</f>
        <v>Baja</v>
      </c>
      <c r="I1395" s="9" t="s">
        <v>2106</v>
      </c>
      <c r="J1395" s="20" t="s">
        <v>116</v>
      </c>
      <c r="K1395" s="21"/>
      <c r="L1395" s="21"/>
      <c r="M1395" s="22" t="s">
        <v>120</v>
      </c>
      <c r="N1395" s="21"/>
      <c r="O1395" s="22" t="s">
        <v>120</v>
      </c>
      <c r="P1395" s="21"/>
      <c r="Q1395" s="21"/>
      <c r="R1395" s="21"/>
      <c r="S1395" s="22" t="s">
        <v>120</v>
      </c>
      <c r="T1395" s="21"/>
      <c r="U1395" s="9" t="s">
        <v>1680</v>
      </c>
      <c r="V1395" s="9" t="s">
        <v>1408</v>
      </c>
    </row>
    <row r="1396" ht="14.25" customHeight="1">
      <c r="A1396" s="9" t="s">
        <v>2684</v>
      </c>
      <c r="B1396" s="9" t="s">
        <v>2683</v>
      </c>
      <c r="C1396" s="9" t="str">
        <f t="array" ref="C1396">INDEX(Funciones!$G$2:$G$372,MATCH($A1396,Funciones!$B$2:$B$372,0))</f>
        <v>Transmitir la voz por radio con potencia de 10 W</v>
      </c>
      <c r="D1396" s="9" t="s">
        <v>4840</v>
      </c>
      <c r="E1396" s="9" t="s">
        <v>3836</v>
      </c>
      <c r="F1396" s="9" t="s">
        <v>4843</v>
      </c>
      <c r="G1396" s="9" t="s">
        <v>4844</v>
      </c>
      <c r="H1396" s="18" t="str">
        <f t="array" ref="H1396">_xlfn.XLOOKUP(E:E,'Calificación consecuencia'!B:B,'Calificación consecuencia'!K:K,"No encontrada",2)</f>
        <v>Baja</v>
      </c>
      <c r="I1396" s="9" t="s">
        <v>2106</v>
      </c>
      <c r="J1396" s="20" t="s">
        <v>116</v>
      </c>
      <c r="K1396" s="21"/>
      <c r="L1396" s="21"/>
      <c r="M1396" s="22" t="s">
        <v>120</v>
      </c>
      <c r="N1396" s="21"/>
      <c r="O1396" s="22" t="s">
        <v>120</v>
      </c>
      <c r="P1396" s="21"/>
      <c r="Q1396" s="21"/>
      <c r="R1396" s="21"/>
      <c r="S1396" s="22" t="s">
        <v>120</v>
      </c>
      <c r="T1396" s="21"/>
      <c r="U1396" s="9" t="s">
        <v>1680</v>
      </c>
      <c r="V1396" s="9" t="s">
        <v>1408</v>
      </c>
    </row>
    <row r="1397" ht="14.25" customHeight="1">
      <c r="A1397" s="27" t="s">
        <v>2698</v>
      </c>
      <c r="B1397" s="27" t="s">
        <v>2683</v>
      </c>
      <c r="C1397" s="27" t="str">
        <f t="array" ref="C1397">INDEX(Funciones!$G$2:$G$372,MATCH($A1397,Funciones!$B$2:$B$372,0))</f>
        <v>Recibir la señal de radio con sensibilidad de −105 dBm</v>
      </c>
      <c r="D1397" s="27" t="s">
        <v>4845</v>
      </c>
      <c r="E1397" s="27" t="s">
        <v>3837</v>
      </c>
      <c r="F1397" s="27" t="s">
        <v>4846</v>
      </c>
      <c r="G1397" s="27" t="s">
        <v>4847</v>
      </c>
      <c r="H1397" s="18" t="str">
        <f t="array" ref="H1397">_xlfn.XLOOKUP(E:E,'Calificación consecuencia'!B:B,'Calificación consecuencia'!K:K,"No encontrada",2)</f>
        <v>Baja</v>
      </c>
      <c r="I1397" s="27" t="s">
        <v>1351</v>
      </c>
      <c r="J1397" s="29" t="s">
        <v>120</v>
      </c>
      <c r="K1397" s="30" t="s">
        <v>116</v>
      </c>
      <c r="L1397" s="21"/>
      <c r="M1397" s="21"/>
      <c r="N1397" s="21"/>
      <c r="O1397" s="21"/>
      <c r="P1397" s="21"/>
      <c r="Q1397" s="21"/>
      <c r="R1397" s="21"/>
      <c r="S1397" s="21"/>
      <c r="T1397" s="21"/>
      <c r="U1397" s="27" t="s">
        <v>439</v>
      </c>
      <c r="V1397" s="27" t="s">
        <v>440</v>
      </c>
    </row>
    <row r="1398" ht="14.25" customHeight="1">
      <c r="A1398" s="27" t="s">
        <v>2698</v>
      </c>
      <c r="B1398" s="27" t="s">
        <v>2683</v>
      </c>
      <c r="C1398" s="27" t="str">
        <f t="array" ref="C1398">INDEX(Funciones!$G$2:$G$372,MATCH($A1398,Funciones!$B$2:$B$372,0))</f>
        <v>Recibir la señal de radio con sensibilidad de −105 dBm</v>
      </c>
      <c r="D1398" s="27" t="s">
        <v>4848</v>
      </c>
      <c r="E1398" s="27" t="s">
        <v>3835</v>
      </c>
      <c r="F1398" s="27" t="s">
        <v>4849</v>
      </c>
      <c r="G1398" s="27" t="s">
        <v>4850</v>
      </c>
      <c r="H1398" s="18" t="str">
        <f t="array" ref="H1398">_xlfn.XLOOKUP(E:E,'Calificación consecuencia'!B:B,'Calificación consecuencia'!K:K,"No encontrada",2)</f>
        <v>Baja</v>
      </c>
      <c r="I1398" s="27" t="s">
        <v>2106</v>
      </c>
      <c r="J1398" s="29" t="s">
        <v>120</v>
      </c>
      <c r="K1398" s="30" t="s">
        <v>116</v>
      </c>
      <c r="L1398" s="21"/>
      <c r="M1398" s="21"/>
      <c r="N1398" s="21"/>
      <c r="O1398" s="21"/>
      <c r="P1398" s="21"/>
      <c r="Q1398" s="21"/>
      <c r="R1398" s="21"/>
      <c r="S1398" s="21"/>
      <c r="T1398" s="21"/>
      <c r="U1398" s="27" t="s">
        <v>439</v>
      </c>
      <c r="V1398" s="27" t="s">
        <v>440</v>
      </c>
    </row>
    <row r="1399" ht="14.25" customHeight="1">
      <c r="A1399" s="27" t="s">
        <v>2698</v>
      </c>
      <c r="B1399" s="27" t="s">
        <v>2683</v>
      </c>
      <c r="C1399" s="27" t="str">
        <f t="array" ref="C1399">INDEX(Funciones!$G$2:$G$372,MATCH($A1399,Funciones!$B$2:$B$372,0))</f>
        <v>Recibir la señal de radio con sensibilidad de −105 dBm</v>
      </c>
      <c r="D1399" s="27" t="s">
        <v>4848</v>
      </c>
      <c r="E1399" s="27" t="s">
        <v>3836</v>
      </c>
      <c r="F1399" s="27" t="s">
        <v>4851</v>
      </c>
      <c r="G1399" s="27" t="s">
        <v>4852</v>
      </c>
      <c r="H1399" s="18" t="str">
        <f t="array" ref="H1399">_xlfn.XLOOKUP(E:E,'Calificación consecuencia'!B:B,'Calificación consecuencia'!K:K,"No encontrada",2)</f>
        <v>Baja</v>
      </c>
      <c r="I1399" s="27" t="s">
        <v>2106</v>
      </c>
      <c r="J1399" s="29" t="s">
        <v>120</v>
      </c>
      <c r="K1399" s="30" t="s">
        <v>116</v>
      </c>
      <c r="L1399" s="21"/>
      <c r="M1399" s="21"/>
      <c r="N1399" s="21"/>
      <c r="O1399" s="21"/>
      <c r="P1399" s="21"/>
      <c r="Q1399" s="21"/>
      <c r="R1399" s="21"/>
      <c r="S1399" s="21"/>
      <c r="T1399" s="21"/>
      <c r="U1399" s="27" t="s">
        <v>439</v>
      </c>
      <c r="V1399" s="27" t="s">
        <v>440</v>
      </c>
    </row>
    <row r="1400" ht="14.25" customHeight="1">
      <c r="A1400" s="9" t="s">
        <v>2706</v>
      </c>
      <c r="B1400" s="9" t="s">
        <v>2705</v>
      </c>
      <c r="C1400" s="9" t="str">
        <f t="array" ref="C1400">INDEX(Funciones!$G$2:$G$372,MATCH($A1400,Funciones!$B$2:$B$372,0))</f>
        <v>Comunicar al pasajero con el conductor con inteligibilidad ≥ 0,50 STI</v>
      </c>
      <c r="D1400" s="9" t="s">
        <v>4853</v>
      </c>
      <c r="E1400" s="9" t="s">
        <v>3838</v>
      </c>
      <c r="F1400" s="9" t="s">
        <v>4854</v>
      </c>
      <c r="G1400" s="9" t="s">
        <v>4855</v>
      </c>
      <c r="H1400" s="18" t="str">
        <f t="array" ref="H1400">_xlfn.XLOOKUP(E:E,'Calificación consecuencia'!B:B,'Calificación consecuencia'!K:K,"No encontrada",2)</f>
        <v>Baja</v>
      </c>
      <c r="I1400" s="9" t="s">
        <v>425</v>
      </c>
      <c r="J1400" s="22" t="s">
        <v>120</v>
      </c>
      <c r="K1400" s="20" t="s">
        <v>116</v>
      </c>
      <c r="L1400" s="21"/>
      <c r="M1400" s="21"/>
      <c r="N1400" s="21"/>
      <c r="O1400" s="21"/>
      <c r="P1400" s="21"/>
      <c r="Q1400" s="21"/>
      <c r="R1400" s="21"/>
      <c r="S1400" s="21"/>
      <c r="T1400" s="21"/>
      <c r="U1400" s="9" t="s">
        <v>439</v>
      </c>
      <c r="V1400" s="9" t="s">
        <v>440</v>
      </c>
    </row>
    <row r="1401" ht="14.25" customHeight="1">
      <c r="A1401" s="9" t="s">
        <v>2706</v>
      </c>
      <c r="B1401" s="9" t="s">
        <v>2705</v>
      </c>
      <c r="C1401" s="9" t="str">
        <f t="array" ref="C1401">INDEX(Funciones!$G$2:$G$372,MATCH($A1401,Funciones!$B$2:$B$372,0))</f>
        <v>Comunicar al pasajero con el conductor con inteligibilidad ≥ 0,50 STI</v>
      </c>
      <c r="D1401" s="9" t="s">
        <v>4856</v>
      </c>
      <c r="E1401" s="9" t="s">
        <v>3839</v>
      </c>
      <c r="F1401" s="9" t="s">
        <v>4857</v>
      </c>
      <c r="G1401" s="9" t="s">
        <v>4858</v>
      </c>
      <c r="H1401" s="18" t="str">
        <f t="array" ref="H1401">_xlfn.XLOOKUP(E:E,'Calificación consecuencia'!B:B,'Calificación consecuencia'!K:K,"No encontrada",2)</f>
        <v>Baja</v>
      </c>
      <c r="I1401" s="9" t="s">
        <v>2106</v>
      </c>
      <c r="J1401" s="22" t="s">
        <v>120</v>
      </c>
      <c r="K1401" s="20" t="s">
        <v>116</v>
      </c>
      <c r="L1401" s="21"/>
      <c r="M1401" s="21"/>
      <c r="N1401" s="21"/>
      <c r="O1401" s="21"/>
      <c r="P1401" s="21"/>
      <c r="Q1401" s="21"/>
      <c r="R1401" s="21"/>
      <c r="S1401" s="21"/>
      <c r="T1401" s="21"/>
      <c r="U1401" s="9" t="s">
        <v>439</v>
      </c>
      <c r="V1401" s="9" t="s">
        <v>440</v>
      </c>
    </row>
    <row r="1402" ht="14.25" customHeight="1">
      <c r="A1402" s="9" t="s">
        <v>2706</v>
      </c>
      <c r="B1402" s="9" t="s">
        <v>2705</v>
      </c>
      <c r="C1402" s="9" t="str">
        <f t="array" ref="C1402">INDEX(Funciones!$G$2:$G$372,MATCH($A1402,Funciones!$B$2:$B$372,0))</f>
        <v>Comunicar al pasajero con el conductor con inteligibilidad ≥ 0,50 STI</v>
      </c>
      <c r="D1402" s="9" t="s">
        <v>4856</v>
      </c>
      <c r="E1402" s="9" t="s">
        <v>3840</v>
      </c>
      <c r="F1402" s="9" t="s">
        <v>4859</v>
      </c>
      <c r="G1402" s="9" t="s">
        <v>4860</v>
      </c>
      <c r="H1402" s="18" t="str">
        <f t="array" ref="H1402">_xlfn.XLOOKUP(E:E,'Calificación consecuencia'!B:B,'Calificación consecuencia'!K:K,"No encontrada",2)</f>
        <v>Baja</v>
      </c>
      <c r="I1402" s="9" t="s">
        <v>2106</v>
      </c>
      <c r="J1402" s="22" t="s">
        <v>120</v>
      </c>
      <c r="K1402" s="20" t="s">
        <v>116</v>
      </c>
      <c r="L1402" s="21"/>
      <c r="M1402" s="21"/>
      <c r="N1402" s="21"/>
      <c r="O1402" s="21"/>
      <c r="P1402" s="21"/>
      <c r="Q1402" s="21"/>
      <c r="R1402" s="21"/>
      <c r="S1402" s="21"/>
      <c r="T1402" s="21"/>
      <c r="U1402" s="9" t="s">
        <v>439</v>
      </c>
      <c r="V1402" s="9" t="s">
        <v>440</v>
      </c>
    </row>
    <row r="1403" ht="14.25" customHeight="1">
      <c r="A1403" s="27" t="s">
        <v>2719</v>
      </c>
      <c r="B1403" s="27" t="s">
        <v>2718</v>
      </c>
      <c r="C1403" s="27" t="str">
        <f t="array" ref="C1403">INDEX(Funciones!$G$2:$G$372,MATCH($A1403,Funciones!$B$2:$B$372,0))</f>
        <v>Detectar el humo con umbral de _____ dB/m</v>
      </c>
      <c r="D1403" s="27" t="s">
        <v>4861</v>
      </c>
      <c r="E1403" s="27" t="s">
        <v>3841</v>
      </c>
      <c r="F1403" s="27" t="s">
        <v>4862</v>
      </c>
      <c r="G1403" s="27" t="s">
        <v>4863</v>
      </c>
      <c r="H1403" s="18" t="str">
        <f t="array" ref="H1403">_xlfn.XLOOKUP(E:E,'Calificación consecuencia'!B:B,'Calificación consecuencia'!K:K,"No encontrada",2)</f>
        <v>Media</v>
      </c>
      <c r="I1403" s="27" t="s">
        <v>425</v>
      </c>
      <c r="J1403" s="29" t="s">
        <v>120</v>
      </c>
      <c r="K1403" s="30" t="s">
        <v>116</v>
      </c>
      <c r="L1403" s="21"/>
      <c r="M1403" s="21"/>
      <c r="N1403" s="21"/>
      <c r="O1403" s="21"/>
      <c r="P1403" s="21"/>
      <c r="Q1403" s="21"/>
      <c r="R1403" s="21"/>
      <c r="S1403" s="21"/>
      <c r="T1403" s="21"/>
      <c r="U1403" s="27" t="s">
        <v>439</v>
      </c>
      <c r="V1403" s="27" t="s">
        <v>440</v>
      </c>
    </row>
    <row r="1404" ht="14.25" customHeight="1">
      <c r="A1404" s="27" t="s">
        <v>2719</v>
      </c>
      <c r="B1404" s="27" t="s">
        <v>2718</v>
      </c>
      <c r="C1404" s="27" t="str">
        <f t="array" ref="C1404">INDEX(Funciones!$G$2:$G$372,MATCH($A1404,Funciones!$B$2:$B$372,0))</f>
        <v>Detectar el humo con umbral de _____ dB/m</v>
      </c>
      <c r="D1404" s="27" t="s">
        <v>4861</v>
      </c>
      <c r="E1404" s="27" t="s">
        <v>3842</v>
      </c>
      <c r="F1404" s="27" t="s">
        <v>4864</v>
      </c>
      <c r="G1404" s="27" t="s">
        <v>4865</v>
      </c>
      <c r="H1404" s="18" t="str">
        <f t="array" ref="H1404">_xlfn.XLOOKUP(E:E,'Calificación consecuencia'!B:B,'Calificación consecuencia'!K:K,"No encontrada",2)</f>
        <v>Baja</v>
      </c>
      <c r="I1404" s="27" t="s">
        <v>425</v>
      </c>
      <c r="J1404" s="29" t="s">
        <v>120</v>
      </c>
      <c r="K1404" s="30" t="s">
        <v>116</v>
      </c>
      <c r="L1404" s="21"/>
      <c r="M1404" s="21"/>
      <c r="N1404" s="21"/>
      <c r="O1404" s="21"/>
      <c r="P1404" s="21"/>
      <c r="Q1404" s="21"/>
      <c r="R1404" s="21"/>
      <c r="S1404" s="21"/>
      <c r="T1404" s="21"/>
      <c r="U1404" s="27" t="s">
        <v>439</v>
      </c>
      <c r="V1404" s="27" t="s">
        <v>440</v>
      </c>
    </row>
    <row r="1405" ht="14.25" customHeight="1">
      <c r="A1405" s="27" t="s">
        <v>2719</v>
      </c>
      <c r="B1405" s="27" t="s">
        <v>2718</v>
      </c>
      <c r="C1405" s="27" t="str">
        <f t="array" ref="C1405">INDEX(Funciones!$G$2:$G$372,MATCH($A1405,Funciones!$B$2:$B$372,0))</f>
        <v>Detectar el humo con umbral de _____ dB/m</v>
      </c>
      <c r="D1405" s="27" t="s">
        <v>4866</v>
      </c>
      <c r="E1405" s="27" t="s">
        <v>3843</v>
      </c>
      <c r="F1405" s="27" t="s">
        <v>4867</v>
      </c>
      <c r="G1405" s="27" t="s">
        <v>4868</v>
      </c>
      <c r="H1405" s="18" t="str">
        <f t="array" ref="H1405">_xlfn.XLOOKUP(E:E,'Calificación consecuencia'!B:B,'Calificación consecuencia'!K:K,"No encontrada",2)</f>
        <v>Media</v>
      </c>
      <c r="I1405" s="27" t="s">
        <v>425</v>
      </c>
      <c r="J1405" s="29" t="s">
        <v>120</v>
      </c>
      <c r="K1405" s="30" t="s">
        <v>116</v>
      </c>
      <c r="L1405" s="21"/>
      <c r="M1405" s="21"/>
      <c r="N1405" s="21"/>
      <c r="O1405" s="21"/>
      <c r="P1405" s="21"/>
      <c r="Q1405" s="21"/>
      <c r="R1405" s="21"/>
      <c r="S1405" s="21"/>
      <c r="T1405" s="21"/>
      <c r="U1405" s="27" t="s">
        <v>439</v>
      </c>
      <c r="V1405" s="27" t="s">
        <v>440</v>
      </c>
    </row>
    <row r="1406" ht="14.25" customHeight="1">
      <c r="A1406" s="27" t="s">
        <v>2719</v>
      </c>
      <c r="B1406" s="27" t="s">
        <v>2718</v>
      </c>
      <c r="C1406" s="27" t="str">
        <f t="array" ref="C1406">INDEX(Funciones!$G$2:$G$372,MATCH($A1406,Funciones!$B$2:$B$372,0))</f>
        <v>Detectar el humo con umbral de _____ dB/m</v>
      </c>
      <c r="D1406" s="27" t="s">
        <v>4869</v>
      </c>
      <c r="E1406" s="27" t="s">
        <v>3844</v>
      </c>
      <c r="F1406" s="27" t="s">
        <v>4870</v>
      </c>
      <c r="G1406" s="27" t="s">
        <v>4871</v>
      </c>
      <c r="H1406" s="18" t="str">
        <f t="array" ref="H1406">_xlfn.XLOOKUP(E:E,'Calificación consecuencia'!B:B,'Calificación consecuencia'!K:K,"No encontrada",2)</f>
        <v>Media</v>
      </c>
      <c r="I1406" s="27" t="s">
        <v>425</v>
      </c>
      <c r="J1406" s="29" t="s">
        <v>120</v>
      </c>
      <c r="K1406" s="30" t="s">
        <v>116</v>
      </c>
      <c r="L1406" s="21"/>
      <c r="M1406" s="21"/>
      <c r="N1406" s="21"/>
      <c r="O1406" s="21"/>
      <c r="P1406" s="21"/>
      <c r="Q1406" s="21"/>
      <c r="R1406" s="21"/>
      <c r="S1406" s="21"/>
      <c r="T1406" s="21"/>
      <c r="U1406" s="27" t="s">
        <v>439</v>
      </c>
      <c r="V1406" s="27" t="s">
        <v>440</v>
      </c>
    </row>
    <row r="1407" ht="14.25" customHeight="1">
      <c r="A1407" s="9" t="s">
        <v>2732</v>
      </c>
      <c r="B1407" s="9" t="s">
        <v>2718</v>
      </c>
      <c r="C1407" s="9" t="str">
        <f t="array" ref="C1407">INDEX(Funciones!$G$2:$G$372,MATCH($A1407,Funciones!$B$2:$B$372,0))</f>
        <v>Detectar el incendio por temperatura entre 54 y 65 °C</v>
      </c>
      <c r="D1407" s="9" t="s">
        <v>4872</v>
      </c>
      <c r="E1407" s="9" t="s">
        <v>3845</v>
      </c>
      <c r="F1407" s="9" t="s">
        <v>4873</v>
      </c>
      <c r="G1407" s="9" t="s">
        <v>4874</v>
      </c>
      <c r="H1407" s="18" t="str">
        <f t="array" ref="H1407">_xlfn.XLOOKUP(E:E,'Calificación consecuencia'!B:B,'Calificación consecuencia'!K:K,"No encontrada",2)</f>
        <v>Media</v>
      </c>
      <c r="I1407" s="9" t="s">
        <v>425</v>
      </c>
      <c r="J1407" s="22" t="s">
        <v>120</v>
      </c>
      <c r="K1407" s="20" t="s">
        <v>116</v>
      </c>
      <c r="L1407" s="21"/>
      <c r="M1407" s="21"/>
      <c r="N1407" s="21"/>
      <c r="O1407" s="21"/>
      <c r="P1407" s="21"/>
      <c r="Q1407" s="21"/>
      <c r="R1407" s="21"/>
      <c r="S1407" s="21"/>
      <c r="T1407" s="21"/>
      <c r="U1407" s="9" t="s">
        <v>439</v>
      </c>
      <c r="V1407" s="9" t="s">
        <v>440</v>
      </c>
    </row>
    <row r="1408" ht="14.25" customHeight="1">
      <c r="A1408" s="9" t="s">
        <v>2732</v>
      </c>
      <c r="B1408" s="9" t="s">
        <v>2718</v>
      </c>
      <c r="C1408" s="9" t="str">
        <f t="array" ref="C1408">INDEX(Funciones!$G$2:$G$372,MATCH($A1408,Funciones!$B$2:$B$372,0))</f>
        <v>Detectar el incendio por temperatura entre 54 y 65 °C</v>
      </c>
      <c r="D1408" s="9" t="s">
        <v>4875</v>
      </c>
      <c r="E1408" s="9" t="s">
        <v>3846</v>
      </c>
      <c r="F1408" s="9" t="s">
        <v>4876</v>
      </c>
      <c r="G1408" s="9" t="s">
        <v>4877</v>
      </c>
      <c r="H1408" s="18" t="str">
        <f t="array" ref="H1408">_xlfn.XLOOKUP(E:E,'Calificación consecuencia'!B:B,'Calificación consecuencia'!K:K,"No encontrada",2)</f>
        <v>Baja</v>
      </c>
      <c r="I1408" s="9" t="s">
        <v>425</v>
      </c>
      <c r="J1408" s="22" t="s">
        <v>120</v>
      </c>
      <c r="K1408" s="20" t="s">
        <v>116</v>
      </c>
      <c r="L1408" s="21"/>
      <c r="M1408" s="21"/>
      <c r="N1408" s="21"/>
      <c r="O1408" s="21"/>
      <c r="P1408" s="21"/>
      <c r="Q1408" s="21"/>
      <c r="R1408" s="21"/>
      <c r="S1408" s="21"/>
      <c r="T1408" s="21"/>
      <c r="U1408" s="9" t="s">
        <v>439</v>
      </c>
      <c r="V1408" s="9" t="s">
        <v>440</v>
      </c>
    </row>
    <row r="1409" ht="14.25" customHeight="1">
      <c r="A1409" s="9" t="s">
        <v>2732</v>
      </c>
      <c r="B1409" s="9" t="s">
        <v>2718</v>
      </c>
      <c r="C1409" s="9" t="str">
        <f t="array" ref="C1409">INDEX(Funciones!$G$2:$G$372,MATCH($A1409,Funciones!$B$2:$B$372,0))</f>
        <v>Detectar el incendio por temperatura entre 54 y 65 °C</v>
      </c>
      <c r="D1409" s="9" t="s">
        <v>4878</v>
      </c>
      <c r="E1409" s="9" t="s">
        <v>3847</v>
      </c>
      <c r="F1409" s="9" t="s">
        <v>4879</v>
      </c>
      <c r="G1409" s="9" t="s">
        <v>4877</v>
      </c>
      <c r="H1409" s="18" t="str">
        <f t="array" ref="H1409">_xlfn.XLOOKUP(E:E,'Calificación consecuencia'!B:B,'Calificación consecuencia'!K:K,"No encontrada",2)</f>
        <v>Baja</v>
      </c>
      <c r="I1409" s="9" t="s">
        <v>425</v>
      </c>
      <c r="J1409" s="22" t="s">
        <v>120</v>
      </c>
      <c r="K1409" s="20" t="s">
        <v>116</v>
      </c>
      <c r="L1409" s="21"/>
      <c r="M1409" s="21"/>
      <c r="N1409" s="21"/>
      <c r="O1409" s="21"/>
      <c r="P1409" s="21"/>
      <c r="Q1409" s="21"/>
      <c r="R1409" s="21"/>
      <c r="S1409" s="21"/>
      <c r="T1409" s="21"/>
      <c r="U1409" s="9" t="s">
        <v>439</v>
      </c>
      <c r="V1409" s="9" t="s">
        <v>440</v>
      </c>
    </row>
    <row r="1410" ht="14.25" customHeight="1">
      <c r="A1410" s="27" t="s">
        <v>2742</v>
      </c>
      <c r="B1410" s="27" t="s">
        <v>2741</v>
      </c>
      <c r="C1410" s="27" t="str">
        <f t="array" ref="C1410">INDEX(Funciones!$G$2:$G$372,MATCH($A1410,Funciones!$B$2:$B$372,0))</f>
        <v>Lubricar la pestaña de rueda con dosis de _____ mL por disparo</v>
      </c>
      <c r="D1410" s="27" t="s">
        <v>4880</v>
      </c>
      <c r="E1410" s="27" t="s">
        <v>3848</v>
      </c>
      <c r="F1410" s="27" t="s">
        <v>4881</v>
      </c>
      <c r="G1410" s="27" t="s">
        <v>4882</v>
      </c>
      <c r="H1410" s="18" t="str">
        <f t="array" ref="H1410">_xlfn.XLOOKUP(E:E,'Calificación consecuencia'!B:B,'Calificación consecuencia'!K:K,"No encontrada",2)</f>
        <v>Media</v>
      </c>
      <c r="I1410" s="27" t="s">
        <v>339</v>
      </c>
      <c r="J1410" s="29" t="s">
        <v>120</v>
      </c>
      <c r="K1410" s="30" t="s">
        <v>116</v>
      </c>
      <c r="L1410" s="21"/>
      <c r="M1410" s="21"/>
      <c r="N1410" s="21"/>
      <c r="O1410" s="21"/>
      <c r="P1410" s="21"/>
      <c r="Q1410" s="21"/>
      <c r="R1410" s="21"/>
      <c r="S1410" s="21"/>
      <c r="T1410" s="21"/>
      <c r="U1410" s="27" t="s">
        <v>439</v>
      </c>
      <c r="V1410" s="27" t="s">
        <v>440</v>
      </c>
    </row>
    <row r="1411" ht="14.25" customHeight="1">
      <c r="A1411" s="27" t="s">
        <v>2742</v>
      </c>
      <c r="B1411" s="27" t="s">
        <v>2741</v>
      </c>
      <c r="C1411" s="27" t="str">
        <f t="array" ref="C1411">INDEX(Funciones!$G$2:$G$372,MATCH($A1411,Funciones!$B$2:$B$372,0))</f>
        <v>Lubricar la pestaña de rueda con dosis de _____ mL por disparo</v>
      </c>
      <c r="D1411" s="27" t="s">
        <v>4880</v>
      </c>
      <c r="E1411" s="27" t="s">
        <v>3849</v>
      </c>
      <c r="F1411" s="27" t="s">
        <v>4883</v>
      </c>
      <c r="G1411" s="27" t="s">
        <v>4884</v>
      </c>
      <c r="H1411" s="18" t="str">
        <f t="array" ref="H1411">_xlfn.XLOOKUP(E:E,'Calificación consecuencia'!B:B,'Calificación consecuencia'!K:K,"No encontrada",2)</f>
        <v>Media</v>
      </c>
      <c r="I1411" s="27" t="s">
        <v>339</v>
      </c>
      <c r="J1411" s="29" t="s">
        <v>120</v>
      </c>
      <c r="K1411" s="30" t="s">
        <v>116</v>
      </c>
      <c r="L1411" s="21"/>
      <c r="M1411" s="21"/>
      <c r="N1411" s="21"/>
      <c r="O1411" s="21"/>
      <c r="P1411" s="21"/>
      <c r="Q1411" s="21"/>
      <c r="R1411" s="21"/>
      <c r="S1411" s="21"/>
      <c r="T1411" s="21"/>
      <c r="U1411" s="27" t="s">
        <v>439</v>
      </c>
      <c r="V1411" s="27" t="s">
        <v>440</v>
      </c>
    </row>
    <row r="1412" ht="14.25" customHeight="1">
      <c r="A1412" s="27" t="s">
        <v>2742</v>
      </c>
      <c r="B1412" s="27" t="s">
        <v>2741</v>
      </c>
      <c r="C1412" s="27" t="str">
        <f t="array" ref="C1412">INDEX(Funciones!$G$2:$G$372,MATCH($A1412,Funciones!$B$2:$B$372,0))</f>
        <v>Lubricar la pestaña de rueda con dosis de _____ mL por disparo</v>
      </c>
      <c r="D1412" s="27" t="s">
        <v>4880</v>
      </c>
      <c r="E1412" s="27" t="s">
        <v>1289</v>
      </c>
      <c r="F1412" s="27" t="s">
        <v>4885</v>
      </c>
      <c r="G1412" s="27" t="s">
        <v>3345</v>
      </c>
      <c r="H1412" s="18" t="str">
        <f t="array" ref="H1412">_xlfn.XLOOKUP(E:E,'Calificación consecuencia'!B:B,'Calificación consecuencia'!K:K,"No encontrada",2)</f>
        <v>Baja</v>
      </c>
      <c r="I1412" s="27" t="s">
        <v>339</v>
      </c>
      <c r="J1412" s="29" t="s">
        <v>120</v>
      </c>
      <c r="K1412" s="30" t="s">
        <v>116</v>
      </c>
      <c r="L1412" s="21"/>
      <c r="M1412" s="21"/>
      <c r="N1412" s="21"/>
      <c r="O1412" s="21"/>
      <c r="P1412" s="21"/>
      <c r="Q1412" s="21"/>
      <c r="R1412" s="21"/>
      <c r="S1412" s="21"/>
      <c r="T1412" s="21"/>
      <c r="U1412" s="27" t="s">
        <v>439</v>
      </c>
      <c r="V1412" s="27" t="s">
        <v>440</v>
      </c>
    </row>
    <row r="1413" ht="14.25" customHeight="1">
      <c r="A1413" s="27" t="s">
        <v>2742</v>
      </c>
      <c r="B1413" s="27" t="s">
        <v>2741</v>
      </c>
      <c r="C1413" s="27" t="str">
        <f t="array" ref="C1413">INDEX(Funciones!$G$2:$G$372,MATCH($A1413,Funciones!$B$2:$B$372,0))</f>
        <v>Lubricar la pestaña de rueda con dosis de _____ mL por disparo</v>
      </c>
      <c r="D1413" s="27" t="s">
        <v>4886</v>
      </c>
      <c r="E1413" s="27" t="s">
        <v>3850</v>
      </c>
      <c r="F1413" s="27" t="s">
        <v>4887</v>
      </c>
      <c r="G1413" s="27" t="s">
        <v>4888</v>
      </c>
      <c r="H1413" s="18" t="str">
        <f t="array" ref="H1413">_xlfn.XLOOKUP(E:E,'Calificación consecuencia'!B:B,'Calificación consecuencia'!K:K,"No encontrada",2)</f>
        <v>Baja</v>
      </c>
      <c r="I1413" s="27" t="s">
        <v>1800</v>
      </c>
      <c r="J1413" s="29" t="s">
        <v>120</v>
      </c>
      <c r="K1413" s="30" t="s">
        <v>116</v>
      </c>
      <c r="L1413" s="21"/>
      <c r="M1413" s="21"/>
      <c r="N1413" s="21"/>
      <c r="O1413" s="21"/>
      <c r="P1413" s="21"/>
      <c r="Q1413" s="21"/>
      <c r="R1413" s="21"/>
      <c r="S1413" s="21"/>
      <c r="T1413" s="21"/>
      <c r="U1413" s="27" t="s">
        <v>439</v>
      </c>
      <c r="V1413" s="27" t="s">
        <v>440</v>
      </c>
    </row>
    <row r="1414" ht="14.25" customHeight="1">
      <c r="A1414" s="27" t="s">
        <v>2742</v>
      </c>
      <c r="B1414" s="27" t="s">
        <v>2741</v>
      </c>
      <c r="C1414" s="27" t="str">
        <f t="array" ref="C1414">INDEX(Funciones!$G$2:$G$372,MATCH($A1414,Funciones!$B$2:$B$372,0))</f>
        <v>Lubricar la pestaña de rueda con dosis de _____ mL por disparo</v>
      </c>
      <c r="D1414" s="27" t="s">
        <v>4886</v>
      </c>
      <c r="E1414" s="27" t="s">
        <v>3851</v>
      </c>
      <c r="F1414" s="27" t="s">
        <v>4889</v>
      </c>
      <c r="G1414" s="27" t="s">
        <v>4890</v>
      </c>
      <c r="H1414" s="18" t="str">
        <f t="array" ref="H1414">_xlfn.XLOOKUP(E:E,'Calificación consecuencia'!B:B,'Calificación consecuencia'!K:K,"No encontrada",2)</f>
        <v>Baja</v>
      </c>
      <c r="I1414" s="27" t="s">
        <v>2106</v>
      </c>
      <c r="J1414" s="29" t="s">
        <v>120</v>
      </c>
      <c r="K1414" s="30" t="s">
        <v>116</v>
      </c>
      <c r="L1414" s="21"/>
      <c r="M1414" s="21"/>
      <c r="N1414" s="21"/>
      <c r="O1414" s="21"/>
      <c r="P1414" s="21"/>
      <c r="Q1414" s="21"/>
      <c r="R1414" s="21"/>
      <c r="S1414" s="21"/>
      <c r="T1414" s="21"/>
      <c r="U1414" s="27" t="s">
        <v>439</v>
      </c>
      <c r="V1414" s="27" t="s">
        <v>440</v>
      </c>
    </row>
    <row r="1415" ht="14.25" customHeight="1">
      <c r="A1415" s="27" t="s">
        <v>2742</v>
      </c>
      <c r="B1415" s="27" t="s">
        <v>2741</v>
      </c>
      <c r="C1415" s="27" t="str">
        <f t="array" ref="C1415">INDEX(Funciones!$G$2:$G$372,MATCH($A1415,Funciones!$B$2:$B$372,0))</f>
        <v>Lubricar la pestaña de rueda con dosis de _____ mL por disparo</v>
      </c>
      <c r="D1415" s="27" t="s">
        <v>4891</v>
      </c>
      <c r="E1415" s="27" t="s">
        <v>3852</v>
      </c>
      <c r="F1415" s="27" t="s">
        <v>4892</v>
      </c>
      <c r="G1415" s="27" t="s">
        <v>4893</v>
      </c>
      <c r="H1415" s="18" t="str">
        <f t="array" ref="H1415">_xlfn.XLOOKUP(E:E,'Calificación consecuencia'!B:B,'Calificación consecuencia'!K:K,"No encontrada",2)</f>
        <v>Baja</v>
      </c>
      <c r="I1415" s="27" t="s">
        <v>2106</v>
      </c>
      <c r="J1415" s="29" t="s">
        <v>120</v>
      </c>
      <c r="K1415" s="30" t="s">
        <v>116</v>
      </c>
      <c r="L1415" s="21"/>
      <c r="M1415" s="21"/>
      <c r="N1415" s="21"/>
      <c r="O1415" s="21"/>
      <c r="P1415" s="21"/>
      <c r="Q1415" s="21"/>
      <c r="R1415" s="21"/>
      <c r="S1415" s="21"/>
      <c r="T1415" s="21"/>
      <c r="U1415" s="27" t="s">
        <v>439</v>
      </c>
      <c r="V1415" s="27" t="s">
        <v>440</v>
      </c>
    </row>
    <row r="1416" ht="14.25" customHeight="1">
      <c r="A1416" s="9" t="s">
        <v>2757</v>
      </c>
      <c r="B1416" s="9" t="s">
        <v>2756</v>
      </c>
      <c r="C1416" s="9" t="str">
        <f t="array" ref="C1416">INDEX(Funciones!$G$2:$G$372,MATCH($A1416,Funciones!$B$2:$B$372,0))</f>
        <v>Grabar las imágenes durante un mínimo de _____ días</v>
      </c>
      <c r="D1416" s="9" t="s">
        <v>4894</v>
      </c>
      <c r="E1416" s="9" t="s">
        <v>3853</v>
      </c>
      <c r="F1416" s="9" t="s">
        <v>4895</v>
      </c>
      <c r="G1416" s="9" t="s">
        <v>4896</v>
      </c>
      <c r="H1416" s="18" t="str">
        <f t="array" ref="H1416">_xlfn.XLOOKUP(E:E,'Calificación consecuencia'!B:B,'Calificación consecuencia'!K:K,"No encontrada",2)</f>
        <v>Baja</v>
      </c>
      <c r="I1416" s="9" t="s">
        <v>4897</v>
      </c>
      <c r="J1416" s="22" t="s">
        <v>120</v>
      </c>
      <c r="K1416" s="20" t="s">
        <v>116</v>
      </c>
      <c r="L1416" s="21"/>
      <c r="M1416" s="21"/>
      <c r="N1416" s="21"/>
      <c r="O1416" s="21"/>
      <c r="P1416" s="21"/>
      <c r="Q1416" s="21"/>
      <c r="R1416" s="21"/>
      <c r="S1416" s="21"/>
      <c r="T1416" s="21"/>
      <c r="U1416" s="9" t="s">
        <v>439</v>
      </c>
      <c r="V1416" s="9" t="s">
        <v>440</v>
      </c>
    </row>
    <row r="1417" ht="14.25" customHeight="1">
      <c r="A1417" s="9" t="s">
        <v>2757</v>
      </c>
      <c r="B1417" s="9" t="s">
        <v>2756</v>
      </c>
      <c r="C1417" s="9" t="str">
        <f t="array" ref="C1417">INDEX(Funciones!$G$2:$G$372,MATCH($A1417,Funciones!$B$2:$B$372,0))</f>
        <v>Grabar las imágenes durante un mínimo de _____ días</v>
      </c>
      <c r="D1417" s="9" t="s">
        <v>4894</v>
      </c>
      <c r="E1417" s="9" t="s">
        <v>3855</v>
      </c>
      <c r="F1417" s="9" t="s">
        <v>4898</v>
      </c>
      <c r="G1417" s="9" t="s">
        <v>4899</v>
      </c>
      <c r="H1417" s="18" t="str">
        <f t="array" ref="H1417">_xlfn.XLOOKUP(E:E,'Calificación consecuencia'!B:B,'Calificación consecuencia'!K:K,"No encontrada",2)</f>
        <v>Media</v>
      </c>
      <c r="I1417" s="9" t="s">
        <v>4897</v>
      </c>
      <c r="J1417" s="22" t="s">
        <v>120</v>
      </c>
      <c r="K1417" s="20" t="s">
        <v>116</v>
      </c>
      <c r="L1417" s="21"/>
      <c r="M1417" s="21"/>
      <c r="N1417" s="21"/>
      <c r="O1417" s="21"/>
      <c r="P1417" s="21"/>
      <c r="Q1417" s="21"/>
      <c r="R1417" s="21"/>
      <c r="S1417" s="21"/>
      <c r="T1417" s="21"/>
      <c r="U1417" s="9" t="s">
        <v>439</v>
      </c>
      <c r="V1417" s="9" t="s">
        <v>440</v>
      </c>
    </row>
    <row r="1418" ht="14.25" customHeight="1">
      <c r="A1418" s="9" t="s">
        <v>2757</v>
      </c>
      <c r="B1418" s="9" t="s">
        <v>2756</v>
      </c>
      <c r="C1418" s="9" t="str">
        <f t="array" ref="C1418">INDEX(Funciones!$G$2:$G$372,MATCH($A1418,Funciones!$B$2:$B$372,0))</f>
        <v>Grabar las imágenes durante un mínimo de _____ días</v>
      </c>
      <c r="D1418" s="9" t="s">
        <v>4900</v>
      </c>
      <c r="E1418" s="9" t="s">
        <v>3856</v>
      </c>
      <c r="F1418" s="9" t="s">
        <v>4901</v>
      </c>
      <c r="G1418" s="9" t="s">
        <v>4902</v>
      </c>
      <c r="H1418" s="18" t="str">
        <f t="array" ref="H1418">_xlfn.XLOOKUP(E:E,'Calificación consecuencia'!B:B,'Calificación consecuencia'!K:K,"No encontrada",2)</f>
        <v>Baja</v>
      </c>
      <c r="I1418" s="9" t="s">
        <v>2106</v>
      </c>
      <c r="J1418" s="22" t="s">
        <v>120</v>
      </c>
      <c r="K1418" s="20" t="s">
        <v>116</v>
      </c>
      <c r="L1418" s="21"/>
      <c r="M1418" s="21"/>
      <c r="N1418" s="21"/>
      <c r="O1418" s="21"/>
      <c r="P1418" s="21"/>
      <c r="Q1418" s="21"/>
      <c r="R1418" s="21"/>
      <c r="S1418" s="21"/>
      <c r="T1418" s="21"/>
      <c r="U1418" s="9" t="s">
        <v>439</v>
      </c>
      <c r="V1418" s="9" t="s">
        <v>440</v>
      </c>
    </row>
    <row r="1419" ht="14.25" customHeight="1">
      <c r="A1419" s="9" t="s">
        <v>2757</v>
      </c>
      <c r="B1419" s="9" t="s">
        <v>2756</v>
      </c>
      <c r="C1419" s="9" t="str">
        <f t="array" ref="C1419">INDEX(Funciones!$G$2:$G$372,MATCH($A1419,Funciones!$B$2:$B$372,0))</f>
        <v>Grabar las imágenes durante un mínimo de _____ días</v>
      </c>
      <c r="D1419" s="9" t="s">
        <v>4900</v>
      </c>
      <c r="E1419" s="9" t="s">
        <v>3857</v>
      </c>
      <c r="F1419" s="9" t="s">
        <v>4903</v>
      </c>
      <c r="G1419" s="9" t="s">
        <v>4904</v>
      </c>
      <c r="H1419" s="18" t="str">
        <f t="array" ref="H1419">_xlfn.XLOOKUP(E:E,'Calificación consecuencia'!B:B,'Calificación consecuencia'!K:K,"No encontrada",2)</f>
        <v>Baja</v>
      </c>
      <c r="I1419" s="9" t="s">
        <v>2106</v>
      </c>
      <c r="J1419" s="22" t="s">
        <v>120</v>
      </c>
      <c r="K1419" s="20" t="s">
        <v>116</v>
      </c>
      <c r="L1419" s="21"/>
      <c r="M1419" s="21"/>
      <c r="N1419" s="21"/>
      <c r="O1419" s="21"/>
      <c r="P1419" s="21"/>
      <c r="Q1419" s="21"/>
      <c r="R1419" s="21"/>
      <c r="S1419" s="21"/>
      <c r="T1419" s="21"/>
      <c r="U1419" s="9" t="s">
        <v>439</v>
      </c>
      <c r="V1419" s="9" t="s">
        <v>440</v>
      </c>
    </row>
    <row r="1420" ht="14.25" customHeight="1">
      <c r="A1420" s="27" t="s">
        <v>2770</v>
      </c>
      <c r="B1420" s="27" t="s">
        <v>2769</v>
      </c>
      <c r="C1420" s="27" t="str">
        <f t="array" ref="C1420">INDEX(Funciones!$G$2:$G$372,MATCH($A1420,Funciones!$B$2:$B$372,0))</f>
        <v>Enfriar el aire de cabina a temperatura de consigna de _____ °C</v>
      </c>
      <c r="D1420" s="27" t="s">
        <v>4271</v>
      </c>
      <c r="E1420" s="27" t="s">
        <v>3475</v>
      </c>
      <c r="F1420" s="27" t="s">
        <v>4272</v>
      </c>
      <c r="G1420" s="27" t="s">
        <v>2906</v>
      </c>
      <c r="H1420" s="18" t="str">
        <f t="array" ref="H1420">_xlfn.XLOOKUP(E:E,'Calificación consecuencia'!B:B,'Calificación consecuencia'!K:K,"No encontrada",2)</f>
        <v>Baja</v>
      </c>
      <c r="I1420" s="27" t="s">
        <v>1800</v>
      </c>
      <c r="J1420" s="30" t="s">
        <v>116</v>
      </c>
      <c r="K1420" s="21"/>
      <c r="L1420" s="21"/>
      <c r="M1420" s="29" t="s">
        <v>120</v>
      </c>
      <c r="N1420" s="21"/>
      <c r="O1420" s="30" t="s">
        <v>116</v>
      </c>
      <c r="P1420" s="30" t="s">
        <v>116</v>
      </c>
      <c r="Q1420" s="21"/>
      <c r="R1420" s="21"/>
      <c r="S1420" s="21"/>
      <c r="T1420" s="21"/>
      <c r="U1420" s="27" t="s">
        <v>345</v>
      </c>
      <c r="V1420" s="27" t="s">
        <v>196</v>
      </c>
    </row>
    <row r="1421" ht="14.25" customHeight="1">
      <c r="A1421" s="27" t="s">
        <v>2770</v>
      </c>
      <c r="B1421" s="27" t="s">
        <v>2769</v>
      </c>
      <c r="C1421" s="27" t="str">
        <f t="array" ref="C1421">INDEX(Funciones!$G$2:$G$372,MATCH($A1421,Funciones!$B$2:$B$372,0))</f>
        <v>Enfriar el aire de cabina a temperatura de consigna de _____ °C</v>
      </c>
      <c r="D1421" s="27" t="s">
        <v>4271</v>
      </c>
      <c r="E1421" s="27" t="s">
        <v>3476</v>
      </c>
      <c r="F1421" s="27" t="s">
        <v>4273</v>
      </c>
      <c r="G1421" s="27" t="s">
        <v>4274</v>
      </c>
      <c r="H1421" s="18" t="str">
        <f t="array" ref="H1421">_xlfn.XLOOKUP(E:E,'Calificación consecuencia'!B:B,'Calificación consecuencia'!K:K,"No encontrada",2)</f>
        <v>Baja</v>
      </c>
      <c r="I1421" s="27" t="s">
        <v>2106</v>
      </c>
      <c r="J1421" s="30" t="s">
        <v>116</v>
      </c>
      <c r="K1421" s="21"/>
      <c r="L1421" s="21"/>
      <c r="M1421" s="29" t="s">
        <v>120</v>
      </c>
      <c r="N1421" s="21"/>
      <c r="O1421" s="29" t="s">
        <v>120</v>
      </c>
      <c r="P1421" s="21"/>
      <c r="Q1421" s="21"/>
      <c r="R1421" s="21"/>
      <c r="S1421" s="29" t="s">
        <v>120</v>
      </c>
      <c r="T1421" s="21"/>
      <c r="U1421" s="27" t="s">
        <v>1680</v>
      </c>
      <c r="V1421" s="27" t="s">
        <v>1408</v>
      </c>
    </row>
    <row r="1422" ht="14.25" customHeight="1">
      <c r="A1422" s="27" t="s">
        <v>2770</v>
      </c>
      <c r="B1422" s="27" t="s">
        <v>2769</v>
      </c>
      <c r="C1422" s="27" t="str">
        <f t="array" ref="C1422">INDEX(Funciones!$G$2:$G$372,MATCH($A1422,Funciones!$B$2:$B$372,0))</f>
        <v>Enfriar el aire de cabina a temperatura de consigna de _____ °C</v>
      </c>
      <c r="D1422" s="27" t="s">
        <v>4275</v>
      </c>
      <c r="E1422" s="27" t="s">
        <v>3478</v>
      </c>
      <c r="F1422" s="27" t="s">
        <v>4276</v>
      </c>
      <c r="G1422" s="27" t="s">
        <v>4277</v>
      </c>
      <c r="H1422" s="18" t="str">
        <f t="array" ref="H1422">_xlfn.XLOOKUP(E:E,'Calificación consecuencia'!B:B,'Calificación consecuencia'!K:K,"No encontrada",2)</f>
        <v>Baja</v>
      </c>
      <c r="I1422" s="27" t="s">
        <v>2106</v>
      </c>
      <c r="J1422" s="30" t="s">
        <v>116</v>
      </c>
      <c r="K1422" s="21"/>
      <c r="L1422" s="21"/>
      <c r="M1422" s="29" t="s">
        <v>120</v>
      </c>
      <c r="N1422" s="21"/>
      <c r="O1422" s="29" t="s">
        <v>120</v>
      </c>
      <c r="P1422" s="21"/>
      <c r="Q1422" s="21"/>
      <c r="R1422" s="21"/>
      <c r="S1422" s="29" t="s">
        <v>120</v>
      </c>
      <c r="T1422" s="21"/>
      <c r="U1422" s="27" t="s">
        <v>1680</v>
      </c>
      <c r="V1422" s="27" t="s">
        <v>1408</v>
      </c>
    </row>
    <row r="1423" ht="14.25" customHeight="1">
      <c r="A1423" s="27" t="s">
        <v>2770</v>
      </c>
      <c r="B1423" s="27" t="s">
        <v>2769</v>
      </c>
      <c r="C1423" s="27" t="str">
        <f t="array" ref="C1423">INDEX(Funciones!$G$2:$G$372,MATCH($A1423,Funciones!$B$2:$B$372,0))</f>
        <v>Enfriar el aire de cabina a temperatura de consigna de _____ °C</v>
      </c>
      <c r="D1423" s="27" t="s">
        <v>4275</v>
      </c>
      <c r="E1423" s="27" t="s">
        <v>3480</v>
      </c>
      <c r="F1423" s="27" t="s">
        <v>4278</v>
      </c>
      <c r="G1423" s="27" t="s">
        <v>3382</v>
      </c>
      <c r="H1423" s="18" t="str">
        <f t="array" ref="H1423">_xlfn.XLOOKUP(E:E,'Calificación consecuencia'!B:B,'Calificación consecuencia'!K:K,"No encontrada",2)</f>
        <v>Baja</v>
      </c>
      <c r="I1423" s="27" t="s">
        <v>2106</v>
      </c>
      <c r="J1423" s="30" t="s">
        <v>116</v>
      </c>
      <c r="K1423" s="21"/>
      <c r="L1423" s="21"/>
      <c r="M1423" s="29" t="s">
        <v>120</v>
      </c>
      <c r="N1423" s="21"/>
      <c r="O1423" s="29" t="s">
        <v>120</v>
      </c>
      <c r="P1423" s="21"/>
      <c r="Q1423" s="21"/>
      <c r="R1423" s="21"/>
      <c r="S1423" s="29" t="s">
        <v>120</v>
      </c>
      <c r="T1423" s="21"/>
      <c r="U1423" s="27" t="s">
        <v>1680</v>
      </c>
      <c r="V1423" s="27" t="s">
        <v>1408</v>
      </c>
    </row>
    <row r="1424" ht="14.25" customHeight="1">
      <c r="A1424" s="27" t="s">
        <v>2770</v>
      </c>
      <c r="B1424" s="27" t="s">
        <v>2769</v>
      </c>
      <c r="C1424" s="27" t="str">
        <f t="array" ref="C1424">INDEX(Funciones!$G$2:$G$372,MATCH($A1424,Funciones!$B$2:$B$372,0))</f>
        <v>Enfriar el aire de cabina a temperatura de consigna de _____ °C</v>
      </c>
      <c r="D1424" s="27" t="s">
        <v>4275</v>
      </c>
      <c r="E1424" s="27" t="s">
        <v>3481</v>
      </c>
      <c r="F1424" s="27" t="s">
        <v>4279</v>
      </c>
      <c r="G1424" s="27" t="s">
        <v>4280</v>
      </c>
      <c r="H1424" s="18" t="str">
        <f t="array" ref="H1424">_xlfn.XLOOKUP(E:E,'Calificación consecuencia'!B:B,'Calificación consecuencia'!K:K,"No encontrada",2)</f>
        <v>Media</v>
      </c>
      <c r="I1424" s="27" t="s">
        <v>2106</v>
      </c>
      <c r="J1424" s="30" t="s">
        <v>116</v>
      </c>
      <c r="K1424" s="21"/>
      <c r="L1424" s="21"/>
      <c r="M1424" s="29" t="s">
        <v>120</v>
      </c>
      <c r="N1424" s="21"/>
      <c r="O1424" s="30" t="s">
        <v>116</v>
      </c>
      <c r="P1424" s="30" t="s">
        <v>116</v>
      </c>
      <c r="Q1424" s="21"/>
      <c r="R1424" s="21"/>
      <c r="S1424" s="21"/>
      <c r="T1424" s="21"/>
      <c r="U1424" s="27" t="s">
        <v>345</v>
      </c>
      <c r="V1424" s="27" t="s">
        <v>196</v>
      </c>
    </row>
    <row r="1425" ht="14.25" customHeight="1">
      <c r="A1425" s="27" t="s">
        <v>2770</v>
      </c>
      <c r="B1425" s="27" t="s">
        <v>2769</v>
      </c>
      <c r="C1425" s="27" t="str">
        <f t="array" ref="C1425">INDEX(Funciones!$G$2:$G$372,MATCH($A1425,Funciones!$B$2:$B$372,0))</f>
        <v>Enfriar el aire de cabina a temperatura de consigna de _____ °C</v>
      </c>
      <c r="D1425" s="27" t="s">
        <v>4275</v>
      </c>
      <c r="E1425" s="27" t="s">
        <v>3482</v>
      </c>
      <c r="F1425" s="27" t="s">
        <v>4281</v>
      </c>
      <c r="G1425" s="27" t="s">
        <v>4282</v>
      </c>
      <c r="H1425" s="18" t="str">
        <f t="array" ref="H1425">_xlfn.XLOOKUP(E:E,'Calificación consecuencia'!B:B,'Calificación consecuencia'!K:K,"No encontrada",2)</f>
        <v>Baja</v>
      </c>
      <c r="I1425" s="27" t="s">
        <v>2106</v>
      </c>
      <c r="J1425" s="30" t="s">
        <v>116</v>
      </c>
      <c r="K1425" s="21"/>
      <c r="L1425" s="21"/>
      <c r="M1425" s="29" t="s">
        <v>120</v>
      </c>
      <c r="N1425" s="21"/>
      <c r="O1425" s="29" t="s">
        <v>120</v>
      </c>
      <c r="P1425" s="21"/>
      <c r="Q1425" s="21"/>
      <c r="R1425" s="21"/>
      <c r="S1425" s="29" t="s">
        <v>120</v>
      </c>
      <c r="T1425" s="21"/>
      <c r="U1425" s="27" t="s">
        <v>1680</v>
      </c>
      <c r="V1425" s="27" t="s">
        <v>1408</v>
      </c>
    </row>
    <row r="1426" ht="14.25" customHeight="1">
      <c r="A1426" s="9" t="s">
        <v>2779</v>
      </c>
      <c r="B1426" s="9" t="s">
        <v>2778</v>
      </c>
      <c r="C1426" s="9" t="str">
        <f t="array" ref="C1426">INDEX(Funciones!$G$2:$G$372,MATCH($A1426,Funciones!$B$2:$B$372,0))</f>
        <v>Sellar la caja del convertidor con 0 filtraciones en prueba de agua</v>
      </c>
      <c r="D1426" s="9" t="s">
        <v>4905</v>
      </c>
      <c r="E1426" s="9" t="s">
        <v>3858</v>
      </c>
      <c r="F1426" s="9" t="s">
        <v>4906</v>
      </c>
      <c r="G1426" s="9" t="s">
        <v>4907</v>
      </c>
      <c r="H1426" s="18" t="str">
        <f t="array" ref="H1426">_xlfn.XLOOKUP(E:E,'Calificación consecuencia'!B:B,'Calificación consecuencia'!K:K,"No encontrada",2)</f>
        <v>Media</v>
      </c>
      <c r="I1426" s="9" t="s">
        <v>4588</v>
      </c>
      <c r="J1426" s="22" t="s">
        <v>120</v>
      </c>
      <c r="K1426" s="20" t="s">
        <v>116</v>
      </c>
      <c r="L1426" s="21"/>
      <c r="M1426" s="21"/>
      <c r="N1426" s="21"/>
      <c r="O1426" s="21"/>
      <c r="P1426" s="21"/>
      <c r="Q1426" s="21"/>
      <c r="R1426" s="21"/>
      <c r="S1426" s="21"/>
      <c r="T1426" s="21"/>
      <c r="U1426" s="9" t="s">
        <v>439</v>
      </c>
      <c r="V1426" s="9" t="s">
        <v>440</v>
      </c>
    </row>
    <row r="1427" ht="14.25" customHeight="1">
      <c r="A1427" s="9" t="s">
        <v>2779</v>
      </c>
      <c r="B1427" s="9" t="s">
        <v>2778</v>
      </c>
      <c r="C1427" s="9" t="str">
        <f t="array" ref="C1427">INDEX(Funciones!$G$2:$G$372,MATCH($A1427,Funciones!$B$2:$B$372,0))</f>
        <v>Sellar la caja del convertidor con 0 filtraciones en prueba de agua</v>
      </c>
      <c r="D1427" s="9" t="s">
        <v>4908</v>
      </c>
      <c r="E1427" s="9" t="s">
        <v>3859</v>
      </c>
      <c r="F1427" s="9" t="s">
        <v>4909</v>
      </c>
      <c r="G1427" s="9" t="s">
        <v>4910</v>
      </c>
      <c r="H1427" s="18" t="str">
        <f t="array" ref="H1427">_xlfn.XLOOKUP(E:E,'Calificación consecuencia'!B:B,'Calificación consecuencia'!K:K,"No encontrada",2)</f>
        <v>Baja</v>
      </c>
      <c r="I1427" s="9" t="s">
        <v>425</v>
      </c>
      <c r="J1427" s="22" t="s">
        <v>120</v>
      </c>
      <c r="K1427" s="20" t="s">
        <v>116</v>
      </c>
      <c r="L1427" s="21"/>
      <c r="M1427" s="21"/>
      <c r="N1427" s="21"/>
      <c r="O1427" s="21"/>
      <c r="P1427" s="21"/>
      <c r="Q1427" s="21"/>
      <c r="R1427" s="21"/>
      <c r="S1427" s="21"/>
      <c r="T1427" s="21"/>
      <c r="U1427" s="9" t="s">
        <v>439</v>
      </c>
      <c r="V1427" s="9" t="s">
        <v>440</v>
      </c>
    </row>
    <row r="1428" ht="14.25" customHeight="1">
      <c r="A1428" s="27" t="s">
        <v>2791</v>
      </c>
      <c r="B1428" s="27" t="s">
        <v>2790</v>
      </c>
      <c r="C1428" s="27" t="str">
        <f t="array" ref="C1428">INDEX(Funciones!$G$2:$G$372,MATCH($A1428,Funciones!$B$2:$B$372,0))</f>
        <v>Filtrar los armónicos con inductancia de _____ mH</v>
      </c>
      <c r="D1428" s="27" t="s">
        <v>4911</v>
      </c>
      <c r="E1428" s="27" t="s">
        <v>3860</v>
      </c>
      <c r="F1428" s="27" t="s">
        <v>4912</v>
      </c>
      <c r="G1428" s="27" t="s">
        <v>4913</v>
      </c>
      <c r="H1428" s="18" t="str">
        <f t="array" ref="H1428">_xlfn.XLOOKUP(E:E,'Calificación consecuencia'!B:B,'Calificación consecuencia'!K:K,"No encontrada",2)</f>
        <v>Media</v>
      </c>
      <c r="I1428" s="27" t="s">
        <v>113</v>
      </c>
      <c r="J1428" s="29" t="s">
        <v>120</v>
      </c>
      <c r="K1428" s="30" t="s">
        <v>116</v>
      </c>
      <c r="L1428" s="21"/>
      <c r="M1428" s="21"/>
      <c r="N1428" s="21"/>
      <c r="O1428" s="21"/>
      <c r="P1428" s="21"/>
      <c r="Q1428" s="21"/>
      <c r="R1428" s="21"/>
      <c r="S1428" s="21"/>
      <c r="T1428" s="21"/>
      <c r="U1428" s="27" t="s">
        <v>439</v>
      </c>
      <c r="V1428" s="27" t="s">
        <v>440</v>
      </c>
    </row>
    <row r="1429" ht="14.25" customHeight="1">
      <c r="A1429" s="27" t="s">
        <v>2791</v>
      </c>
      <c r="B1429" s="27" t="s">
        <v>2790</v>
      </c>
      <c r="C1429" s="27" t="str">
        <f t="array" ref="C1429">INDEX(Funciones!$G$2:$G$372,MATCH($A1429,Funciones!$B$2:$B$372,0))</f>
        <v>Filtrar los armónicos con inductancia de _____ mH</v>
      </c>
      <c r="D1429" s="27" t="s">
        <v>4914</v>
      </c>
      <c r="E1429" s="27" t="s">
        <v>3861</v>
      </c>
      <c r="F1429" s="27" t="s">
        <v>4915</v>
      </c>
      <c r="G1429" s="27" t="s">
        <v>4916</v>
      </c>
      <c r="H1429" s="18" t="str">
        <f t="array" ref="H1429">_xlfn.XLOOKUP(E:E,'Calificación consecuencia'!B:B,'Calificación consecuencia'!K:K,"No encontrada",2)</f>
        <v>Baja</v>
      </c>
      <c r="I1429" s="27" t="s">
        <v>339</v>
      </c>
      <c r="J1429" s="29" t="s">
        <v>120</v>
      </c>
      <c r="K1429" s="30" t="s">
        <v>116</v>
      </c>
      <c r="L1429" s="21"/>
      <c r="M1429" s="21"/>
      <c r="N1429" s="21"/>
      <c r="O1429" s="21"/>
      <c r="P1429" s="21"/>
      <c r="Q1429" s="21"/>
      <c r="R1429" s="21"/>
      <c r="S1429" s="21"/>
      <c r="T1429" s="21"/>
      <c r="U1429" s="27" t="s">
        <v>439</v>
      </c>
      <c r="V1429" s="27" t="s">
        <v>440</v>
      </c>
    </row>
    <row r="1430" ht="14.25" customHeight="1">
      <c r="A1430" s="9" t="s">
        <v>2805</v>
      </c>
      <c r="B1430" s="9" t="s">
        <v>2804</v>
      </c>
      <c r="C1430" s="9" t="str">
        <f t="array" ref="C1430">INDEX(Funciones!$G$2:$G$372,MATCH($A1430,Funciones!$B$2:$B$372,0))</f>
        <v>Regular la tensión de salida a _____ ±_____ V</v>
      </c>
      <c r="D1430" s="9" t="s">
        <v>4917</v>
      </c>
      <c r="E1430" s="9" t="s">
        <v>3863</v>
      </c>
      <c r="F1430" s="9" t="s">
        <v>4918</v>
      </c>
      <c r="G1430" s="9" t="s">
        <v>4919</v>
      </c>
      <c r="H1430" s="18" t="str">
        <f t="array" ref="H1430">_xlfn.XLOOKUP(E:E,'Calificación consecuencia'!B:B,'Calificación consecuencia'!K:K,"No encontrada",2)</f>
        <v>Media</v>
      </c>
      <c r="I1430" s="9" t="s">
        <v>113</v>
      </c>
      <c r="J1430" s="22" t="s">
        <v>120</v>
      </c>
      <c r="K1430" s="20" t="s">
        <v>116</v>
      </c>
      <c r="L1430" s="21"/>
      <c r="M1430" s="21"/>
      <c r="N1430" s="21"/>
      <c r="O1430" s="21"/>
      <c r="P1430" s="21"/>
      <c r="Q1430" s="21"/>
      <c r="R1430" s="21"/>
      <c r="S1430" s="21"/>
      <c r="T1430" s="21"/>
      <c r="U1430" s="9" t="s">
        <v>439</v>
      </c>
      <c r="V1430" s="9" t="s">
        <v>440</v>
      </c>
    </row>
    <row r="1431" ht="14.25" customHeight="1">
      <c r="A1431" s="9" t="s">
        <v>2805</v>
      </c>
      <c r="B1431" s="9" t="s">
        <v>2804</v>
      </c>
      <c r="C1431" s="9" t="str">
        <f t="array" ref="C1431">INDEX(Funciones!$G$2:$G$372,MATCH($A1431,Funciones!$B$2:$B$372,0))</f>
        <v>Regular la tensión de salida a _____ ±_____ V</v>
      </c>
      <c r="D1431" s="9" t="s">
        <v>4920</v>
      </c>
      <c r="E1431" s="9" t="s">
        <v>3781</v>
      </c>
      <c r="F1431" s="9" t="s">
        <v>4921</v>
      </c>
      <c r="G1431" s="9" t="s">
        <v>4922</v>
      </c>
      <c r="H1431" s="18" t="str">
        <f t="array" ref="H1431">_xlfn.XLOOKUP(E:E,'Calificación consecuencia'!B:B,'Calificación consecuencia'!K:K,"No encontrada",2)</f>
        <v>Baja</v>
      </c>
      <c r="I1431" s="9" t="s">
        <v>339</v>
      </c>
      <c r="J1431" s="22" t="s">
        <v>120</v>
      </c>
      <c r="K1431" s="20" t="s">
        <v>116</v>
      </c>
      <c r="L1431" s="21"/>
      <c r="M1431" s="21"/>
      <c r="N1431" s="21"/>
      <c r="O1431" s="21"/>
      <c r="P1431" s="21"/>
      <c r="Q1431" s="21"/>
      <c r="R1431" s="21"/>
      <c r="S1431" s="21"/>
      <c r="T1431" s="21"/>
      <c r="U1431" s="9" t="s">
        <v>439</v>
      </c>
      <c r="V1431" s="9" t="s">
        <v>440</v>
      </c>
    </row>
    <row r="1432" ht="14.25" customHeight="1">
      <c r="A1432" s="9" t="s">
        <v>2805</v>
      </c>
      <c r="B1432" s="9" t="s">
        <v>2804</v>
      </c>
      <c r="C1432" s="9" t="str">
        <f t="array" ref="C1432">INDEX(Funciones!$G$2:$G$372,MATCH($A1432,Funciones!$B$2:$B$372,0))</f>
        <v>Regular la tensión de salida a _____ ±_____ V</v>
      </c>
      <c r="D1432" s="9" t="s">
        <v>4920</v>
      </c>
      <c r="E1432" s="9" t="s">
        <v>3864</v>
      </c>
      <c r="F1432" s="9" t="s">
        <v>4923</v>
      </c>
      <c r="G1432" s="9" t="s">
        <v>4924</v>
      </c>
      <c r="H1432" s="18" t="str">
        <f t="array" ref="H1432">_xlfn.XLOOKUP(E:E,'Calificación consecuencia'!B:B,'Calificación consecuencia'!K:K,"No encontrada",2)</f>
        <v>Baja</v>
      </c>
      <c r="I1432" s="9" t="s">
        <v>1800</v>
      </c>
      <c r="J1432" s="22" t="s">
        <v>120</v>
      </c>
      <c r="K1432" s="20" t="s">
        <v>116</v>
      </c>
      <c r="L1432" s="21"/>
      <c r="M1432" s="21"/>
      <c r="N1432" s="21"/>
      <c r="O1432" s="21"/>
      <c r="P1432" s="21"/>
      <c r="Q1432" s="21"/>
      <c r="R1432" s="21"/>
      <c r="S1432" s="21"/>
      <c r="T1432" s="21"/>
      <c r="U1432" s="9" t="s">
        <v>439</v>
      </c>
      <c r="V1432" s="9" t="s">
        <v>440</v>
      </c>
    </row>
    <row r="1433" ht="14.25" customHeight="1">
      <c r="A1433" s="9" t="s">
        <v>2805</v>
      </c>
      <c r="B1433" s="9" t="s">
        <v>2804</v>
      </c>
      <c r="C1433" s="9" t="str">
        <f t="array" ref="C1433">INDEX(Funciones!$G$2:$G$372,MATCH($A1433,Funciones!$B$2:$B$372,0))</f>
        <v>Regular la tensión de salida a _____ ±_____ V</v>
      </c>
      <c r="D1433" s="9" t="s">
        <v>4925</v>
      </c>
      <c r="E1433" s="9" t="s">
        <v>3865</v>
      </c>
      <c r="F1433" s="9" t="s">
        <v>4926</v>
      </c>
      <c r="G1433" s="9" t="s">
        <v>4927</v>
      </c>
      <c r="H1433" s="18" t="str">
        <f t="array" ref="H1433">_xlfn.XLOOKUP(E:E,'Calificación consecuencia'!B:B,'Calificación consecuencia'!K:K,"No encontrada",2)</f>
        <v>Baja</v>
      </c>
      <c r="I1433" s="9" t="s">
        <v>1800</v>
      </c>
      <c r="J1433" s="22" t="s">
        <v>120</v>
      </c>
      <c r="K1433" s="20" t="s">
        <v>116</v>
      </c>
      <c r="L1433" s="21"/>
      <c r="M1433" s="21"/>
      <c r="N1433" s="21"/>
      <c r="O1433" s="21"/>
      <c r="P1433" s="21"/>
      <c r="Q1433" s="21"/>
      <c r="R1433" s="21"/>
      <c r="S1433" s="21"/>
      <c r="T1433" s="21"/>
      <c r="U1433" s="9" t="s">
        <v>439</v>
      </c>
      <c r="V1433" s="9" t="s">
        <v>440</v>
      </c>
    </row>
    <row r="1434" ht="14.25" customHeight="1">
      <c r="A1434" s="27" t="s">
        <v>2817</v>
      </c>
      <c r="B1434" s="27" t="s">
        <v>2816</v>
      </c>
      <c r="C1434" s="27" t="str">
        <f t="array" ref="C1434">INDEX(Funciones!$G$2:$G$372,MATCH($A1434,Funciones!$B$2:$B$372,0))</f>
        <v>Regular la tensión de salida a _____ ±_____ V</v>
      </c>
      <c r="D1434" s="27" t="s">
        <v>4917</v>
      </c>
      <c r="E1434" s="27" t="s">
        <v>3863</v>
      </c>
      <c r="F1434" s="27" t="s">
        <v>4918</v>
      </c>
      <c r="G1434" s="27" t="s">
        <v>4919</v>
      </c>
      <c r="H1434" s="18" t="str">
        <f t="array" ref="H1434">_xlfn.XLOOKUP(E:E,'Calificación consecuencia'!B:B,'Calificación consecuencia'!K:K,"No encontrada",2)</f>
        <v>Media</v>
      </c>
      <c r="I1434" s="27" t="s">
        <v>113</v>
      </c>
      <c r="J1434" s="29" t="s">
        <v>120</v>
      </c>
      <c r="K1434" s="30" t="s">
        <v>116</v>
      </c>
      <c r="L1434" s="21"/>
      <c r="M1434" s="21"/>
      <c r="N1434" s="21"/>
      <c r="O1434" s="21"/>
      <c r="P1434" s="21"/>
      <c r="Q1434" s="21"/>
      <c r="R1434" s="21"/>
      <c r="S1434" s="21"/>
      <c r="T1434" s="21"/>
      <c r="U1434" s="27" t="s">
        <v>439</v>
      </c>
      <c r="V1434" s="27" t="s">
        <v>440</v>
      </c>
    </row>
    <row r="1435" ht="14.25" customHeight="1">
      <c r="A1435" s="27" t="s">
        <v>2817</v>
      </c>
      <c r="B1435" s="27" t="s">
        <v>2816</v>
      </c>
      <c r="C1435" s="27" t="str">
        <f t="array" ref="C1435">INDEX(Funciones!$G$2:$G$372,MATCH($A1435,Funciones!$B$2:$B$372,0))</f>
        <v>Regular la tensión de salida a _____ ±_____ V</v>
      </c>
      <c r="D1435" s="27" t="s">
        <v>4920</v>
      </c>
      <c r="E1435" s="27" t="s">
        <v>3781</v>
      </c>
      <c r="F1435" s="27" t="s">
        <v>4921</v>
      </c>
      <c r="G1435" s="27" t="s">
        <v>4922</v>
      </c>
      <c r="H1435" s="18" t="str">
        <f t="array" ref="H1435">_xlfn.XLOOKUP(E:E,'Calificación consecuencia'!B:B,'Calificación consecuencia'!K:K,"No encontrada",2)</f>
        <v>Baja</v>
      </c>
      <c r="I1435" s="27" t="s">
        <v>339</v>
      </c>
      <c r="J1435" s="29" t="s">
        <v>120</v>
      </c>
      <c r="K1435" s="30" t="s">
        <v>116</v>
      </c>
      <c r="L1435" s="21"/>
      <c r="M1435" s="21"/>
      <c r="N1435" s="21"/>
      <c r="O1435" s="21"/>
      <c r="P1435" s="21"/>
      <c r="Q1435" s="21"/>
      <c r="R1435" s="21"/>
      <c r="S1435" s="21"/>
      <c r="T1435" s="21"/>
      <c r="U1435" s="27" t="s">
        <v>439</v>
      </c>
      <c r="V1435" s="27" t="s">
        <v>440</v>
      </c>
    </row>
    <row r="1436" ht="14.25" customHeight="1">
      <c r="A1436" s="27" t="s">
        <v>2817</v>
      </c>
      <c r="B1436" s="27" t="s">
        <v>2816</v>
      </c>
      <c r="C1436" s="27" t="str">
        <f t="array" ref="C1436">INDEX(Funciones!$G$2:$G$372,MATCH($A1436,Funciones!$B$2:$B$372,0))</f>
        <v>Regular la tensión de salida a _____ ±_____ V</v>
      </c>
      <c r="D1436" s="27" t="s">
        <v>4920</v>
      </c>
      <c r="E1436" s="27" t="s">
        <v>3864</v>
      </c>
      <c r="F1436" s="27" t="s">
        <v>4923</v>
      </c>
      <c r="G1436" s="27" t="s">
        <v>4924</v>
      </c>
      <c r="H1436" s="18" t="str">
        <f t="array" ref="H1436">_xlfn.XLOOKUP(E:E,'Calificación consecuencia'!B:B,'Calificación consecuencia'!K:K,"No encontrada",2)</f>
        <v>Baja</v>
      </c>
      <c r="I1436" s="27" t="s">
        <v>1800</v>
      </c>
      <c r="J1436" s="29" t="s">
        <v>120</v>
      </c>
      <c r="K1436" s="30" t="s">
        <v>116</v>
      </c>
      <c r="L1436" s="21"/>
      <c r="M1436" s="21"/>
      <c r="N1436" s="21"/>
      <c r="O1436" s="21"/>
      <c r="P1436" s="21"/>
      <c r="Q1436" s="21"/>
      <c r="R1436" s="21"/>
      <c r="S1436" s="21"/>
      <c r="T1436" s="21"/>
      <c r="U1436" s="27" t="s">
        <v>439</v>
      </c>
      <c r="V1436" s="27" t="s">
        <v>440</v>
      </c>
    </row>
    <row r="1437" ht="14.25" customHeight="1">
      <c r="A1437" s="27" t="s">
        <v>2817</v>
      </c>
      <c r="B1437" s="27" t="s">
        <v>2816</v>
      </c>
      <c r="C1437" s="27" t="str">
        <f t="array" ref="C1437">INDEX(Funciones!$G$2:$G$372,MATCH($A1437,Funciones!$B$2:$B$372,0))</f>
        <v>Regular la tensión de salida a _____ ±_____ V</v>
      </c>
      <c r="D1437" s="27" t="s">
        <v>4925</v>
      </c>
      <c r="E1437" s="27" t="s">
        <v>3865</v>
      </c>
      <c r="F1437" s="27" t="s">
        <v>4926</v>
      </c>
      <c r="G1437" s="27" t="s">
        <v>4927</v>
      </c>
      <c r="H1437" s="18" t="str">
        <f t="array" ref="H1437">_xlfn.XLOOKUP(E:E,'Calificación consecuencia'!B:B,'Calificación consecuencia'!K:K,"No encontrada",2)</f>
        <v>Baja</v>
      </c>
      <c r="I1437" s="27" t="s">
        <v>1800</v>
      </c>
      <c r="J1437" s="29" t="s">
        <v>120</v>
      </c>
      <c r="K1437" s="30" t="s">
        <v>116</v>
      </c>
      <c r="L1437" s="21"/>
      <c r="M1437" s="21"/>
      <c r="N1437" s="21"/>
      <c r="O1437" s="21"/>
      <c r="P1437" s="21"/>
      <c r="Q1437" s="21"/>
      <c r="R1437" s="21"/>
      <c r="S1437" s="21"/>
      <c r="T1437" s="21"/>
      <c r="U1437" s="27" t="s">
        <v>439</v>
      </c>
      <c r="V1437" s="27" t="s">
        <v>440</v>
      </c>
    </row>
    <row r="1438" ht="14.25" customHeight="1">
      <c r="A1438" s="9" t="s">
        <v>2824</v>
      </c>
      <c r="B1438" s="9" t="s">
        <v>2823</v>
      </c>
      <c r="C1438" s="9" t="str">
        <f t="array" ref="C1438">INDEX(Funciones!$G$2:$G$372,MATCH($A1438,Funciones!$B$2:$B$372,0))</f>
        <v>Estabilizar la tensión de entrada con capacidad de _____ µF</v>
      </c>
      <c r="D1438" s="9" t="s">
        <v>4928</v>
      </c>
      <c r="E1438" s="9" t="s">
        <v>3866</v>
      </c>
      <c r="F1438" s="9" t="s">
        <v>4929</v>
      </c>
      <c r="G1438" s="9" t="s">
        <v>4930</v>
      </c>
      <c r="H1438" s="18" t="str">
        <f t="array" ref="H1438">_xlfn.XLOOKUP(E:E,'Calificación consecuencia'!B:B,'Calificación consecuencia'!K:K,"No encontrada",2)</f>
        <v>Media</v>
      </c>
      <c r="I1438" s="9" t="s">
        <v>113</v>
      </c>
      <c r="J1438" s="22" t="s">
        <v>120</v>
      </c>
      <c r="K1438" s="20" t="s">
        <v>116</v>
      </c>
      <c r="L1438" s="21"/>
      <c r="M1438" s="21"/>
      <c r="N1438" s="21"/>
      <c r="O1438" s="21"/>
      <c r="P1438" s="21"/>
      <c r="Q1438" s="21"/>
      <c r="R1438" s="21"/>
      <c r="S1438" s="21"/>
      <c r="T1438" s="21"/>
      <c r="U1438" s="9" t="s">
        <v>439</v>
      </c>
      <c r="V1438" s="9" t="s">
        <v>440</v>
      </c>
    </row>
    <row r="1439" ht="14.25" customHeight="1">
      <c r="A1439" s="9" t="s">
        <v>2824</v>
      </c>
      <c r="B1439" s="9" t="s">
        <v>2823</v>
      </c>
      <c r="C1439" s="9" t="str">
        <f t="array" ref="C1439">INDEX(Funciones!$G$2:$G$372,MATCH($A1439,Funciones!$B$2:$B$372,0))</f>
        <v>Estabilizar la tensión de entrada con capacidad de _____ µF</v>
      </c>
      <c r="D1439" s="9" t="s">
        <v>4931</v>
      </c>
      <c r="E1439" s="9" t="s">
        <v>3867</v>
      </c>
      <c r="F1439" s="9" t="s">
        <v>4932</v>
      </c>
      <c r="G1439" s="9" t="s">
        <v>4933</v>
      </c>
      <c r="H1439" s="18" t="str">
        <f t="array" ref="H1439">_xlfn.XLOOKUP(E:E,'Calificación consecuencia'!B:B,'Calificación consecuencia'!K:K,"No encontrada",2)</f>
        <v>Baja</v>
      </c>
      <c r="I1439" s="9" t="s">
        <v>339</v>
      </c>
      <c r="J1439" s="22" t="s">
        <v>120</v>
      </c>
      <c r="K1439" s="20" t="s">
        <v>116</v>
      </c>
      <c r="L1439" s="21"/>
      <c r="M1439" s="21"/>
      <c r="N1439" s="21"/>
      <c r="O1439" s="21"/>
      <c r="P1439" s="21"/>
      <c r="Q1439" s="21"/>
      <c r="R1439" s="21"/>
      <c r="S1439" s="21"/>
      <c r="T1439" s="21"/>
      <c r="U1439" s="9" t="s">
        <v>439</v>
      </c>
      <c r="V1439" s="9" t="s">
        <v>440</v>
      </c>
    </row>
    <row r="1440" ht="14.25" customHeight="1">
      <c r="A1440" s="27" t="s">
        <v>2837</v>
      </c>
      <c r="B1440" s="27" t="s">
        <v>2836</v>
      </c>
      <c r="C1440" s="27" t="str">
        <f t="array" ref="C1440">INDEX(Funciones!$G$2:$G$372,MATCH($A1440,Funciones!$B$2:$B$372,0))</f>
        <v>Aterrizar el circuito de alta tensión con tensión residual de 0 V</v>
      </c>
      <c r="D1440" s="27" t="s">
        <v>4934</v>
      </c>
      <c r="E1440" s="27" t="s">
        <v>3868</v>
      </c>
      <c r="F1440" s="27" t="s">
        <v>4935</v>
      </c>
      <c r="G1440" s="27" t="s">
        <v>4936</v>
      </c>
      <c r="H1440" s="18" t="str">
        <f t="array" ref="H1440">_xlfn.XLOOKUP(E:E,'Calificación consecuencia'!B:B,'Calificación consecuencia'!K:K,"No encontrada",2)</f>
        <v>Media</v>
      </c>
      <c r="I1440" s="27" t="s">
        <v>425</v>
      </c>
      <c r="J1440" s="29" t="s">
        <v>120</v>
      </c>
      <c r="K1440" s="30" t="s">
        <v>116</v>
      </c>
      <c r="L1440" s="21"/>
      <c r="M1440" s="21"/>
      <c r="N1440" s="21"/>
      <c r="O1440" s="21"/>
      <c r="P1440" s="21"/>
      <c r="Q1440" s="21"/>
      <c r="R1440" s="21"/>
      <c r="S1440" s="21"/>
      <c r="T1440" s="21"/>
      <c r="U1440" s="27" t="s">
        <v>439</v>
      </c>
      <c r="V1440" s="27" t="s">
        <v>440</v>
      </c>
    </row>
    <row r="1441" ht="14.25" customHeight="1">
      <c r="A1441" s="27" t="s">
        <v>2837</v>
      </c>
      <c r="B1441" s="27" t="s">
        <v>2836</v>
      </c>
      <c r="C1441" s="27" t="str">
        <f t="array" ref="C1441">INDEX(Funciones!$G$2:$G$372,MATCH($A1441,Funciones!$B$2:$B$372,0))</f>
        <v>Aterrizar el circuito de alta tensión con tensión residual de 0 V</v>
      </c>
      <c r="D1441" s="27" t="s">
        <v>4937</v>
      </c>
      <c r="E1441" s="27" t="s">
        <v>3869</v>
      </c>
      <c r="F1441" s="27" t="s">
        <v>4938</v>
      </c>
      <c r="G1441" s="27" t="s">
        <v>4939</v>
      </c>
      <c r="H1441" s="18" t="str">
        <f t="array" ref="H1441">_xlfn.XLOOKUP(E:E,'Calificación consecuencia'!B:B,'Calificación consecuencia'!K:K,"No encontrada",2)</f>
        <v>Media</v>
      </c>
      <c r="I1441" s="27" t="s">
        <v>425</v>
      </c>
      <c r="J1441" s="29" t="s">
        <v>120</v>
      </c>
      <c r="K1441" s="30" t="s">
        <v>116</v>
      </c>
      <c r="L1441" s="21"/>
      <c r="M1441" s="21"/>
      <c r="N1441" s="21"/>
      <c r="O1441" s="21"/>
      <c r="P1441" s="21"/>
      <c r="Q1441" s="21"/>
      <c r="R1441" s="21"/>
      <c r="S1441" s="21"/>
      <c r="T1441" s="21"/>
      <c r="U1441" s="27" t="s">
        <v>439</v>
      </c>
      <c r="V1441" s="27" t="s">
        <v>440</v>
      </c>
    </row>
    <row r="1442" ht="14.25" customHeight="1">
      <c r="A1442" s="9" t="s">
        <v>2855</v>
      </c>
      <c r="B1442" s="9" t="s">
        <v>2854</v>
      </c>
      <c r="C1442" s="9" t="str">
        <f t="array" ref="C1442">INDEX(Funciones!$G$2:$G$372,MATCH($A1442,Funciones!$B$2:$B$372,0))</f>
        <v>Alimentar el motor de tracción de 0 a 1.500 V CA</v>
      </c>
      <c r="D1442" s="9" t="s">
        <v>4940</v>
      </c>
      <c r="E1442" s="9" t="s">
        <v>3778</v>
      </c>
      <c r="F1442" s="9" t="s">
        <v>4941</v>
      </c>
      <c r="G1442" s="9" t="s">
        <v>4686</v>
      </c>
      <c r="H1442" s="18" t="str">
        <f t="array" ref="H1442">_xlfn.XLOOKUP(E:E,'Calificación consecuencia'!B:B,'Calificación consecuencia'!K:K,"No encontrada",2)</f>
        <v>Media</v>
      </c>
      <c r="I1442" s="9" t="s">
        <v>113</v>
      </c>
      <c r="J1442" s="20" t="s">
        <v>116</v>
      </c>
      <c r="K1442" s="21"/>
      <c r="L1442" s="21"/>
      <c r="M1442" s="22" t="s">
        <v>120</v>
      </c>
      <c r="N1442" s="21"/>
      <c r="O1442" s="20" t="s">
        <v>116</v>
      </c>
      <c r="P1442" s="20" t="s">
        <v>116</v>
      </c>
      <c r="Q1442" s="21"/>
      <c r="R1442" s="21"/>
      <c r="S1442" s="21"/>
      <c r="T1442" s="21"/>
      <c r="U1442" s="9" t="s">
        <v>345</v>
      </c>
      <c r="V1442" s="9" t="s">
        <v>196</v>
      </c>
    </row>
    <row r="1443" ht="14.25" customHeight="1">
      <c r="A1443" s="9" t="s">
        <v>2855</v>
      </c>
      <c r="B1443" s="9" t="s">
        <v>2854</v>
      </c>
      <c r="C1443" s="9" t="str">
        <f t="array" ref="C1443">INDEX(Funciones!$G$2:$G$372,MATCH($A1443,Funciones!$B$2:$B$372,0))</f>
        <v>Alimentar el motor de tracción de 0 a 1.500 V CA</v>
      </c>
      <c r="D1443" s="9" t="s">
        <v>4940</v>
      </c>
      <c r="E1443" s="9" t="s">
        <v>3870</v>
      </c>
      <c r="F1443" s="9" t="s">
        <v>4942</v>
      </c>
      <c r="G1443" s="9" t="s">
        <v>1386</v>
      </c>
      <c r="H1443" s="18" t="str">
        <f t="array" ref="H1443">_xlfn.XLOOKUP(E:E,'Calificación consecuencia'!B:B,'Calificación consecuencia'!K:K,"No encontrada",2)</f>
        <v>Baja</v>
      </c>
      <c r="I1443" s="9" t="s">
        <v>113</v>
      </c>
      <c r="J1443" s="20" t="s">
        <v>116</v>
      </c>
      <c r="K1443" s="21"/>
      <c r="L1443" s="21"/>
      <c r="M1443" s="22" t="s">
        <v>120</v>
      </c>
      <c r="N1443" s="21"/>
      <c r="O1443" s="20" t="s">
        <v>116</v>
      </c>
      <c r="P1443" s="22" t="s">
        <v>120</v>
      </c>
      <c r="Q1443" s="22" t="s">
        <v>120</v>
      </c>
      <c r="R1443" s="22" t="s">
        <v>120</v>
      </c>
      <c r="S1443" s="21"/>
      <c r="T1443" s="21"/>
      <c r="U1443" s="9" t="s">
        <v>230</v>
      </c>
      <c r="V1443" s="9" t="s">
        <v>230</v>
      </c>
    </row>
    <row r="1444" ht="14.25" customHeight="1">
      <c r="A1444" s="9" t="s">
        <v>2855</v>
      </c>
      <c r="B1444" s="9" t="s">
        <v>2854</v>
      </c>
      <c r="C1444" s="9" t="str">
        <f t="array" ref="C1444">INDEX(Funciones!$G$2:$G$372,MATCH($A1444,Funciones!$B$2:$B$372,0))</f>
        <v>Alimentar el motor de tracción de 0 a 1.500 V CA</v>
      </c>
      <c r="D1444" s="9" t="s">
        <v>4940</v>
      </c>
      <c r="E1444" s="9" t="s">
        <v>3871</v>
      </c>
      <c r="F1444" s="9" t="s">
        <v>4943</v>
      </c>
      <c r="G1444" s="9" t="s">
        <v>4944</v>
      </c>
      <c r="H1444" s="18" t="str">
        <f t="array" ref="H1444">_xlfn.XLOOKUP(E:E,'Calificación consecuencia'!B:B,'Calificación consecuencia'!K:K,"No encontrada",2)</f>
        <v>Baja</v>
      </c>
      <c r="I1444" s="9" t="s">
        <v>113</v>
      </c>
      <c r="J1444" s="20" t="s">
        <v>116</v>
      </c>
      <c r="K1444" s="21"/>
      <c r="L1444" s="21"/>
      <c r="M1444" s="22" t="s">
        <v>120</v>
      </c>
      <c r="N1444" s="21"/>
      <c r="O1444" s="20" t="s">
        <v>116</v>
      </c>
      <c r="P1444" s="20" t="s">
        <v>116</v>
      </c>
      <c r="Q1444" s="21"/>
      <c r="R1444" s="21"/>
      <c r="S1444" s="21"/>
      <c r="T1444" s="21"/>
      <c r="U1444" s="9" t="s">
        <v>345</v>
      </c>
      <c r="V1444" s="9" t="s">
        <v>196</v>
      </c>
    </row>
    <row r="1445" ht="14.25" customHeight="1">
      <c r="A1445" s="9" t="s">
        <v>2855</v>
      </c>
      <c r="B1445" s="9" t="s">
        <v>2854</v>
      </c>
      <c r="C1445" s="9" t="str">
        <f t="array" ref="C1445">INDEX(Funciones!$G$2:$G$372,MATCH($A1445,Funciones!$B$2:$B$372,0))</f>
        <v>Alimentar el motor de tracción de 0 a 1.500 V CA</v>
      </c>
      <c r="D1445" s="9" t="s">
        <v>4945</v>
      </c>
      <c r="E1445" s="9" t="s">
        <v>3872</v>
      </c>
      <c r="F1445" s="9" t="s">
        <v>4946</v>
      </c>
      <c r="G1445" s="9" t="s">
        <v>4947</v>
      </c>
      <c r="H1445" s="18" t="str">
        <f t="array" ref="H1445">_xlfn.XLOOKUP(E:E,'Calificación consecuencia'!B:B,'Calificación consecuencia'!K:K,"No encontrada",2)</f>
        <v>Baja</v>
      </c>
      <c r="I1445" s="9" t="s">
        <v>339</v>
      </c>
      <c r="J1445" s="20" t="s">
        <v>116</v>
      </c>
      <c r="K1445" s="21"/>
      <c r="L1445" s="21"/>
      <c r="M1445" s="22" t="s">
        <v>120</v>
      </c>
      <c r="N1445" s="21"/>
      <c r="O1445" s="20" t="s">
        <v>116</v>
      </c>
      <c r="P1445" s="20" t="s">
        <v>116</v>
      </c>
      <c r="Q1445" s="21"/>
      <c r="R1445" s="21"/>
      <c r="S1445" s="21"/>
      <c r="T1445" s="21"/>
      <c r="U1445" s="9" t="s">
        <v>345</v>
      </c>
      <c r="V1445" s="9" t="s">
        <v>196</v>
      </c>
    </row>
    <row r="1446" ht="14.25" customHeight="1">
      <c r="A1446" s="27" t="s">
        <v>2869</v>
      </c>
      <c r="B1446" s="27" t="s">
        <v>2854</v>
      </c>
      <c r="C1446" s="27" t="str">
        <f t="array" ref="C1446">INDEX(Funciones!$G$2:$G$372,MATCH($A1446,Funciones!$B$2:$B$372,0))</f>
        <v>Variar la frecuencia del motor de 0 a 120 Hz</v>
      </c>
      <c r="D1446" s="27" t="s">
        <v>4948</v>
      </c>
      <c r="E1446" s="27" t="s">
        <v>3873</v>
      </c>
      <c r="F1446" s="27" t="s">
        <v>4949</v>
      </c>
      <c r="G1446" s="27" t="s">
        <v>4950</v>
      </c>
      <c r="H1446" s="18" t="str">
        <f t="array" ref="H1446">_xlfn.XLOOKUP(E:E,'Calificación consecuencia'!B:B,'Calificación consecuencia'!K:K,"No encontrada",2)</f>
        <v>Baja</v>
      </c>
      <c r="I1446" s="27" t="s">
        <v>113</v>
      </c>
      <c r="J1446" s="30" t="s">
        <v>116</v>
      </c>
      <c r="K1446" s="21"/>
      <c r="L1446" s="21"/>
      <c r="M1446" s="29" t="s">
        <v>120</v>
      </c>
      <c r="N1446" s="21"/>
      <c r="O1446" s="30" t="s">
        <v>116</v>
      </c>
      <c r="P1446" s="29" t="s">
        <v>120</v>
      </c>
      <c r="Q1446" s="29" t="s">
        <v>120</v>
      </c>
      <c r="R1446" s="29" t="s">
        <v>120</v>
      </c>
      <c r="S1446" s="21"/>
      <c r="T1446" s="21"/>
      <c r="U1446" s="27" t="s">
        <v>230</v>
      </c>
      <c r="V1446" s="27" t="s">
        <v>230</v>
      </c>
    </row>
    <row r="1447" ht="14.25" customHeight="1">
      <c r="A1447" s="27" t="s">
        <v>2869</v>
      </c>
      <c r="B1447" s="27" t="s">
        <v>2854</v>
      </c>
      <c r="C1447" s="27" t="str">
        <f t="array" ref="C1447">INDEX(Funciones!$G$2:$G$372,MATCH($A1447,Funciones!$B$2:$B$372,0))</f>
        <v>Variar la frecuencia del motor de 0 a 120 Hz</v>
      </c>
      <c r="D1447" s="27" t="s">
        <v>4951</v>
      </c>
      <c r="E1447" s="27" t="s">
        <v>3874</v>
      </c>
      <c r="F1447" s="27" t="s">
        <v>4952</v>
      </c>
      <c r="G1447" s="27" t="s">
        <v>4953</v>
      </c>
      <c r="H1447" s="18" t="str">
        <f t="array" ref="H1447">_xlfn.XLOOKUP(E:E,'Calificación consecuencia'!B:B,'Calificación consecuencia'!K:K,"No encontrada",2)</f>
        <v>Baja</v>
      </c>
      <c r="I1447" s="27" t="s">
        <v>339</v>
      </c>
      <c r="J1447" s="30" t="s">
        <v>116</v>
      </c>
      <c r="K1447" s="21"/>
      <c r="L1447" s="21"/>
      <c r="M1447" s="29" t="s">
        <v>120</v>
      </c>
      <c r="N1447" s="21"/>
      <c r="O1447" s="30" t="s">
        <v>116</v>
      </c>
      <c r="P1447" s="30" t="s">
        <v>116</v>
      </c>
      <c r="Q1447" s="21"/>
      <c r="R1447" s="21"/>
      <c r="S1447" s="21"/>
      <c r="T1447" s="21"/>
      <c r="U1447" s="27" t="s">
        <v>345</v>
      </c>
      <c r="V1447" s="27" t="s">
        <v>196</v>
      </c>
    </row>
    <row r="1448" ht="14.25" customHeight="1">
      <c r="A1448" s="27" t="s">
        <v>2869</v>
      </c>
      <c r="B1448" s="27" t="s">
        <v>2854</v>
      </c>
      <c r="C1448" s="27" t="str">
        <f t="array" ref="C1448">INDEX(Funciones!$G$2:$G$372,MATCH($A1448,Funciones!$B$2:$B$372,0))</f>
        <v>Variar la frecuencia del motor de 0 a 120 Hz</v>
      </c>
      <c r="D1448" s="27" t="s">
        <v>4951</v>
      </c>
      <c r="E1448" s="27" t="s">
        <v>3875</v>
      </c>
      <c r="F1448" s="27" t="s">
        <v>4954</v>
      </c>
      <c r="G1448" s="27" t="s">
        <v>4955</v>
      </c>
      <c r="H1448" s="18" t="str">
        <f t="array" ref="H1448">_xlfn.XLOOKUP(E:E,'Calificación consecuencia'!B:B,'Calificación consecuencia'!K:K,"No encontrada",2)</f>
        <v>Media</v>
      </c>
      <c r="I1448" s="27" t="s">
        <v>339</v>
      </c>
      <c r="J1448" s="30" t="s">
        <v>116</v>
      </c>
      <c r="K1448" s="21"/>
      <c r="L1448" s="21"/>
      <c r="M1448" s="29" t="s">
        <v>120</v>
      </c>
      <c r="N1448" s="21"/>
      <c r="O1448" s="30" t="s">
        <v>116</v>
      </c>
      <c r="P1448" s="30" t="s">
        <v>116</v>
      </c>
      <c r="Q1448" s="21"/>
      <c r="R1448" s="21"/>
      <c r="S1448" s="21"/>
      <c r="T1448" s="21"/>
      <c r="U1448" s="27" t="s">
        <v>345</v>
      </c>
      <c r="V1448" s="27" t="s">
        <v>196</v>
      </c>
    </row>
    <row r="1449" ht="14.25" customHeight="1">
      <c r="A1449" s="9" t="s">
        <v>2880</v>
      </c>
      <c r="B1449" s="9" t="s">
        <v>2879</v>
      </c>
      <c r="C1449" s="9" t="str">
        <f t="array" ref="C1449">INDEX(Funciones!$G$2:$G$372,MATCH($A1449,Funciones!$B$2:$B$372,0))</f>
        <v>Interrumpir el cortocircuito de 0,45 a 3,6 kA</v>
      </c>
      <c r="D1449" s="9" t="s">
        <v>4956</v>
      </c>
      <c r="E1449" s="9" t="s">
        <v>3876</v>
      </c>
      <c r="F1449" s="9" t="s">
        <v>4957</v>
      </c>
      <c r="G1449" s="9" t="s">
        <v>4958</v>
      </c>
      <c r="H1449" s="18" t="str">
        <f t="array" ref="H1449">_xlfn.XLOOKUP(E:E,'Calificación consecuencia'!B:B,'Calificación consecuencia'!K:K,"No encontrada",2)</f>
        <v>Media</v>
      </c>
      <c r="I1449" s="9" t="s">
        <v>4588</v>
      </c>
      <c r="J1449" s="22" t="s">
        <v>120</v>
      </c>
      <c r="K1449" s="20" t="s">
        <v>116</v>
      </c>
      <c r="L1449" s="21"/>
      <c r="M1449" s="21"/>
      <c r="N1449" s="21"/>
      <c r="O1449" s="21"/>
      <c r="P1449" s="21"/>
      <c r="Q1449" s="21"/>
      <c r="R1449" s="21"/>
      <c r="S1449" s="21"/>
      <c r="T1449" s="21"/>
      <c r="U1449" s="9" t="s">
        <v>439</v>
      </c>
      <c r="V1449" s="9" t="s">
        <v>440</v>
      </c>
    </row>
    <row r="1450" ht="14.25" customHeight="1">
      <c r="A1450" s="9" t="s">
        <v>2880</v>
      </c>
      <c r="B1450" s="9" t="s">
        <v>2879</v>
      </c>
      <c r="C1450" s="9" t="str">
        <f t="array" ref="C1450">INDEX(Funciones!$G$2:$G$372,MATCH($A1450,Funciones!$B$2:$B$372,0))</f>
        <v>Interrumpir el cortocircuito de 0,45 a 3,6 kA</v>
      </c>
      <c r="D1450" s="9" t="s">
        <v>4956</v>
      </c>
      <c r="E1450" s="9" t="s">
        <v>3877</v>
      </c>
      <c r="F1450" s="9" t="s">
        <v>4959</v>
      </c>
      <c r="G1450" s="9" t="s">
        <v>4960</v>
      </c>
      <c r="H1450" s="18" t="str">
        <f t="array" ref="H1450">_xlfn.XLOOKUP(E:E,'Calificación consecuencia'!B:B,'Calificación consecuencia'!K:K,"No encontrada",2)</f>
        <v>Media</v>
      </c>
      <c r="I1450" s="9" t="s">
        <v>4588</v>
      </c>
      <c r="J1450" s="22" t="s">
        <v>120</v>
      </c>
      <c r="K1450" s="20" t="s">
        <v>116</v>
      </c>
      <c r="L1450" s="21"/>
      <c r="M1450" s="21"/>
      <c r="N1450" s="21"/>
      <c r="O1450" s="21"/>
      <c r="P1450" s="21"/>
      <c r="Q1450" s="21"/>
      <c r="R1450" s="21"/>
      <c r="S1450" s="21"/>
      <c r="T1450" s="21"/>
      <c r="U1450" s="9" t="s">
        <v>439</v>
      </c>
      <c r="V1450" s="9" t="s">
        <v>440</v>
      </c>
    </row>
    <row r="1451" ht="14.25" customHeight="1">
      <c r="A1451" s="9" t="s">
        <v>2880</v>
      </c>
      <c r="B1451" s="9" t="s">
        <v>2879</v>
      </c>
      <c r="C1451" s="9" t="str">
        <f t="array" ref="C1451">INDEX(Funciones!$G$2:$G$372,MATCH($A1451,Funciones!$B$2:$B$372,0))</f>
        <v>Interrumpir el cortocircuito de 0,45 a 3,6 kA</v>
      </c>
      <c r="D1451" s="9" t="s">
        <v>4961</v>
      </c>
      <c r="E1451" s="9" t="s">
        <v>3878</v>
      </c>
      <c r="F1451" s="9" t="s">
        <v>4962</v>
      </c>
      <c r="G1451" s="9" t="s">
        <v>4963</v>
      </c>
      <c r="H1451" s="18" t="str">
        <f t="array" ref="H1451">_xlfn.XLOOKUP(E:E,'Calificación consecuencia'!B:B,'Calificación consecuencia'!K:K,"No encontrada",2)</f>
        <v>Media</v>
      </c>
      <c r="I1451" s="9" t="s">
        <v>1800</v>
      </c>
      <c r="J1451" s="22" t="s">
        <v>120</v>
      </c>
      <c r="K1451" s="20" t="s">
        <v>116</v>
      </c>
      <c r="L1451" s="21"/>
      <c r="M1451" s="21"/>
      <c r="N1451" s="21"/>
      <c r="O1451" s="21"/>
      <c r="P1451" s="21"/>
      <c r="Q1451" s="21"/>
      <c r="R1451" s="21"/>
      <c r="S1451" s="21"/>
      <c r="T1451" s="21"/>
      <c r="U1451" s="9" t="s">
        <v>439</v>
      </c>
      <c r="V1451" s="9" t="s">
        <v>440</v>
      </c>
    </row>
    <row r="1452" ht="14.25" customHeight="1">
      <c r="A1452" s="9" t="s">
        <v>2880</v>
      </c>
      <c r="B1452" s="9" t="s">
        <v>2879</v>
      </c>
      <c r="C1452" s="9" t="str">
        <f t="array" ref="C1452">INDEX(Funciones!$G$2:$G$372,MATCH($A1452,Funciones!$B$2:$B$372,0))</f>
        <v>Interrumpir el cortocircuito de 0,45 a 3,6 kA</v>
      </c>
      <c r="D1452" s="9" t="s">
        <v>4961</v>
      </c>
      <c r="E1452" s="9" t="s">
        <v>3879</v>
      </c>
      <c r="F1452" s="9" t="s">
        <v>4964</v>
      </c>
      <c r="G1452" s="9" t="s">
        <v>4965</v>
      </c>
      <c r="H1452" s="18" t="str">
        <f t="array" ref="H1452">_xlfn.XLOOKUP(E:E,'Calificación consecuencia'!B:B,'Calificación consecuencia'!K:K,"No encontrada",2)</f>
        <v>Media</v>
      </c>
      <c r="I1452" s="9" t="s">
        <v>1800</v>
      </c>
      <c r="J1452" s="22" t="s">
        <v>120</v>
      </c>
      <c r="K1452" s="20" t="s">
        <v>116</v>
      </c>
      <c r="L1452" s="21"/>
      <c r="M1452" s="21"/>
      <c r="N1452" s="21"/>
      <c r="O1452" s="21"/>
      <c r="P1452" s="21"/>
      <c r="Q1452" s="21"/>
      <c r="R1452" s="21"/>
      <c r="S1452" s="21"/>
      <c r="T1452" s="21"/>
      <c r="U1452" s="9" t="s">
        <v>439</v>
      </c>
      <c r="V1452" s="9" t="s">
        <v>440</v>
      </c>
    </row>
    <row r="1453" ht="14.25" customHeight="1">
      <c r="A1453" s="27" t="s">
        <v>2893</v>
      </c>
      <c r="B1453" s="27" t="s">
        <v>2879</v>
      </c>
      <c r="C1453" s="27" t="str">
        <f t="array" ref="C1453">INDEX(Funciones!$G$2:$G$372,MATCH($A1453,Funciones!$B$2:$B$372,0))</f>
        <v>Abrir el circuito principal en 5 a 10 ms</v>
      </c>
      <c r="D1453" s="27" t="s">
        <v>4966</v>
      </c>
      <c r="E1453" s="27" t="s">
        <v>3880</v>
      </c>
      <c r="F1453" s="27" t="s">
        <v>4967</v>
      </c>
      <c r="G1453" s="27" t="s">
        <v>4968</v>
      </c>
      <c r="H1453" s="18" t="str">
        <f t="array" ref="H1453">_xlfn.XLOOKUP(E:E,'Calificación consecuencia'!B:B,'Calificación consecuencia'!K:K,"No encontrada",2)</f>
        <v>Media</v>
      </c>
      <c r="I1453" s="27" t="s">
        <v>4588</v>
      </c>
      <c r="J1453" s="29" t="s">
        <v>120</v>
      </c>
      <c r="K1453" s="30" t="s">
        <v>116</v>
      </c>
      <c r="L1453" s="21"/>
      <c r="M1453" s="21"/>
      <c r="N1453" s="21"/>
      <c r="O1453" s="21"/>
      <c r="P1453" s="21"/>
      <c r="Q1453" s="21"/>
      <c r="R1453" s="21"/>
      <c r="S1453" s="21"/>
      <c r="T1453" s="21"/>
      <c r="U1453" s="27" t="s">
        <v>439</v>
      </c>
      <c r="V1453" s="27" t="s">
        <v>440</v>
      </c>
    </row>
    <row r="1454" ht="14.25" customHeight="1">
      <c r="A1454" s="27" t="s">
        <v>2893</v>
      </c>
      <c r="B1454" s="27" t="s">
        <v>2879</v>
      </c>
      <c r="C1454" s="27" t="str">
        <f t="array" ref="C1454">INDEX(Funciones!$G$2:$G$372,MATCH($A1454,Funciones!$B$2:$B$372,0))</f>
        <v>Abrir el circuito principal en 5 a 10 ms</v>
      </c>
      <c r="D1454" s="27" t="s">
        <v>4969</v>
      </c>
      <c r="E1454" s="27" t="s">
        <v>3881</v>
      </c>
      <c r="F1454" s="27" t="s">
        <v>4970</v>
      </c>
      <c r="G1454" s="27" t="s">
        <v>4971</v>
      </c>
      <c r="H1454" s="18" t="str">
        <f t="array" ref="H1454">_xlfn.XLOOKUP(E:E,'Calificación consecuencia'!B:B,'Calificación consecuencia'!K:K,"No encontrada",2)</f>
        <v>Baja</v>
      </c>
      <c r="I1454" s="27" t="s">
        <v>1800</v>
      </c>
      <c r="J1454" s="29" t="s">
        <v>120</v>
      </c>
      <c r="K1454" s="30" t="s">
        <v>116</v>
      </c>
      <c r="L1454" s="21"/>
      <c r="M1454" s="21"/>
      <c r="N1454" s="21"/>
      <c r="O1454" s="21"/>
      <c r="P1454" s="21"/>
      <c r="Q1454" s="21"/>
      <c r="R1454" s="21"/>
      <c r="S1454" s="21"/>
      <c r="T1454" s="21"/>
      <c r="U1454" s="27" t="s">
        <v>439</v>
      </c>
      <c r="V1454" s="27" t="s">
        <v>440</v>
      </c>
    </row>
    <row r="1455" ht="14.25" customHeight="1">
      <c r="A1455" s="27" t="s">
        <v>2893</v>
      </c>
      <c r="B1455" s="27" t="s">
        <v>2879</v>
      </c>
      <c r="C1455" s="27" t="str">
        <f t="array" ref="C1455">INDEX(Funciones!$G$2:$G$372,MATCH($A1455,Funciones!$B$2:$B$372,0))</f>
        <v>Abrir el circuito principal en 5 a 10 ms</v>
      </c>
      <c r="D1455" s="27" t="s">
        <v>4969</v>
      </c>
      <c r="E1455" s="27" t="s">
        <v>3882</v>
      </c>
      <c r="F1455" s="27" t="s">
        <v>4972</v>
      </c>
      <c r="G1455" s="27" t="s">
        <v>4965</v>
      </c>
      <c r="H1455" s="18" t="str">
        <f t="array" ref="H1455">_xlfn.XLOOKUP(E:E,'Calificación consecuencia'!B:B,'Calificación consecuencia'!K:K,"No encontrada",2)</f>
        <v>Media</v>
      </c>
      <c r="I1455" s="27" t="s">
        <v>1351</v>
      </c>
      <c r="J1455" s="29" t="s">
        <v>120</v>
      </c>
      <c r="K1455" s="30" t="s">
        <v>116</v>
      </c>
      <c r="L1455" s="21"/>
      <c r="M1455" s="21"/>
      <c r="N1455" s="21"/>
      <c r="O1455" s="21"/>
      <c r="P1455" s="21"/>
      <c r="Q1455" s="21"/>
      <c r="R1455" s="21"/>
      <c r="S1455" s="21"/>
      <c r="T1455" s="21"/>
      <c r="U1455" s="27" t="s">
        <v>439</v>
      </c>
      <c r="V1455" s="27" t="s">
        <v>440</v>
      </c>
    </row>
    <row r="1456" ht="14.25" customHeight="1">
      <c r="A1456" s="9" t="s">
        <v>2901</v>
      </c>
      <c r="B1456" s="9" t="s">
        <v>2879</v>
      </c>
      <c r="C1456" s="9" t="str">
        <f t="array" ref="C1456">INDEX(Funciones!$G$2:$G$372,MATCH($A1456,Funciones!$B$2:$B$372,0))</f>
        <v>Cerrar el circuito principal en un máximo de 70 ms</v>
      </c>
      <c r="D1456" s="9" t="s">
        <v>4973</v>
      </c>
      <c r="E1456" s="9" t="s">
        <v>3883</v>
      </c>
      <c r="F1456" s="9" t="s">
        <v>4974</v>
      </c>
      <c r="G1456" s="9" t="s">
        <v>4975</v>
      </c>
      <c r="H1456" s="18" t="str">
        <f t="array" ref="H1456">_xlfn.XLOOKUP(E:E,'Calificación consecuencia'!B:B,'Calificación consecuencia'!K:K,"No encontrada",2)</f>
        <v>Media</v>
      </c>
      <c r="I1456" s="9" t="s">
        <v>113</v>
      </c>
      <c r="J1456" s="20" t="s">
        <v>116</v>
      </c>
      <c r="K1456" s="21"/>
      <c r="L1456" s="21"/>
      <c r="M1456" s="22" t="s">
        <v>120</v>
      </c>
      <c r="N1456" s="21"/>
      <c r="O1456" s="20" t="s">
        <v>116</v>
      </c>
      <c r="P1456" s="20" t="s">
        <v>116</v>
      </c>
      <c r="Q1456" s="21"/>
      <c r="R1456" s="21"/>
      <c r="S1456" s="21"/>
      <c r="T1456" s="21"/>
      <c r="U1456" s="9" t="s">
        <v>345</v>
      </c>
      <c r="V1456" s="9" t="s">
        <v>196</v>
      </c>
    </row>
    <row r="1457" ht="14.25" customHeight="1">
      <c r="A1457" s="9" t="s">
        <v>2901</v>
      </c>
      <c r="B1457" s="9" t="s">
        <v>2879</v>
      </c>
      <c r="C1457" s="9" t="str">
        <f t="array" ref="C1457">INDEX(Funciones!$G$2:$G$372,MATCH($A1457,Funciones!$B$2:$B$372,0))</f>
        <v>Cerrar el circuito principal en un máximo de 70 ms</v>
      </c>
      <c r="D1457" s="9" t="s">
        <v>4973</v>
      </c>
      <c r="E1457" s="9" t="s">
        <v>3880</v>
      </c>
      <c r="F1457" s="9" t="s">
        <v>4976</v>
      </c>
      <c r="G1457" s="9" t="s">
        <v>4977</v>
      </c>
      <c r="H1457" s="18" t="str">
        <f t="array" ref="H1457">_xlfn.XLOOKUP(E:E,'Calificación consecuencia'!B:B,'Calificación consecuencia'!K:K,"No encontrada",2)</f>
        <v>Media</v>
      </c>
      <c r="I1457" s="9" t="s">
        <v>113</v>
      </c>
      <c r="J1457" s="20" t="s">
        <v>116</v>
      </c>
      <c r="K1457" s="21"/>
      <c r="L1457" s="21"/>
      <c r="M1457" s="22" t="s">
        <v>120</v>
      </c>
      <c r="N1457" s="21"/>
      <c r="O1457" s="20" t="s">
        <v>116</v>
      </c>
      <c r="P1457" s="20" t="s">
        <v>116</v>
      </c>
      <c r="Q1457" s="21"/>
      <c r="R1457" s="21"/>
      <c r="S1457" s="21"/>
      <c r="T1457" s="21"/>
      <c r="U1457" s="9" t="s">
        <v>345</v>
      </c>
      <c r="V1457" s="9" t="s">
        <v>196</v>
      </c>
    </row>
    <row r="1458" ht="14.25" customHeight="1">
      <c r="A1458" s="9" t="s">
        <v>2901</v>
      </c>
      <c r="B1458" s="9" t="s">
        <v>2879</v>
      </c>
      <c r="C1458" s="9" t="str">
        <f t="array" ref="C1458">INDEX(Funciones!$G$2:$G$372,MATCH($A1458,Funciones!$B$2:$B$372,0))</f>
        <v>Cerrar el circuito principal en un máximo de 70 ms</v>
      </c>
      <c r="D1458" s="9" t="s">
        <v>4973</v>
      </c>
      <c r="E1458" s="9" t="s">
        <v>3884</v>
      </c>
      <c r="F1458" s="9" t="s">
        <v>4978</v>
      </c>
      <c r="G1458" s="9" t="s">
        <v>4979</v>
      </c>
      <c r="H1458" s="18" t="str">
        <f t="array" ref="H1458">_xlfn.XLOOKUP(E:E,'Calificación consecuencia'!B:B,'Calificación consecuencia'!K:K,"No encontrada",2)</f>
        <v>Media</v>
      </c>
      <c r="I1458" s="9" t="s">
        <v>113</v>
      </c>
      <c r="J1458" s="20" t="s">
        <v>116</v>
      </c>
      <c r="K1458" s="21"/>
      <c r="L1458" s="21"/>
      <c r="M1458" s="22" t="s">
        <v>120</v>
      </c>
      <c r="N1458" s="21"/>
      <c r="O1458" s="20" t="s">
        <v>116</v>
      </c>
      <c r="P1458" s="20" t="s">
        <v>116</v>
      </c>
      <c r="Q1458" s="21"/>
      <c r="R1458" s="21"/>
      <c r="S1458" s="21"/>
      <c r="T1458" s="21"/>
      <c r="U1458" s="9" t="s">
        <v>345</v>
      </c>
      <c r="V1458" s="9" t="s">
        <v>196</v>
      </c>
    </row>
    <row r="1459" ht="14.25" customHeight="1">
      <c r="A1459" s="9" t="s">
        <v>2901</v>
      </c>
      <c r="B1459" s="9" t="s">
        <v>2879</v>
      </c>
      <c r="C1459" s="9" t="str">
        <f t="array" ref="C1459">INDEX(Funciones!$G$2:$G$372,MATCH($A1459,Funciones!$B$2:$B$372,0))</f>
        <v>Cerrar el circuito principal en un máximo de 70 ms</v>
      </c>
      <c r="D1459" s="9" t="s">
        <v>4980</v>
      </c>
      <c r="E1459" s="9" t="s">
        <v>3882</v>
      </c>
      <c r="F1459" s="9" t="s">
        <v>4981</v>
      </c>
      <c r="G1459" s="9" t="s">
        <v>4982</v>
      </c>
      <c r="H1459" s="18" t="str">
        <f t="array" ref="H1459">_xlfn.XLOOKUP(E:E,'Calificación consecuencia'!B:B,'Calificación consecuencia'!K:K,"No encontrada",2)</f>
        <v>Media</v>
      </c>
      <c r="I1459" s="9" t="s">
        <v>339</v>
      </c>
      <c r="J1459" s="20" t="s">
        <v>116</v>
      </c>
      <c r="K1459" s="21"/>
      <c r="L1459" s="21"/>
      <c r="M1459" s="22" t="s">
        <v>120</v>
      </c>
      <c r="N1459" s="21"/>
      <c r="O1459" s="20" t="s">
        <v>116</v>
      </c>
      <c r="P1459" s="20" t="s">
        <v>116</v>
      </c>
      <c r="Q1459" s="21"/>
      <c r="R1459" s="21"/>
      <c r="S1459" s="21"/>
      <c r="T1459" s="21"/>
      <c r="U1459" s="9" t="s">
        <v>345</v>
      </c>
      <c r="V1459" s="9" t="s">
        <v>196</v>
      </c>
    </row>
    <row r="1460" ht="14.25" customHeight="1">
      <c r="A1460" s="27" t="s">
        <v>2911</v>
      </c>
      <c r="B1460" s="27" t="s">
        <v>2910</v>
      </c>
      <c r="C1460" s="27" t="str">
        <f t="array" ref="C1460">INDEX(Funciones!$G$2:$G$372,MATCH($A1460,Funciones!$B$2:$B$372,0))</f>
        <v>Entregar potencia mecánica de 190 kW</v>
      </c>
      <c r="D1460" s="27" t="s">
        <v>4983</v>
      </c>
      <c r="E1460" s="27" t="s">
        <v>3885</v>
      </c>
      <c r="F1460" s="27" t="s">
        <v>4984</v>
      </c>
      <c r="G1460" s="27" t="s">
        <v>4985</v>
      </c>
      <c r="H1460" s="18" t="str">
        <f t="array" ref="H1460">_xlfn.XLOOKUP(E:E,'Calificación consecuencia'!B:B,'Calificación consecuencia'!K:K,"No encontrada",2)</f>
        <v>Media</v>
      </c>
      <c r="I1460" s="27" t="s">
        <v>1427</v>
      </c>
      <c r="J1460" s="30" t="s">
        <v>116</v>
      </c>
      <c r="K1460" s="21"/>
      <c r="L1460" s="21"/>
      <c r="M1460" s="29" t="s">
        <v>120</v>
      </c>
      <c r="N1460" s="21"/>
      <c r="O1460" s="30" t="s">
        <v>116</v>
      </c>
      <c r="P1460" s="30" t="s">
        <v>116</v>
      </c>
      <c r="Q1460" s="21"/>
      <c r="R1460" s="21"/>
      <c r="S1460" s="21"/>
      <c r="T1460" s="21"/>
      <c r="U1460" s="27" t="s">
        <v>345</v>
      </c>
      <c r="V1460" s="27" t="s">
        <v>196</v>
      </c>
    </row>
    <row r="1461" ht="14.25" customHeight="1">
      <c r="A1461" s="27" t="s">
        <v>2911</v>
      </c>
      <c r="B1461" s="27" t="s">
        <v>2910</v>
      </c>
      <c r="C1461" s="27" t="str">
        <f t="array" ref="C1461">INDEX(Funciones!$G$2:$G$372,MATCH($A1461,Funciones!$B$2:$B$372,0))</f>
        <v>Entregar potencia mecánica de 190 kW</v>
      </c>
      <c r="D1461" s="27" t="s">
        <v>4986</v>
      </c>
      <c r="E1461" s="27" t="s">
        <v>3886</v>
      </c>
      <c r="F1461" s="27" t="s">
        <v>4987</v>
      </c>
      <c r="G1461" s="27" t="s">
        <v>4988</v>
      </c>
      <c r="H1461" s="18" t="str">
        <f t="array" ref="H1461">_xlfn.XLOOKUP(E:E,'Calificación consecuencia'!B:B,'Calificación consecuencia'!K:K,"No encontrada",2)</f>
        <v>Media</v>
      </c>
      <c r="I1461" s="27" t="s">
        <v>1449</v>
      </c>
      <c r="J1461" s="30" t="s">
        <v>116</v>
      </c>
      <c r="K1461" s="21"/>
      <c r="L1461" s="21"/>
      <c r="M1461" s="29" t="s">
        <v>120</v>
      </c>
      <c r="N1461" s="21"/>
      <c r="O1461" s="30" t="s">
        <v>116</v>
      </c>
      <c r="P1461" s="30" t="s">
        <v>116</v>
      </c>
      <c r="Q1461" s="21"/>
      <c r="R1461" s="21"/>
      <c r="S1461" s="21"/>
      <c r="T1461" s="21"/>
      <c r="U1461" s="27" t="s">
        <v>345</v>
      </c>
      <c r="V1461" s="27" t="s">
        <v>196</v>
      </c>
    </row>
    <row r="1462" ht="14.25" customHeight="1">
      <c r="A1462" s="27" t="s">
        <v>2911</v>
      </c>
      <c r="B1462" s="27" t="s">
        <v>2910</v>
      </c>
      <c r="C1462" s="27" t="str">
        <f t="array" ref="C1462">INDEX(Funciones!$G$2:$G$372,MATCH($A1462,Funciones!$B$2:$B$372,0))</f>
        <v>Entregar potencia mecánica de 190 kW</v>
      </c>
      <c r="D1462" s="27" t="s">
        <v>4986</v>
      </c>
      <c r="E1462" s="27" t="s">
        <v>3887</v>
      </c>
      <c r="F1462" s="27" t="s">
        <v>4989</v>
      </c>
      <c r="G1462" s="27" t="s">
        <v>4990</v>
      </c>
      <c r="H1462" s="18" t="str">
        <f t="array" ref="H1462">_xlfn.XLOOKUP(E:E,'Calificación consecuencia'!B:B,'Calificación consecuencia'!K:K,"No encontrada",2)</f>
        <v>Baja</v>
      </c>
      <c r="I1462" s="27" t="s">
        <v>339</v>
      </c>
      <c r="J1462" s="30" t="s">
        <v>116</v>
      </c>
      <c r="K1462" s="21"/>
      <c r="L1462" s="21"/>
      <c r="M1462" s="29" t="s">
        <v>120</v>
      </c>
      <c r="N1462" s="21"/>
      <c r="O1462" s="30" t="s">
        <v>116</v>
      </c>
      <c r="P1462" s="30" t="s">
        <v>116</v>
      </c>
      <c r="Q1462" s="21"/>
      <c r="R1462" s="21"/>
      <c r="S1462" s="21"/>
      <c r="T1462" s="21"/>
      <c r="U1462" s="27" t="s">
        <v>345</v>
      </c>
      <c r="V1462" s="27" t="s">
        <v>196</v>
      </c>
    </row>
    <row r="1463" ht="14.25" customHeight="1">
      <c r="A1463" s="9" t="s">
        <v>2924</v>
      </c>
      <c r="B1463" s="9" t="s">
        <v>2923</v>
      </c>
      <c r="C1463" s="9" t="str">
        <f t="array" ref="C1463">INDEX(Funciones!$G$2:$G$372,MATCH($A1463,Funciones!$B$2:$B$372,0))</f>
        <v>Entregar potencia mecánica de _____ kW</v>
      </c>
      <c r="D1463" s="9" t="s">
        <v>4991</v>
      </c>
      <c r="E1463" s="9" t="s">
        <v>1339</v>
      </c>
      <c r="F1463" s="9" t="s">
        <v>3995</v>
      </c>
      <c r="G1463" s="9" t="s">
        <v>3374</v>
      </c>
      <c r="H1463" s="18" t="str">
        <f t="array" ref="H1463">_xlfn.XLOOKUP(E:E,'Calificación consecuencia'!B:B,'Calificación consecuencia'!K:K,"No encontrada",2)</f>
        <v>Media</v>
      </c>
      <c r="I1463" s="9" t="s">
        <v>339</v>
      </c>
      <c r="J1463" s="20" t="s">
        <v>116</v>
      </c>
      <c r="K1463" s="21"/>
      <c r="L1463" s="21"/>
      <c r="M1463" s="22" t="s">
        <v>120</v>
      </c>
      <c r="N1463" s="21"/>
      <c r="O1463" s="20" t="s">
        <v>116</v>
      </c>
      <c r="P1463" s="20" t="s">
        <v>116</v>
      </c>
      <c r="Q1463" s="21"/>
      <c r="R1463" s="21"/>
      <c r="S1463" s="21"/>
      <c r="T1463" s="21"/>
      <c r="U1463" s="9" t="s">
        <v>345</v>
      </c>
      <c r="V1463" s="9" t="s">
        <v>196</v>
      </c>
    </row>
    <row r="1464" ht="14.25" customHeight="1">
      <c r="A1464" s="9" t="s">
        <v>2924</v>
      </c>
      <c r="B1464" s="9" t="s">
        <v>2923</v>
      </c>
      <c r="C1464" s="9" t="str">
        <f t="array" ref="C1464">INDEX(Funciones!$G$2:$G$372,MATCH($A1464,Funciones!$B$2:$B$372,0))</f>
        <v>Entregar potencia mecánica de _____ kW</v>
      </c>
      <c r="D1464" s="9" t="s">
        <v>4991</v>
      </c>
      <c r="E1464" s="9" t="s">
        <v>1786</v>
      </c>
      <c r="F1464" s="9" t="s">
        <v>3996</v>
      </c>
      <c r="G1464" s="9" t="s">
        <v>3378</v>
      </c>
      <c r="H1464" s="18" t="str">
        <f t="array" ref="H1464">_xlfn.XLOOKUP(E:E,'Calificación consecuencia'!B:B,'Calificación consecuencia'!K:K,"No encontrada",2)</f>
        <v>Baja</v>
      </c>
      <c r="I1464" s="9" t="s">
        <v>339</v>
      </c>
      <c r="J1464" s="20" t="s">
        <v>116</v>
      </c>
      <c r="K1464" s="21"/>
      <c r="L1464" s="21"/>
      <c r="M1464" s="22" t="s">
        <v>120</v>
      </c>
      <c r="N1464" s="21"/>
      <c r="O1464" s="20" t="s">
        <v>116</v>
      </c>
      <c r="P1464" s="22" t="s">
        <v>120</v>
      </c>
      <c r="Q1464" s="20" t="s">
        <v>116</v>
      </c>
      <c r="R1464" s="21"/>
      <c r="S1464" s="21"/>
      <c r="T1464" s="21"/>
      <c r="U1464" s="9" t="s">
        <v>785</v>
      </c>
      <c r="V1464" s="9" t="s">
        <v>786</v>
      </c>
    </row>
    <row r="1465" ht="14.25" customHeight="1">
      <c r="A1465" s="9" t="s">
        <v>2924</v>
      </c>
      <c r="B1465" s="9" t="s">
        <v>2923</v>
      </c>
      <c r="C1465" s="9" t="str">
        <f t="array" ref="C1465">INDEX(Funciones!$G$2:$G$372,MATCH($A1465,Funciones!$B$2:$B$372,0))</f>
        <v>Entregar potencia mecánica de _____ kW</v>
      </c>
      <c r="D1465" s="9" t="s">
        <v>4992</v>
      </c>
      <c r="E1465" s="9" t="s">
        <v>1350</v>
      </c>
      <c r="F1465" s="9" t="s">
        <v>3998</v>
      </c>
      <c r="G1465" s="9" t="s">
        <v>3382</v>
      </c>
      <c r="H1465" s="18" t="str">
        <f t="array" ref="H1465">_xlfn.XLOOKUP(E:E,'Calificación consecuencia'!B:B,'Calificación consecuencia'!K:K,"No encontrada",2)</f>
        <v>Baja</v>
      </c>
      <c r="I1465" s="9" t="s">
        <v>2106</v>
      </c>
      <c r="J1465" s="20" t="s">
        <v>116</v>
      </c>
      <c r="K1465" s="21"/>
      <c r="L1465" s="21"/>
      <c r="M1465" s="22" t="s">
        <v>120</v>
      </c>
      <c r="N1465" s="21"/>
      <c r="O1465" s="22" t="s">
        <v>120</v>
      </c>
      <c r="P1465" s="21"/>
      <c r="Q1465" s="21"/>
      <c r="R1465" s="21"/>
      <c r="S1465" s="22" t="s">
        <v>120</v>
      </c>
      <c r="T1465" s="21"/>
      <c r="U1465" s="9" t="s">
        <v>1680</v>
      </c>
      <c r="V1465" s="9" t="s">
        <v>1408</v>
      </c>
    </row>
    <row r="1466" ht="14.25" customHeight="1">
      <c r="A1466" s="9" t="s">
        <v>2924</v>
      </c>
      <c r="B1466" s="9" t="s">
        <v>2923</v>
      </c>
      <c r="C1466" s="9" t="str">
        <f t="array" ref="C1466">INDEX(Funciones!$G$2:$G$372,MATCH($A1466,Funciones!$B$2:$B$372,0))</f>
        <v>Entregar potencia mecánica de _____ kW</v>
      </c>
      <c r="D1466" s="9" t="s">
        <v>4992</v>
      </c>
      <c r="E1466" s="9" t="s">
        <v>1794</v>
      </c>
      <c r="F1466" s="9" t="s">
        <v>3999</v>
      </c>
      <c r="G1466" s="9" t="s">
        <v>3614</v>
      </c>
      <c r="H1466" s="18" t="str">
        <f t="array" ref="H1466">_xlfn.XLOOKUP(E:E,'Calificación consecuencia'!B:B,'Calificación consecuencia'!K:K,"No encontrada",2)</f>
        <v>Baja</v>
      </c>
      <c r="I1466" s="9" t="s">
        <v>1800</v>
      </c>
      <c r="J1466" s="20" t="s">
        <v>116</v>
      </c>
      <c r="K1466" s="21"/>
      <c r="L1466" s="21"/>
      <c r="M1466" s="22" t="s">
        <v>120</v>
      </c>
      <c r="N1466" s="21"/>
      <c r="O1466" s="20" t="s">
        <v>116</v>
      </c>
      <c r="P1466" s="20" t="s">
        <v>116</v>
      </c>
      <c r="Q1466" s="21"/>
      <c r="R1466" s="21"/>
      <c r="S1466" s="21"/>
      <c r="T1466" s="21"/>
      <c r="U1466" s="9" t="s">
        <v>345</v>
      </c>
      <c r="V1466" s="9" t="s">
        <v>196</v>
      </c>
    </row>
    <row r="1467" ht="14.25" customHeight="1">
      <c r="A1467" s="9" t="s">
        <v>2924</v>
      </c>
      <c r="B1467" s="9" t="s">
        <v>2923</v>
      </c>
      <c r="C1467" s="9" t="str">
        <f t="array" ref="C1467">INDEX(Funciones!$G$2:$G$372,MATCH($A1467,Funciones!$B$2:$B$372,0))</f>
        <v>Entregar potencia mecánica de _____ kW</v>
      </c>
      <c r="D1467" s="9" t="s">
        <v>4992</v>
      </c>
      <c r="E1467" s="9" t="s">
        <v>2376</v>
      </c>
      <c r="F1467" s="9" t="s">
        <v>4000</v>
      </c>
      <c r="G1467" s="9" t="s">
        <v>1493</v>
      </c>
      <c r="H1467" s="18" t="str">
        <f t="array" ref="H1467">_xlfn.XLOOKUP(E:E,'Calificación consecuencia'!B:B,'Calificación consecuencia'!K:K,"No encontrada",2)</f>
        <v>Baja</v>
      </c>
      <c r="I1467" s="9" t="s">
        <v>2106</v>
      </c>
      <c r="J1467" s="20" t="s">
        <v>116</v>
      </c>
      <c r="K1467" s="21"/>
      <c r="L1467" s="21"/>
      <c r="M1467" s="22" t="s">
        <v>120</v>
      </c>
      <c r="N1467" s="21"/>
      <c r="O1467" s="22" t="s">
        <v>120</v>
      </c>
      <c r="P1467" s="21"/>
      <c r="Q1467" s="21"/>
      <c r="R1467" s="21"/>
      <c r="S1467" s="22" t="s">
        <v>120</v>
      </c>
      <c r="T1467" s="21"/>
      <c r="U1467" s="9" t="s">
        <v>1680</v>
      </c>
      <c r="V1467" s="9" t="s">
        <v>1408</v>
      </c>
    </row>
    <row r="1468" ht="14.25" customHeight="1">
      <c r="A1468" s="27" t="s">
        <v>2932</v>
      </c>
      <c r="B1468" s="27" t="s">
        <v>2931</v>
      </c>
      <c r="C1468" s="27" t="str">
        <f t="array" ref="C1468">INDEX(Funciones!$G$2:$G$372,MATCH($A1468,Funciones!$B$2:$B$372,0))</f>
        <v>Alimentar el motor de tracción de _____ a _____ V CA</v>
      </c>
      <c r="D1468" s="27" t="s">
        <v>4993</v>
      </c>
      <c r="E1468" s="27" t="s">
        <v>3888</v>
      </c>
      <c r="F1468" s="27" t="s">
        <v>4994</v>
      </c>
      <c r="G1468" s="27" t="s">
        <v>4995</v>
      </c>
      <c r="H1468" s="18" t="str">
        <f t="array" ref="H1468">_xlfn.XLOOKUP(E:E,'Calificación consecuencia'!B:B,'Calificación consecuencia'!K:K,"No encontrada",2)</f>
        <v>Media</v>
      </c>
      <c r="I1468" s="27" t="s">
        <v>113</v>
      </c>
      <c r="J1468" s="30" t="s">
        <v>116</v>
      </c>
      <c r="K1468" s="21"/>
      <c r="L1468" s="21"/>
      <c r="M1468" s="29" t="s">
        <v>120</v>
      </c>
      <c r="N1468" s="21"/>
      <c r="O1468" s="30" t="s">
        <v>116</v>
      </c>
      <c r="P1468" s="30" t="s">
        <v>116</v>
      </c>
      <c r="Q1468" s="21"/>
      <c r="R1468" s="21"/>
      <c r="S1468" s="21"/>
      <c r="T1468" s="21"/>
      <c r="U1468" s="27" t="s">
        <v>345</v>
      </c>
      <c r="V1468" s="27" t="s">
        <v>196</v>
      </c>
    </row>
    <row r="1469" ht="14.25" customHeight="1">
      <c r="A1469" s="27" t="s">
        <v>2932</v>
      </c>
      <c r="B1469" s="27" t="s">
        <v>2931</v>
      </c>
      <c r="C1469" s="27" t="str">
        <f t="array" ref="C1469">INDEX(Funciones!$G$2:$G$372,MATCH($A1469,Funciones!$B$2:$B$372,0))</f>
        <v>Alimentar el motor de tracción de _____ a _____ V CA</v>
      </c>
      <c r="D1469" s="27" t="s">
        <v>4993</v>
      </c>
      <c r="E1469" s="27" t="s">
        <v>3889</v>
      </c>
      <c r="F1469" s="27" t="s">
        <v>4996</v>
      </c>
      <c r="G1469" s="27" t="s">
        <v>4997</v>
      </c>
      <c r="H1469" s="18" t="str">
        <f t="array" ref="H1469">_xlfn.XLOOKUP(E:E,'Calificación consecuencia'!B:B,'Calificación consecuencia'!K:K,"No encontrada",2)</f>
        <v>Baja</v>
      </c>
      <c r="I1469" s="27" t="s">
        <v>113</v>
      </c>
      <c r="J1469" s="30" t="s">
        <v>116</v>
      </c>
      <c r="K1469" s="21"/>
      <c r="L1469" s="21"/>
      <c r="M1469" s="29" t="s">
        <v>120</v>
      </c>
      <c r="N1469" s="21"/>
      <c r="O1469" s="30" t="s">
        <v>116</v>
      </c>
      <c r="P1469" s="30" t="s">
        <v>116</v>
      </c>
      <c r="Q1469" s="21"/>
      <c r="R1469" s="21"/>
      <c r="S1469" s="21"/>
      <c r="T1469" s="21"/>
      <c r="U1469" s="27" t="s">
        <v>345</v>
      </c>
      <c r="V1469" s="27" t="s">
        <v>196</v>
      </c>
    </row>
    <row r="1470" ht="14.25" customHeight="1">
      <c r="A1470" s="27" t="s">
        <v>2932</v>
      </c>
      <c r="B1470" s="27" t="s">
        <v>2931</v>
      </c>
      <c r="C1470" s="27" t="str">
        <f t="array" ref="C1470">INDEX(Funciones!$G$2:$G$372,MATCH($A1470,Funciones!$B$2:$B$372,0))</f>
        <v>Alimentar el motor de tracción de _____ a _____ V CA</v>
      </c>
      <c r="D1470" s="27" t="s">
        <v>4998</v>
      </c>
      <c r="E1470" s="27" t="s">
        <v>3872</v>
      </c>
      <c r="F1470" s="27" t="s">
        <v>4999</v>
      </c>
      <c r="G1470" s="27" t="s">
        <v>4947</v>
      </c>
      <c r="H1470" s="18" t="str">
        <f t="array" ref="H1470">_xlfn.XLOOKUP(E:E,'Calificación consecuencia'!B:B,'Calificación consecuencia'!K:K,"No encontrada",2)</f>
        <v>Baja</v>
      </c>
      <c r="I1470" s="27" t="s">
        <v>339</v>
      </c>
      <c r="J1470" s="30" t="s">
        <v>116</v>
      </c>
      <c r="K1470" s="21"/>
      <c r="L1470" s="21"/>
      <c r="M1470" s="29" t="s">
        <v>120</v>
      </c>
      <c r="N1470" s="21"/>
      <c r="O1470" s="30" t="s">
        <v>116</v>
      </c>
      <c r="P1470" s="30" t="s">
        <v>116</v>
      </c>
      <c r="Q1470" s="21"/>
      <c r="R1470" s="21"/>
      <c r="S1470" s="21"/>
      <c r="T1470" s="21"/>
      <c r="U1470" s="27" t="s">
        <v>345</v>
      </c>
      <c r="V1470" s="27" t="s">
        <v>196</v>
      </c>
    </row>
    <row r="1471" ht="14.25" customHeight="1">
      <c r="A1471" s="9" t="s">
        <v>2943</v>
      </c>
      <c r="B1471" s="9" t="s">
        <v>2931</v>
      </c>
      <c r="C1471" s="9" t="str">
        <f t="array" ref="C1471">INDEX(Funciones!$G$2:$G$372,MATCH($A1471,Funciones!$B$2:$B$372,0))</f>
        <v>Variar la frecuencia del motor de _____ a _____ Hz</v>
      </c>
      <c r="D1471" s="9" t="s">
        <v>5000</v>
      </c>
      <c r="E1471" s="9" t="s">
        <v>3891</v>
      </c>
      <c r="F1471" s="9" t="s">
        <v>5001</v>
      </c>
      <c r="G1471" s="9" t="s">
        <v>5002</v>
      </c>
      <c r="H1471" s="18" t="str">
        <f t="array" ref="H1471">_xlfn.XLOOKUP(E:E,'Calificación consecuencia'!B:B,'Calificación consecuencia'!K:K,"No encontrada",2)</f>
        <v>Baja</v>
      </c>
      <c r="I1471" s="9" t="s">
        <v>113</v>
      </c>
      <c r="J1471" s="20" t="s">
        <v>116</v>
      </c>
      <c r="K1471" s="21"/>
      <c r="L1471" s="21"/>
      <c r="M1471" s="22" t="s">
        <v>120</v>
      </c>
      <c r="N1471" s="21"/>
      <c r="O1471" s="20" t="s">
        <v>116</v>
      </c>
      <c r="P1471" s="22" t="s">
        <v>120</v>
      </c>
      <c r="Q1471" s="22" t="s">
        <v>120</v>
      </c>
      <c r="R1471" s="22" t="s">
        <v>120</v>
      </c>
      <c r="S1471" s="21"/>
      <c r="T1471" s="21"/>
      <c r="U1471" s="9" t="s">
        <v>230</v>
      </c>
      <c r="V1471" s="9" t="s">
        <v>230</v>
      </c>
    </row>
    <row r="1472" ht="14.25" customHeight="1">
      <c r="A1472" s="9" t="s">
        <v>2943</v>
      </c>
      <c r="B1472" s="9" t="s">
        <v>2931</v>
      </c>
      <c r="C1472" s="9" t="str">
        <f t="array" ref="C1472">INDEX(Funciones!$G$2:$G$372,MATCH($A1472,Funciones!$B$2:$B$372,0))</f>
        <v>Variar la frecuencia del motor de _____ a _____ Hz</v>
      </c>
      <c r="D1472" s="9" t="s">
        <v>5003</v>
      </c>
      <c r="E1472" s="9" t="s">
        <v>3874</v>
      </c>
      <c r="F1472" s="9" t="s">
        <v>5004</v>
      </c>
      <c r="G1472" s="9" t="s">
        <v>4953</v>
      </c>
      <c r="H1472" s="18" t="str">
        <f t="array" ref="H1472">_xlfn.XLOOKUP(E:E,'Calificación consecuencia'!B:B,'Calificación consecuencia'!K:K,"No encontrada",2)</f>
        <v>Baja</v>
      </c>
      <c r="I1472" s="9" t="s">
        <v>339</v>
      </c>
      <c r="J1472" s="20" t="s">
        <v>116</v>
      </c>
      <c r="K1472" s="21"/>
      <c r="L1472" s="21"/>
      <c r="M1472" s="22" t="s">
        <v>120</v>
      </c>
      <c r="N1472" s="21"/>
      <c r="O1472" s="20" t="s">
        <v>116</v>
      </c>
      <c r="P1472" s="20" t="s">
        <v>116</v>
      </c>
      <c r="Q1472" s="21"/>
      <c r="R1472" s="21"/>
      <c r="S1472" s="21"/>
      <c r="T1472" s="21"/>
      <c r="U1472" s="9" t="s">
        <v>345</v>
      </c>
      <c r="V1472" s="9" t="s">
        <v>196</v>
      </c>
    </row>
    <row r="1473" ht="14.25" customHeight="1">
      <c r="A1473" s="9" t="s">
        <v>2943</v>
      </c>
      <c r="B1473" s="9" t="s">
        <v>2931</v>
      </c>
      <c r="C1473" s="9" t="str">
        <f t="array" ref="C1473">INDEX(Funciones!$G$2:$G$372,MATCH($A1473,Funciones!$B$2:$B$372,0))</f>
        <v>Variar la frecuencia del motor de _____ a _____ Hz</v>
      </c>
      <c r="D1473" s="9" t="s">
        <v>5003</v>
      </c>
      <c r="E1473" s="9" t="s">
        <v>3875</v>
      </c>
      <c r="F1473" s="9" t="s">
        <v>5005</v>
      </c>
      <c r="G1473" s="9" t="s">
        <v>4955</v>
      </c>
      <c r="H1473" s="18" t="str">
        <f t="array" ref="H1473">_xlfn.XLOOKUP(E:E,'Calificación consecuencia'!B:B,'Calificación consecuencia'!K:K,"No encontrada",2)</f>
        <v>Media</v>
      </c>
      <c r="I1473" s="9" t="s">
        <v>339</v>
      </c>
      <c r="J1473" s="20" t="s">
        <v>116</v>
      </c>
      <c r="K1473" s="21"/>
      <c r="L1473" s="21"/>
      <c r="M1473" s="22" t="s">
        <v>120</v>
      </c>
      <c r="N1473" s="21"/>
      <c r="O1473" s="20" t="s">
        <v>116</v>
      </c>
      <c r="P1473" s="20" t="s">
        <v>116</v>
      </c>
      <c r="Q1473" s="21"/>
      <c r="R1473" s="21"/>
      <c r="S1473" s="21"/>
      <c r="T1473" s="21"/>
      <c r="U1473" s="9" t="s">
        <v>345</v>
      </c>
      <c r="V1473" s="9" t="s">
        <v>196</v>
      </c>
    </row>
    <row r="1474" ht="14.25" customHeight="1">
      <c r="A1474" s="27" t="s">
        <v>2947</v>
      </c>
      <c r="B1474" s="27" t="s">
        <v>2946</v>
      </c>
      <c r="C1474" s="27" t="str">
        <f t="array" ref="C1474">INDEX(Funciones!$G$2:$G$372,MATCH($A1474,Funciones!$B$2:$B$372,0))</f>
        <v>Refrigerar el equipo de tracción con caudal de _____ m³/h</v>
      </c>
      <c r="D1474" s="27" t="s">
        <v>5006</v>
      </c>
      <c r="E1474" s="27" t="s">
        <v>3894</v>
      </c>
      <c r="F1474" s="27" t="s">
        <v>5007</v>
      </c>
      <c r="G1474" s="27" t="s">
        <v>5008</v>
      </c>
      <c r="H1474" s="18" t="str">
        <f t="array" ref="H1474">_xlfn.XLOOKUP(E:E,'Calificación consecuencia'!B:B,'Calificación consecuencia'!K:K,"No encontrada",2)</f>
        <v>Media</v>
      </c>
      <c r="I1474" s="27" t="s">
        <v>4588</v>
      </c>
      <c r="J1474" s="29" t="s">
        <v>120</v>
      </c>
      <c r="K1474" s="30" t="s">
        <v>116</v>
      </c>
      <c r="L1474" s="21"/>
      <c r="M1474" s="21"/>
      <c r="N1474" s="21"/>
      <c r="O1474" s="21"/>
      <c r="P1474" s="21"/>
      <c r="Q1474" s="21"/>
      <c r="R1474" s="21"/>
      <c r="S1474" s="21"/>
      <c r="T1474" s="21"/>
      <c r="U1474" s="27" t="s">
        <v>439</v>
      </c>
      <c r="V1474" s="27" t="s">
        <v>440</v>
      </c>
    </row>
    <row r="1475" ht="14.25" customHeight="1">
      <c r="A1475" s="27" t="s">
        <v>2947</v>
      </c>
      <c r="B1475" s="27" t="s">
        <v>2946</v>
      </c>
      <c r="C1475" s="27" t="str">
        <f t="array" ref="C1475">INDEX(Funciones!$G$2:$G$372,MATCH($A1475,Funciones!$B$2:$B$372,0))</f>
        <v>Refrigerar el equipo de tracción con caudal de _____ m³/h</v>
      </c>
      <c r="D1475" s="27" t="s">
        <v>5006</v>
      </c>
      <c r="E1475" s="27" t="s">
        <v>3895</v>
      </c>
      <c r="F1475" s="27" t="s">
        <v>5009</v>
      </c>
      <c r="G1475" s="27" t="s">
        <v>5010</v>
      </c>
      <c r="H1475" s="18" t="str">
        <f t="array" ref="H1475">_xlfn.XLOOKUP(E:E,'Calificación consecuencia'!B:B,'Calificación consecuencia'!K:K,"No encontrada",2)</f>
        <v>Baja</v>
      </c>
      <c r="I1475" s="27" t="s">
        <v>4588</v>
      </c>
      <c r="J1475" s="29" t="s">
        <v>120</v>
      </c>
      <c r="K1475" s="30" t="s">
        <v>116</v>
      </c>
      <c r="L1475" s="21"/>
      <c r="M1475" s="21"/>
      <c r="N1475" s="21"/>
      <c r="O1475" s="21"/>
      <c r="P1475" s="21"/>
      <c r="Q1475" s="21"/>
      <c r="R1475" s="21"/>
      <c r="S1475" s="21"/>
      <c r="T1475" s="21"/>
      <c r="U1475" s="27" t="s">
        <v>439</v>
      </c>
      <c r="V1475" s="27" t="s">
        <v>440</v>
      </c>
    </row>
    <row r="1476" ht="14.25" customHeight="1">
      <c r="A1476" s="27" t="s">
        <v>2947</v>
      </c>
      <c r="B1476" s="27" t="s">
        <v>2946</v>
      </c>
      <c r="C1476" s="27" t="str">
        <f t="array" ref="C1476">INDEX(Funciones!$G$2:$G$372,MATCH($A1476,Funciones!$B$2:$B$372,0))</f>
        <v>Refrigerar el equipo de tracción con caudal de _____ m³/h</v>
      </c>
      <c r="D1476" s="27" t="s">
        <v>5011</v>
      </c>
      <c r="E1476" s="27" t="s">
        <v>3896</v>
      </c>
      <c r="F1476" s="27" t="s">
        <v>5012</v>
      </c>
      <c r="G1476" s="27" t="s">
        <v>5013</v>
      </c>
      <c r="H1476" s="18" t="str">
        <f t="array" ref="H1476">_xlfn.XLOOKUP(E:E,'Calificación consecuencia'!B:B,'Calificación consecuencia'!K:K,"No encontrada",2)</f>
        <v>Media</v>
      </c>
      <c r="I1476" s="27" t="s">
        <v>425</v>
      </c>
      <c r="J1476" s="29" t="s">
        <v>120</v>
      </c>
      <c r="K1476" s="30" t="s">
        <v>116</v>
      </c>
      <c r="L1476" s="21"/>
      <c r="M1476" s="21"/>
      <c r="N1476" s="21"/>
      <c r="O1476" s="21"/>
      <c r="P1476" s="21"/>
      <c r="Q1476" s="21"/>
      <c r="R1476" s="21"/>
      <c r="S1476" s="21"/>
      <c r="T1476" s="21"/>
      <c r="U1476" s="27" t="s">
        <v>439</v>
      </c>
      <c r="V1476" s="27" t="s">
        <v>440</v>
      </c>
    </row>
    <row r="1477" ht="14.25" customHeight="1">
      <c r="A1477" s="27" t="s">
        <v>2947</v>
      </c>
      <c r="B1477" s="27" t="s">
        <v>2946</v>
      </c>
      <c r="C1477" s="27" t="str">
        <f t="array" ref="C1477">INDEX(Funciones!$G$2:$G$372,MATCH($A1477,Funciones!$B$2:$B$372,0))</f>
        <v>Refrigerar el equipo de tracción con caudal de _____ m³/h</v>
      </c>
      <c r="D1477" s="27" t="s">
        <v>5011</v>
      </c>
      <c r="E1477" s="27" t="s">
        <v>3897</v>
      </c>
      <c r="F1477" s="27" t="s">
        <v>5014</v>
      </c>
      <c r="G1477" s="27" t="s">
        <v>5015</v>
      </c>
      <c r="H1477" s="18" t="str">
        <f t="array" ref="H1477">_xlfn.XLOOKUP(E:E,'Calificación consecuencia'!B:B,'Calificación consecuencia'!K:K,"No encontrada",2)</f>
        <v>Media</v>
      </c>
      <c r="I1477" s="27" t="s">
        <v>1351</v>
      </c>
      <c r="J1477" s="29" t="s">
        <v>120</v>
      </c>
      <c r="K1477" s="30" t="s">
        <v>116</v>
      </c>
      <c r="L1477" s="21"/>
      <c r="M1477" s="21"/>
      <c r="N1477" s="21"/>
      <c r="O1477" s="21"/>
      <c r="P1477" s="21"/>
      <c r="Q1477" s="21"/>
      <c r="R1477" s="21"/>
      <c r="S1477" s="21"/>
      <c r="T1477" s="21"/>
      <c r="U1477" s="27" t="s">
        <v>439</v>
      </c>
      <c r="V1477" s="27" t="s">
        <v>440</v>
      </c>
    </row>
    <row r="1478" ht="14.25" customHeight="1">
      <c r="A1478" s="9" t="s">
        <v>2965</v>
      </c>
      <c r="B1478" s="9" t="s">
        <v>2964</v>
      </c>
      <c r="C1478" s="9" t="str">
        <f t="array" ref="C1478">INDEX(Funciones!$G$2:$G$372,MATCH($A1478,Funciones!$B$2:$B$372,0))</f>
        <v>Renovar el aire del salón con caudal de _____ m³/h por pasajero</v>
      </c>
      <c r="D1478" s="9" t="s">
        <v>5016</v>
      </c>
      <c r="E1478" s="9" t="s">
        <v>3900</v>
      </c>
      <c r="F1478" s="9" t="s">
        <v>5017</v>
      </c>
      <c r="G1478" s="9" t="s">
        <v>5018</v>
      </c>
      <c r="H1478" s="18" t="str">
        <f t="array" ref="H1478">_xlfn.XLOOKUP(E:E,'Calificación consecuencia'!B:B,'Calificación consecuencia'!K:K,"No encontrada",2)</f>
        <v>Baja</v>
      </c>
      <c r="I1478" s="9" t="s">
        <v>1800</v>
      </c>
      <c r="J1478" s="20" t="s">
        <v>116</v>
      </c>
      <c r="K1478" s="21"/>
      <c r="L1478" s="21"/>
      <c r="M1478" s="22" t="s">
        <v>120</v>
      </c>
      <c r="N1478" s="21"/>
      <c r="O1478" s="20" t="s">
        <v>116</v>
      </c>
      <c r="P1478" s="20" t="s">
        <v>116</v>
      </c>
      <c r="Q1478" s="21"/>
      <c r="R1478" s="21"/>
      <c r="S1478" s="21"/>
      <c r="T1478" s="21"/>
      <c r="U1478" s="9" t="s">
        <v>345</v>
      </c>
      <c r="V1478" s="9" t="s">
        <v>196</v>
      </c>
    </row>
    <row r="1479" ht="14.25" customHeight="1">
      <c r="A1479" s="9" t="s">
        <v>2965</v>
      </c>
      <c r="B1479" s="9" t="s">
        <v>2964</v>
      </c>
      <c r="C1479" s="9" t="str">
        <f t="array" ref="C1479">INDEX(Funciones!$G$2:$G$372,MATCH($A1479,Funciones!$B$2:$B$372,0))</f>
        <v>Renovar el aire del salón con caudal de _____ m³/h por pasajero</v>
      </c>
      <c r="D1479" s="9" t="s">
        <v>5019</v>
      </c>
      <c r="E1479" s="9" t="s">
        <v>3901</v>
      </c>
      <c r="F1479" s="9" t="s">
        <v>5020</v>
      </c>
      <c r="G1479" s="9" t="s">
        <v>5021</v>
      </c>
      <c r="H1479" s="18" t="str">
        <f t="array" ref="H1479">_xlfn.XLOOKUP(E:E,'Calificación consecuencia'!B:B,'Calificación consecuencia'!K:K,"No encontrada",2)</f>
        <v>Baja</v>
      </c>
      <c r="I1479" s="9" t="s">
        <v>2106</v>
      </c>
      <c r="J1479" s="20" t="s">
        <v>116</v>
      </c>
      <c r="K1479" s="21"/>
      <c r="L1479" s="21"/>
      <c r="M1479" s="22" t="s">
        <v>120</v>
      </c>
      <c r="N1479" s="21"/>
      <c r="O1479" s="22" t="s">
        <v>120</v>
      </c>
      <c r="P1479" s="21"/>
      <c r="Q1479" s="21"/>
      <c r="R1479" s="21"/>
      <c r="S1479" s="22" t="s">
        <v>120</v>
      </c>
      <c r="T1479" s="21"/>
      <c r="U1479" s="9" t="s">
        <v>1680</v>
      </c>
      <c r="V1479" s="9" t="s">
        <v>1408</v>
      </c>
    </row>
    <row r="1480" ht="14.25" customHeight="1">
      <c r="A1480" s="9" t="s">
        <v>2965</v>
      </c>
      <c r="B1480" s="9" t="s">
        <v>2964</v>
      </c>
      <c r="C1480" s="9" t="str">
        <f t="array" ref="C1480">INDEX(Funciones!$G$2:$G$372,MATCH($A1480,Funciones!$B$2:$B$372,0))</f>
        <v>Renovar el aire del salón con caudal de _____ m³/h por pasajero</v>
      </c>
      <c r="D1480" s="9" t="s">
        <v>5019</v>
      </c>
      <c r="E1480" s="9" t="s">
        <v>3903</v>
      </c>
      <c r="F1480" s="9" t="s">
        <v>5022</v>
      </c>
      <c r="G1480" s="9" t="s">
        <v>5023</v>
      </c>
      <c r="H1480" s="18" t="str">
        <f t="array" ref="H1480">_xlfn.XLOOKUP(E:E,'Calificación consecuencia'!B:B,'Calificación consecuencia'!K:K,"No encontrada",2)</f>
        <v>Media</v>
      </c>
      <c r="I1480" s="9" t="s">
        <v>1800</v>
      </c>
      <c r="J1480" s="20" t="s">
        <v>116</v>
      </c>
      <c r="K1480" s="21"/>
      <c r="L1480" s="21"/>
      <c r="M1480" s="22" t="s">
        <v>120</v>
      </c>
      <c r="N1480" s="21"/>
      <c r="O1480" s="22" t="s">
        <v>120</v>
      </c>
      <c r="P1480" s="21"/>
      <c r="Q1480" s="21"/>
      <c r="R1480" s="21"/>
      <c r="S1480" s="20" t="s">
        <v>116</v>
      </c>
      <c r="T1480" s="20" t="s">
        <v>116</v>
      </c>
      <c r="U1480" s="9" t="s">
        <v>3471</v>
      </c>
      <c r="V1480" s="9" t="s">
        <v>196</v>
      </c>
    </row>
    <row r="1481" ht="14.25" customHeight="1">
      <c r="A1481" s="27" t="s">
        <v>2977</v>
      </c>
      <c r="B1481" s="27" t="s">
        <v>2976</v>
      </c>
      <c r="C1481" s="27" t="str">
        <f t="array" ref="C1481">INDEX(Funciones!$G$2:$G$372,MATCH($A1481,Funciones!$B$2:$B$372,0))</f>
        <v>Soportar el coche elevado hasta _____ t</v>
      </c>
      <c r="D1481" s="27" t="s">
        <v>5024</v>
      </c>
      <c r="E1481" s="27" t="s">
        <v>3904</v>
      </c>
      <c r="F1481" s="27" t="s">
        <v>5025</v>
      </c>
      <c r="G1481" s="27" t="s">
        <v>5026</v>
      </c>
      <c r="H1481" s="18" t="str">
        <f t="array" ref="H1481">_xlfn.XLOOKUP(E:E,'Calificación consecuencia'!B:B,'Calificación consecuencia'!K:K,"No encontrada",2)</f>
        <v>Baja</v>
      </c>
      <c r="I1481" s="27" t="s">
        <v>425</v>
      </c>
      <c r="J1481" s="29" t="s">
        <v>120</v>
      </c>
      <c r="K1481" s="30" t="s">
        <v>116</v>
      </c>
      <c r="L1481" s="21"/>
      <c r="M1481" s="21"/>
      <c r="N1481" s="21"/>
      <c r="O1481" s="21"/>
      <c r="P1481" s="21"/>
      <c r="Q1481" s="21"/>
      <c r="R1481" s="21"/>
      <c r="S1481" s="21"/>
      <c r="T1481" s="21"/>
      <c r="U1481" s="27" t="s">
        <v>439</v>
      </c>
      <c r="V1481" s="27" t="s">
        <v>440</v>
      </c>
    </row>
    <row r="1482" ht="14.25" customHeight="1">
      <c r="A1482" s="27" t="s">
        <v>2977</v>
      </c>
      <c r="B1482" s="27" t="s">
        <v>2976</v>
      </c>
      <c r="C1482" s="27" t="str">
        <f t="array" ref="C1482">INDEX(Funciones!$G$2:$G$372,MATCH($A1482,Funciones!$B$2:$B$372,0))</f>
        <v>Soportar el coche elevado hasta _____ t</v>
      </c>
      <c r="D1482" s="27" t="s">
        <v>5027</v>
      </c>
      <c r="E1482" s="27" t="s">
        <v>3905</v>
      </c>
      <c r="F1482" s="27" t="s">
        <v>5028</v>
      </c>
      <c r="G1482" s="27" t="s">
        <v>5029</v>
      </c>
      <c r="H1482" s="18" t="str">
        <f t="array" ref="H1482">_xlfn.XLOOKUP(E:E,'Calificación consecuencia'!B:B,'Calificación consecuencia'!K:K,"No encontrada",2)</f>
        <v>Baja</v>
      </c>
      <c r="I1482" s="27" t="s">
        <v>425</v>
      </c>
      <c r="J1482" s="29" t="s">
        <v>120</v>
      </c>
      <c r="K1482" s="30" t="s">
        <v>116</v>
      </c>
      <c r="L1482" s="21"/>
      <c r="M1482" s="21"/>
      <c r="N1482" s="21"/>
      <c r="O1482" s="21"/>
      <c r="P1482" s="21"/>
      <c r="Q1482" s="21"/>
      <c r="R1482" s="21"/>
      <c r="S1482" s="21"/>
      <c r="T1482" s="21"/>
      <c r="U1482" s="27" t="s">
        <v>439</v>
      </c>
      <c r="V1482" s="27" t="s">
        <v>440</v>
      </c>
    </row>
    <row r="1483" ht="14.25" customHeight="1">
      <c r="A1483" s="9" t="s">
        <v>2987</v>
      </c>
      <c r="B1483" s="9" t="s">
        <v>2986</v>
      </c>
      <c r="C1483" s="9" t="str">
        <f t="array" ref="C1483">INDEX(Funciones!$G$2:$G$372,MATCH($A1483,Funciones!$B$2:$B$372,0))</f>
        <v>Elevar los coches del tren hasta _____ t por punto de elevación</v>
      </c>
      <c r="D1483" s="9" t="s">
        <v>5030</v>
      </c>
      <c r="E1483" s="9" t="s">
        <v>3908</v>
      </c>
      <c r="F1483" s="9" t="s">
        <v>5031</v>
      </c>
      <c r="G1483" s="9" t="s">
        <v>5032</v>
      </c>
      <c r="H1483" s="18" t="str">
        <f t="array" ref="H1483">_xlfn.XLOOKUP(E:E,'Calificación consecuencia'!B:B,'Calificación consecuencia'!K:K,"No encontrada",2)</f>
        <v>Media</v>
      </c>
      <c r="I1483" s="9" t="s">
        <v>425</v>
      </c>
      <c r="J1483" s="20" t="s">
        <v>116</v>
      </c>
      <c r="K1483" s="21"/>
      <c r="L1483" s="21"/>
      <c r="M1483" s="20" t="s">
        <v>116</v>
      </c>
      <c r="N1483" s="20" t="s">
        <v>116</v>
      </c>
      <c r="O1483" s="21"/>
      <c r="P1483" s="21"/>
      <c r="Q1483" s="21"/>
      <c r="R1483" s="21"/>
      <c r="S1483" s="21"/>
      <c r="T1483" s="21"/>
      <c r="U1483" s="9" t="s">
        <v>195</v>
      </c>
      <c r="V1483" s="9" t="s">
        <v>196</v>
      </c>
    </row>
    <row r="1484" ht="14.25" customHeight="1">
      <c r="A1484" s="9" t="s">
        <v>2987</v>
      </c>
      <c r="B1484" s="9" t="s">
        <v>2986</v>
      </c>
      <c r="C1484" s="9" t="str">
        <f t="array" ref="C1484">INDEX(Funciones!$G$2:$G$372,MATCH($A1484,Funciones!$B$2:$B$372,0))</f>
        <v>Elevar los coches del tren hasta _____ t por punto de elevación</v>
      </c>
      <c r="D1484" s="9" t="s">
        <v>5030</v>
      </c>
      <c r="E1484" s="9" t="s">
        <v>3910</v>
      </c>
      <c r="F1484" s="9" t="s">
        <v>5033</v>
      </c>
      <c r="G1484" s="9" t="s">
        <v>5034</v>
      </c>
      <c r="H1484" s="18" t="str">
        <f t="array" ref="H1484">_xlfn.XLOOKUP(E:E,'Calificación consecuencia'!B:B,'Calificación consecuencia'!K:K,"No encontrada",2)</f>
        <v>Media</v>
      </c>
      <c r="I1484" s="9" t="s">
        <v>425</v>
      </c>
      <c r="J1484" s="20" t="s">
        <v>116</v>
      </c>
      <c r="K1484" s="21"/>
      <c r="L1484" s="21"/>
      <c r="M1484" s="20" t="s">
        <v>116</v>
      </c>
      <c r="N1484" s="20" t="s">
        <v>116</v>
      </c>
      <c r="O1484" s="21"/>
      <c r="P1484" s="21"/>
      <c r="Q1484" s="21"/>
      <c r="R1484" s="21"/>
      <c r="S1484" s="21"/>
      <c r="T1484" s="21"/>
      <c r="U1484" s="9" t="s">
        <v>195</v>
      </c>
      <c r="V1484" s="9" t="s">
        <v>196</v>
      </c>
    </row>
    <row r="1485" ht="14.25" customHeight="1">
      <c r="A1485" s="9" t="s">
        <v>2987</v>
      </c>
      <c r="B1485" s="9" t="s">
        <v>2986</v>
      </c>
      <c r="C1485" s="9" t="str">
        <f t="array" ref="C1485">INDEX(Funciones!$G$2:$G$372,MATCH($A1485,Funciones!$B$2:$B$372,0))</f>
        <v>Elevar los coches del tren hasta _____ t por punto de elevación</v>
      </c>
      <c r="D1485" s="9" t="s">
        <v>5035</v>
      </c>
      <c r="E1485" s="9" t="s">
        <v>3911</v>
      </c>
      <c r="F1485" s="9" t="s">
        <v>5036</v>
      </c>
      <c r="G1485" s="9" t="s">
        <v>5037</v>
      </c>
      <c r="H1485" s="18" t="str">
        <f t="array" ref="H1485">_xlfn.XLOOKUP(E:E,'Calificación consecuencia'!B:B,'Calificación consecuencia'!K:K,"No encontrada",2)</f>
        <v>Media</v>
      </c>
      <c r="I1485" s="9" t="s">
        <v>425</v>
      </c>
      <c r="J1485" s="20" t="s">
        <v>116</v>
      </c>
      <c r="K1485" s="21"/>
      <c r="L1485" s="21"/>
      <c r="M1485" s="20" t="s">
        <v>116</v>
      </c>
      <c r="N1485" s="20" t="s">
        <v>116</v>
      </c>
      <c r="O1485" s="21"/>
      <c r="P1485" s="21"/>
      <c r="Q1485" s="21"/>
      <c r="R1485" s="21"/>
      <c r="S1485" s="21"/>
      <c r="T1485" s="21"/>
      <c r="U1485" s="9" t="s">
        <v>195</v>
      </c>
      <c r="V1485" s="9" t="s">
        <v>196</v>
      </c>
    </row>
    <row r="1486" ht="14.25" customHeight="1">
      <c r="A1486" s="27" t="s">
        <v>3000</v>
      </c>
      <c r="B1486" s="27" t="s">
        <v>2986</v>
      </c>
      <c r="C1486" s="27" t="str">
        <f t="array" ref="C1486">INDEX(Funciones!$G$2:$G$372,MATCH($A1486,Funciones!$B$2:$B$372,0))</f>
        <v>Sincronizar la elevación con desnivel máximo de _____ mm</v>
      </c>
      <c r="D1486" s="27" t="s">
        <v>5038</v>
      </c>
      <c r="E1486" s="27" t="s">
        <v>3912</v>
      </c>
      <c r="F1486" s="27" t="s">
        <v>5039</v>
      </c>
      <c r="G1486" s="27" t="s">
        <v>5040</v>
      </c>
      <c r="H1486" s="18" t="str">
        <f t="array" ref="H1486">_xlfn.XLOOKUP(E:E,'Calificación consecuencia'!B:B,'Calificación consecuencia'!K:K,"No encontrada",2)</f>
        <v>Baja</v>
      </c>
      <c r="I1486" s="27" t="s">
        <v>425</v>
      </c>
      <c r="J1486" s="29" t="s">
        <v>120</v>
      </c>
      <c r="K1486" s="30" t="s">
        <v>116</v>
      </c>
      <c r="L1486" s="21"/>
      <c r="M1486" s="21"/>
      <c r="N1486" s="21"/>
      <c r="O1486" s="21"/>
      <c r="P1486" s="21"/>
      <c r="Q1486" s="21"/>
      <c r="R1486" s="21"/>
      <c r="S1486" s="21"/>
      <c r="T1486" s="21"/>
      <c r="U1486" s="27" t="s">
        <v>439</v>
      </c>
      <c r="V1486" s="27" t="s">
        <v>440</v>
      </c>
    </row>
    <row r="1487" ht="14.25" customHeight="1">
      <c r="A1487" s="27" t="s">
        <v>3000</v>
      </c>
      <c r="B1487" s="27" t="s">
        <v>2986</v>
      </c>
      <c r="C1487" s="27" t="str">
        <f t="array" ref="C1487">INDEX(Funciones!$G$2:$G$372,MATCH($A1487,Funciones!$B$2:$B$372,0))</f>
        <v>Sincronizar la elevación con desnivel máximo de _____ mm</v>
      </c>
      <c r="D1487" s="27" t="s">
        <v>5041</v>
      </c>
      <c r="E1487" s="27" t="s">
        <v>3913</v>
      </c>
      <c r="F1487" s="27" t="s">
        <v>5042</v>
      </c>
      <c r="G1487" s="27" t="s">
        <v>5043</v>
      </c>
      <c r="H1487" s="18" t="str">
        <f t="array" ref="H1487">_xlfn.XLOOKUP(E:E,'Calificación consecuencia'!B:B,'Calificación consecuencia'!K:K,"No encontrada",2)</f>
        <v>Media</v>
      </c>
      <c r="I1487" s="27" t="s">
        <v>425</v>
      </c>
      <c r="J1487" s="29" t="s">
        <v>120</v>
      </c>
      <c r="K1487" s="30" t="s">
        <v>116</v>
      </c>
      <c r="L1487" s="21"/>
      <c r="M1487" s="21"/>
      <c r="N1487" s="21"/>
      <c r="O1487" s="21"/>
      <c r="P1487" s="21"/>
      <c r="Q1487" s="21"/>
      <c r="R1487" s="21"/>
      <c r="S1487" s="21"/>
      <c r="T1487" s="21"/>
      <c r="U1487" s="27" t="s">
        <v>439</v>
      </c>
      <c r="V1487" s="27" t="s">
        <v>440</v>
      </c>
    </row>
    <row r="1488" ht="14.25" customHeight="1">
      <c r="A1488" s="9" t="s">
        <v>3007</v>
      </c>
      <c r="B1488" s="9" t="s">
        <v>2986</v>
      </c>
      <c r="C1488" s="9" t="str">
        <f t="array" ref="C1488">INDEX(Funciones!$G$2:$G$372,MATCH($A1488,Funciones!$B$2:$B$372,0))</f>
        <v>Sostener el coche elevado hasta _____ t por plataforma</v>
      </c>
      <c r="D1488" s="9" t="s">
        <v>5044</v>
      </c>
      <c r="E1488" s="9" t="s">
        <v>3914</v>
      </c>
      <c r="F1488" s="9" t="s">
        <v>5045</v>
      </c>
      <c r="G1488" s="9" t="s">
        <v>5046</v>
      </c>
      <c r="H1488" s="18" t="str">
        <f t="array" ref="H1488">_xlfn.XLOOKUP(E:E,'Calificación consecuencia'!B:B,'Calificación consecuencia'!K:K,"No encontrada",2)</f>
        <v>Media</v>
      </c>
      <c r="I1488" s="9" t="s">
        <v>425</v>
      </c>
      <c r="J1488" s="22" t="s">
        <v>120</v>
      </c>
      <c r="K1488" s="20" t="s">
        <v>116</v>
      </c>
      <c r="L1488" s="21"/>
      <c r="M1488" s="21"/>
      <c r="N1488" s="21"/>
      <c r="O1488" s="21"/>
      <c r="P1488" s="21"/>
      <c r="Q1488" s="21"/>
      <c r="R1488" s="21"/>
      <c r="S1488" s="21"/>
      <c r="T1488" s="21"/>
      <c r="U1488" s="9" t="s">
        <v>439</v>
      </c>
      <c r="V1488" s="9" t="s">
        <v>440</v>
      </c>
    </row>
    <row r="1489" ht="14.25" customHeight="1">
      <c r="A1489" s="9" t="s">
        <v>3007</v>
      </c>
      <c r="B1489" s="9" t="s">
        <v>2986</v>
      </c>
      <c r="C1489" s="9" t="str">
        <f t="array" ref="C1489">INDEX(Funciones!$G$2:$G$372,MATCH($A1489,Funciones!$B$2:$B$372,0))</f>
        <v>Sostener el coche elevado hasta _____ t por plataforma</v>
      </c>
      <c r="D1489" s="9" t="s">
        <v>5047</v>
      </c>
      <c r="E1489" s="9" t="s">
        <v>3916</v>
      </c>
      <c r="F1489" s="9" t="s">
        <v>5048</v>
      </c>
      <c r="G1489" s="9" t="s">
        <v>5049</v>
      </c>
      <c r="H1489" s="18" t="str">
        <f t="array" ref="H1489">_xlfn.XLOOKUP(E:E,'Calificación consecuencia'!B:B,'Calificación consecuencia'!K:K,"No encontrada",2)</f>
        <v>Media</v>
      </c>
      <c r="I1489" s="9" t="s">
        <v>425</v>
      </c>
      <c r="J1489" s="22" t="s">
        <v>120</v>
      </c>
      <c r="K1489" s="20" t="s">
        <v>116</v>
      </c>
      <c r="L1489" s="21"/>
      <c r="M1489" s="21"/>
      <c r="N1489" s="21"/>
      <c r="O1489" s="21"/>
      <c r="P1489" s="21"/>
      <c r="Q1489" s="21"/>
      <c r="R1489" s="21"/>
      <c r="S1489" s="21"/>
      <c r="T1489" s="21"/>
      <c r="U1489" s="9" t="s">
        <v>439</v>
      </c>
      <c r="V1489" s="9" t="s">
        <v>440</v>
      </c>
    </row>
    <row r="1490" ht="14.25" customHeight="1">
      <c r="A1490" s="27" t="s">
        <v>3014</v>
      </c>
      <c r="B1490" s="27" t="s">
        <v>3013</v>
      </c>
      <c r="C1490" s="27" t="str">
        <f t="array" ref="C1490">INDEX(Funciones!$G$2:$G$372,MATCH($A1490,Funciones!$B$2:$B$372,0))</f>
        <v>Transmitir el movimiento de elevación a velocidad de _____ mm/s</v>
      </c>
      <c r="D1490" s="27" t="s">
        <v>5050</v>
      </c>
      <c r="E1490" s="27" t="s">
        <v>3918</v>
      </c>
      <c r="F1490" s="27" t="s">
        <v>5051</v>
      </c>
      <c r="G1490" s="27" t="s">
        <v>5052</v>
      </c>
      <c r="H1490" s="18" t="str">
        <f t="array" ref="H1490">_xlfn.XLOOKUP(E:E,'Calificación consecuencia'!B:B,'Calificación consecuencia'!K:K,"No encontrada",2)</f>
        <v>Baja</v>
      </c>
      <c r="I1490" s="27" t="s">
        <v>339</v>
      </c>
      <c r="J1490" s="30" t="s">
        <v>116</v>
      </c>
      <c r="K1490" s="21"/>
      <c r="L1490" s="21"/>
      <c r="M1490" s="29" t="s">
        <v>120</v>
      </c>
      <c r="N1490" s="21"/>
      <c r="O1490" s="30" t="s">
        <v>116</v>
      </c>
      <c r="P1490" s="30" t="s">
        <v>116</v>
      </c>
      <c r="Q1490" s="21"/>
      <c r="R1490" s="21"/>
      <c r="S1490" s="21"/>
      <c r="T1490" s="21"/>
      <c r="U1490" s="27" t="s">
        <v>345</v>
      </c>
      <c r="V1490" s="27" t="s">
        <v>196</v>
      </c>
    </row>
    <row r="1491" ht="14.25" customHeight="1">
      <c r="A1491" s="27" t="s">
        <v>3014</v>
      </c>
      <c r="B1491" s="27" t="s">
        <v>3013</v>
      </c>
      <c r="C1491" s="27" t="str">
        <f t="array" ref="C1491">INDEX(Funciones!$G$2:$G$372,MATCH($A1491,Funciones!$B$2:$B$372,0))</f>
        <v>Transmitir el movimiento de elevación a velocidad de _____ mm/s</v>
      </c>
      <c r="D1491" s="27" t="s">
        <v>5053</v>
      </c>
      <c r="E1491" s="27" t="s">
        <v>3919</v>
      </c>
      <c r="F1491" s="27" t="s">
        <v>5054</v>
      </c>
      <c r="G1491" s="27" t="s">
        <v>5055</v>
      </c>
      <c r="H1491" s="18" t="str">
        <f t="array" ref="H1491">_xlfn.XLOOKUP(E:E,'Calificación consecuencia'!B:B,'Calificación consecuencia'!K:K,"No encontrada",2)</f>
        <v>Media</v>
      </c>
      <c r="I1491" s="27" t="s">
        <v>1800</v>
      </c>
      <c r="J1491" s="30" t="s">
        <v>116</v>
      </c>
      <c r="K1491" s="21"/>
      <c r="L1491" s="21"/>
      <c r="M1491" s="29" t="s">
        <v>120</v>
      </c>
      <c r="N1491" s="21"/>
      <c r="O1491" s="30" t="s">
        <v>116</v>
      </c>
      <c r="P1491" s="30" t="s">
        <v>116</v>
      </c>
      <c r="Q1491" s="21"/>
      <c r="R1491" s="21"/>
      <c r="S1491" s="21"/>
      <c r="T1491" s="21"/>
      <c r="U1491" s="27" t="s">
        <v>345</v>
      </c>
      <c r="V1491" s="27" t="s">
        <v>196</v>
      </c>
    </row>
    <row r="1492" ht="14.25" customHeight="1">
      <c r="A1492" s="9" t="s">
        <v>3030</v>
      </c>
      <c r="B1492" s="9" t="s">
        <v>3029</v>
      </c>
      <c r="C1492" s="9" t="str">
        <f t="array" ref="C1492">INDEX(Funciones!$G$2:$G$372,MATCH($A1492,Funciones!$B$2:$B$372,0))</f>
        <v>Desplazar el tren en el torno con fuerza de tiro de _____ kN</v>
      </c>
      <c r="D1492" s="9" t="s">
        <v>5056</v>
      </c>
      <c r="E1492" s="9" t="s">
        <v>3920</v>
      </c>
      <c r="F1492" s="9" t="s">
        <v>5057</v>
      </c>
      <c r="G1492" s="9" t="s">
        <v>5058</v>
      </c>
      <c r="H1492" s="18" t="str">
        <f t="array" ref="H1492">_xlfn.XLOOKUP(E:E,'Calificación consecuencia'!B:B,'Calificación consecuencia'!K:K,"No encontrada",2)</f>
        <v>Baja</v>
      </c>
      <c r="I1492" s="9" t="s">
        <v>339</v>
      </c>
      <c r="J1492" s="20" t="s">
        <v>116</v>
      </c>
      <c r="K1492" s="21"/>
      <c r="L1492" s="21"/>
      <c r="M1492" s="22" t="s">
        <v>120</v>
      </c>
      <c r="N1492" s="21"/>
      <c r="O1492" s="20" t="s">
        <v>116</v>
      </c>
      <c r="P1492" s="20" t="s">
        <v>116</v>
      </c>
      <c r="Q1492" s="21"/>
      <c r="R1492" s="21"/>
      <c r="S1492" s="21"/>
      <c r="T1492" s="21"/>
      <c r="U1492" s="9" t="s">
        <v>345</v>
      </c>
      <c r="V1492" s="9" t="s">
        <v>196</v>
      </c>
    </row>
    <row r="1493" ht="14.25" customHeight="1">
      <c r="A1493" s="9" t="s">
        <v>3030</v>
      </c>
      <c r="B1493" s="9" t="s">
        <v>3029</v>
      </c>
      <c r="C1493" s="9" t="str">
        <f t="array" ref="C1493">INDEX(Funciones!$G$2:$G$372,MATCH($A1493,Funciones!$B$2:$B$372,0))</f>
        <v>Desplazar el tren en el torno con fuerza de tiro de _____ kN</v>
      </c>
      <c r="D1493" s="9" t="s">
        <v>5056</v>
      </c>
      <c r="E1493" s="9" t="s">
        <v>3921</v>
      </c>
      <c r="F1493" s="9" t="s">
        <v>5059</v>
      </c>
      <c r="G1493" s="9" t="s">
        <v>5060</v>
      </c>
      <c r="H1493" s="18" t="str">
        <f t="array" ref="H1493">_xlfn.XLOOKUP(E:E,'Calificación consecuencia'!B:B,'Calificación consecuencia'!K:K,"No encontrada",2)</f>
        <v>Baja</v>
      </c>
      <c r="I1493" s="9" t="s">
        <v>339</v>
      </c>
      <c r="J1493" s="20" t="s">
        <v>116</v>
      </c>
      <c r="K1493" s="21"/>
      <c r="L1493" s="21"/>
      <c r="M1493" s="22" t="s">
        <v>120</v>
      </c>
      <c r="N1493" s="21"/>
      <c r="O1493" s="20" t="s">
        <v>116</v>
      </c>
      <c r="P1493" s="22" t="s">
        <v>120</v>
      </c>
      <c r="Q1493" s="20" t="s">
        <v>116</v>
      </c>
      <c r="R1493" s="21"/>
      <c r="S1493" s="21"/>
      <c r="T1493" s="21"/>
      <c r="U1493" s="9" t="s">
        <v>785</v>
      </c>
      <c r="V1493" s="9" t="s">
        <v>786</v>
      </c>
    </row>
    <row r="1494" ht="14.25" customHeight="1">
      <c r="A1494" s="9" t="s">
        <v>3030</v>
      </c>
      <c r="B1494" s="9" t="s">
        <v>3029</v>
      </c>
      <c r="C1494" s="9" t="str">
        <f t="array" ref="C1494">INDEX(Funciones!$G$2:$G$372,MATCH($A1494,Funciones!$B$2:$B$372,0))</f>
        <v>Desplazar el tren en el torno con fuerza de tiro de _____ kN</v>
      </c>
      <c r="D1494" s="9" t="s">
        <v>5061</v>
      </c>
      <c r="E1494" s="9" t="s">
        <v>3922</v>
      </c>
      <c r="F1494" s="9" t="s">
        <v>5062</v>
      </c>
      <c r="G1494" s="9" t="s">
        <v>5063</v>
      </c>
      <c r="H1494" s="18" t="str">
        <f t="array" ref="H1494">_xlfn.XLOOKUP(E:E,'Calificación consecuencia'!B:B,'Calificación consecuencia'!K:K,"No encontrada",2)</f>
        <v>Baja</v>
      </c>
      <c r="I1494" s="9" t="s">
        <v>2106</v>
      </c>
      <c r="J1494" s="20" t="s">
        <v>116</v>
      </c>
      <c r="K1494" s="21"/>
      <c r="L1494" s="21"/>
      <c r="M1494" s="22" t="s">
        <v>120</v>
      </c>
      <c r="N1494" s="21"/>
      <c r="O1494" s="22" t="s">
        <v>120</v>
      </c>
      <c r="P1494" s="21"/>
      <c r="Q1494" s="21"/>
      <c r="R1494" s="21"/>
      <c r="S1494" s="22" t="s">
        <v>120</v>
      </c>
      <c r="T1494" s="21"/>
      <c r="U1494" s="9" t="s">
        <v>1680</v>
      </c>
      <c r="V1494" s="9" t="s">
        <v>1408</v>
      </c>
    </row>
    <row r="1495" ht="14.25" customHeight="1">
      <c r="A1495" s="27" t="s">
        <v>3042</v>
      </c>
      <c r="B1495" s="27" t="s">
        <v>3041</v>
      </c>
      <c r="C1495" s="27" t="str">
        <f t="array" ref="C1495">INDEX(Funciones!$G$2:$G$372,MATCH($A1495,Funciones!$B$2:$B$372,0))</f>
        <v>Copiar el perfil patrón con exactitud de ±_____ mm</v>
      </c>
      <c r="D1495" s="27" t="s">
        <v>5064</v>
      </c>
      <c r="E1495" s="27" t="s">
        <v>3925</v>
      </c>
      <c r="F1495" s="27" t="s">
        <v>5065</v>
      </c>
      <c r="G1495" s="27" t="s">
        <v>5066</v>
      </c>
      <c r="H1495" s="18" t="str">
        <f t="array" ref="H1495">_xlfn.XLOOKUP(E:E,'Calificación consecuencia'!B:B,'Calificación consecuencia'!K:K,"No encontrada",2)</f>
        <v>Media</v>
      </c>
      <c r="I1495" s="27" t="s">
        <v>339</v>
      </c>
      <c r="J1495" s="29" t="s">
        <v>120</v>
      </c>
      <c r="K1495" s="30" t="s">
        <v>116</v>
      </c>
      <c r="L1495" s="21"/>
      <c r="M1495" s="21"/>
      <c r="N1495" s="21"/>
      <c r="O1495" s="21"/>
      <c r="P1495" s="21"/>
      <c r="Q1495" s="21"/>
      <c r="R1495" s="21"/>
      <c r="S1495" s="21"/>
      <c r="T1495" s="21"/>
      <c r="U1495" s="27" t="s">
        <v>439</v>
      </c>
      <c r="V1495" s="27" t="s">
        <v>440</v>
      </c>
    </row>
    <row r="1496" ht="14.25" customHeight="1">
      <c r="A1496" s="27" t="s">
        <v>3042</v>
      </c>
      <c r="B1496" s="27" t="s">
        <v>3041</v>
      </c>
      <c r="C1496" s="27" t="str">
        <f t="array" ref="C1496">INDEX(Funciones!$G$2:$G$372,MATCH($A1496,Funciones!$B$2:$B$372,0))</f>
        <v>Copiar el perfil patrón con exactitud de ±_____ mm</v>
      </c>
      <c r="D1496" s="27" t="s">
        <v>5067</v>
      </c>
      <c r="E1496" s="27" t="s">
        <v>3926</v>
      </c>
      <c r="F1496" s="27" t="s">
        <v>5068</v>
      </c>
      <c r="G1496" s="27" t="s">
        <v>5069</v>
      </c>
      <c r="H1496" s="18" t="str">
        <f t="array" ref="H1496">_xlfn.XLOOKUP(E:E,'Calificación consecuencia'!B:B,'Calificación consecuencia'!K:K,"No encontrada",2)</f>
        <v>Media</v>
      </c>
      <c r="I1496" s="27" t="s">
        <v>2106</v>
      </c>
      <c r="J1496" s="29" t="s">
        <v>120</v>
      </c>
      <c r="K1496" s="30" t="s">
        <v>116</v>
      </c>
      <c r="L1496" s="21"/>
      <c r="M1496" s="21"/>
      <c r="N1496" s="21"/>
      <c r="O1496" s="21"/>
      <c r="P1496" s="21"/>
      <c r="Q1496" s="21"/>
      <c r="R1496" s="21"/>
      <c r="S1496" s="21"/>
      <c r="T1496" s="21"/>
      <c r="U1496" s="27" t="s">
        <v>439</v>
      </c>
      <c r="V1496" s="27" t="s">
        <v>440</v>
      </c>
    </row>
    <row r="1497" ht="14.25" customHeight="1">
      <c r="A1497" s="27" t="s">
        <v>3042</v>
      </c>
      <c r="B1497" s="27" t="s">
        <v>3041</v>
      </c>
      <c r="C1497" s="27" t="str">
        <f t="array" ref="C1497">INDEX(Funciones!$G$2:$G$372,MATCH($A1497,Funciones!$B$2:$B$372,0))</f>
        <v>Copiar el perfil patrón con exactitud de ±_____ mm</v>
      </c>
      <c r="D1497" s="27" t="s">
        <v>5070</v>
      </c>
      <c r="E1497" s="27" t="s">
        <v>3927</v>
      </c>
      <c r="F1497" s="27" t="s">
        <v>5071</v>
      </c>
      <c r="G1497" s="27" t="s">
        <v>5072</v>
      </c>
      <c r="H1497" s="18" t="str">
        <f t="array" ref="H1497">_xlfn.XLOOKUP(E:E,'Calificación consecuencia'!B:B,'Calificación consecuencia'!K:K,"No encontrada",2)</f>
        <v>Baja</v>
      </c>
      <c r="I1497" s="27" t="s">
        <v>2106</v>
      </c>
      <c r="J1497" s="29" t="s">
        <v>120</v>
      </c>
      <c r="K1497" s="30" t="s">
        <v>116</v>
      </c>
      <c r="L1497" s="21"/>
      <c r="M1497" s="21"/>
      <c r="N1497" s="21"/>
      <c r="O1497" s="21"/>
      <c r="P1497" s="21"/>
      <c r="Q1497" s="21"/>
      <c r="R1497" s="21"/>
      <c r="S1497" s="21"/>
      <c r="T1497" s="21"/>
      <c r="U1497" s="27" t="s">
        <v>439</v>
      </c>
      <c r="V1497" s="27" t="s">
        <v>440</v>
      </c>
    </row>
    <row r="1498" ht="14.25" customHeight="1">
      <c r="A1498" s="9" t="s">
        <v>3053</v>
      </c>
      <c r="B1498" s="9" t="s">
        <v>3052</v>
      </c>
      <c r="C1498" s="9" t="str">
        <f t="array" ref="C1498">INDEX(Funciones!$G$2:$G$372,MATCH($A1498,Funciones!$B$2:$B$372,0))</f>
        <v>Posicionar la herramienta de corte con precisión de ±_____ mm</v>
      </c>
      <c r="D1498" s="9" t="s">
        <v>5073</v>
      </c>
      <c r="E1498" s="9" t="s">
        <v>3928</v>
      </c>
      <c r="F1498" s="9" t="s">
        <v>5074</v>
      </c>
      <c r="G1498" s="9" t="s">
        <v>5075</v>
      </c>
      <c r="H1498" s="18" t="str">
        <f t="array" ref="H1498">_xlfn.XLOOKUP(E:E,'Calificación consecuencia'!B:B,'Calificación consecuencia'!K:K,"No encontrada",2)</f>
        <v>Baja</v>
      </c>
      <c r="I1498" s="9" t="s">
        <v>339</v>
      </c>
      <c r="J1498" s="20" t="s">
        <v>116</v>
      </c>
      <c r="K1498" s="21"/>
      <c r="L1498" s="21"/>
      <c r="M1498" s="22" t="s">
        <v>120</v>
      </c>
      <c r="N1498" s="21"/>
      <c r="O1498" s="20" t="s">
        <v>116</v>
      </c>
      <c r="P1498" s="20" t="s">
        <v>116</v>
      </c>
      <c r="Q1498" s="21"/>
      <c r="R1498" s="21"/>
      <c r="S1498" s="21"/>
      <c r="T1498" s="21"/>
      <c r="U1498" s="9" t="s">
        <v>345</v>
      </c>
      <c r="V1498" s="9" t="s">
        <v>196</v>
      </c>
    </row>
    <row r="1499" ht="14.25" customHeight="1">
      <c r="A1499" s="9" t="s">
        <v>3053</v>
      </c>
      <c r="B1499" s="9" t="s">
        <v>3052</v>
      </c>
      <c r="C1499" s="9" t="str">
        <f t="array" ref="C1499">INDEX(Funciones!$G$2:$G$372,MATCH($A1499,Funciones!$B$2:$B$372,0))</f>
        <v>Posicionar la herramienta de corte con precisión de ±_____ mm</v>
      </c>
      <c r="D1499" s="9" t="s">
        <v>5076</v>
      </c>
      <c r="E1499" s="9" t="s">
        <v>3929</v>
      </c>
      <c r="F1499" s="9" t="s">
        <v>5077</v>
      </c>
      <c r="G1499" s="9" t="s">
        <v>5078</v>
      </c>
      <c r="H1499" s="18" t="str">
        <f t="array" ref="H1499">_xlfn.XLOOKUP(E:E,'Calificación consecuencia'!B:B,'Calificación consecuencia'!K:K,"No encontrada",2)</f>
        <v>Media</v>
      </c>
      <c r="I1499" s="9" t="s">
        <v>2106</v>
      </c>
      <c r="J1499" s="20" t="s">
        <v>116</v>
      </c>
      <c r="K1499" s="21"/>
      <c r="L1499" s="21"/>
      <c r="M1499" s="22" t="s">
        <v>120</v>
      </c>
      <c r="N1499" s="21"/>
      <c r="O1499" s="20" t="s">
        <v>116</v>
      </c>
      <c r="P1499" s="20" t="s">
        <v>116</v>
      </c>
      <c r="Q1499" s="21"/>
      <c r="R1499" s="21"/>
      <c r="S1499" s="21"/>
      <c r="T1499" s="21"/>
      <c r="U1499" s="9" t="s">
        <v>345</v>
      </c>
      <c r="V1499" s="9" t="s">
        <v>196</v>
      </c>
    </row>
    <row r="1500" ht="14.25" customHeight="1">
      <c r="A1500" s="27" t="s">
        <v>3067</v>
      </c>
      <c r="B1500" s="27" t="s">
        <v>3066</v>
      </c>
      <c r="C1500" s="27" t="str">
        <f t="array" ref="C1500">INDEX(Funciones!$G$2:$G$372,MATCH($A1500,Funciones!$B$2:$B$372,0))</f>
        <v>Posicionar el palpador con repetibilidad de ±_____ mm</v>
      </c>
      <c r="D1500" s="27" t="s">
        <v>5079</v>
      </c>
      <c r="E1500" s="27" t="s">
        <v>3930</v>
      </c>
      <c r="F1500" s="27" t="s">
        <v>5080</v>
      </c>
      <c r="G1500" s="27" t="s">
        <v>5081</v>
      </c>
      <c r="H1500" s="18" t="str">
        <f t="array" ref="H1500">_xlfn.XLOOKUP(E:E,'Calificación consecuencia'!B:B,'Calificación consecuencia'!K:K,"No encontrada",2)</f>
        <v>Baja</v>
      </c>
      <c r="I1500" s="27" t="s">
        <v>339</v>
      </c>
      <c r="J1500" s="30" t="s">
        <v>116</v>
      </c>
      <c r="K1500" s="21"/>
      <c r="L1500" s="21"/>
      <c r="M1500" s="29" t="s">
        <v>120</v>
      </c>
      <c r="N1500" s="21"/>
      <c r="O1500" s="30" t="s">
        <v>116</v>
      </c>
      <c r="P1500" s="30" t="s">
        <v>116</v>
      </c>
      <c r="Q1500" s="21"/>
      <c r="R1500" s="21"/>
      <c r="S1500" s="21"/>
      <c r="T1500" s="21"/>
      <c r="U1500" s="27" t="s">
        <v>345</v>
      </c>
      <c r="V1500" s="27" t="s">
        <v>196</v>
      </c>
    </row>
    <row r="1501" ht="14.25" customHeight="1">
      <c r="A1501" s="27" t="s">
        <v>3067</v>
      </c>
      <c r="B1501" s="27" t="s">
        <v>3066</v>
      </c>
      <c r="C1501" s="27" t="str">
        <f t="array" ref="C1501">INDEX(Funciones!$G$2:$G$372,MATCH($A1501,Funciones!$B$2:$B$372,0))</f>
        <v>Posicionar el palpador con repetibilidad de ±_____ mm</v>
      </c>
      <c r="D1501" s="27" t="s">
        <v>5082</v>
      </c>
      <c r="E1501" s="27" t="s">
        <v>3931</v>
      </c>
      <c r="F1501" s="27" t="s">
        <v>5083</v>
      </c>
      <c r="G1501" s="27" t="s">
        <v>5084</v>
      </c>
      <c r="H1501" s="18" t="str">
        <f t="array" ref="H1501">_xlfn.XLOOKUP(E:E,'Calificación consecuencia'!B:B,'Calificación consecuencia'!K:K,"No encontrada",2)</f>
        <v>Baja</v>
      </c>
      <c r="I1501" s="27" t="s">
        <v>2106</v>
      </c>
      <c r="J1501" s="30" t="s">
        <v>116</v>
      </c>
      <c r="K1501" s="21"/>
      <c r="L1501" s="21"/>
      <c r="M1501" s="29" t="s">
        <v>120</v>
      </c>
      <c r="N1501" s="21"/>
      <c r="O1501" s="29" t="s">
        <v>120</v>
      </c>
      <c r="P1501" s="21"/>
      <c r="Q1501" s="21"/>
      <c r="R1501" s="21"/>
      <c r="S1501" s="29" t="s">
        <v>120</v>
      </c>
      <c r="T1501" s="21"/>
      <c r="U1501" s="27" t="s">
        <v>1680</v>
      </c>
      <c r="V1501" s="27" t="s">
        <v>1408</v>
      </c>
    </row>
    <row r="1502" ht="14.25" customHeight="1">
      <c r="A1502" s="9" t="s">
        <v>3078</v>
      </c>
      <c r="B1502" s="9" t="s">
        <v>3077</v>
      </c>
      <c r="C1502" s="9" t="str">
        <f t="array" ref="C1502">INDEX(Funciones!$G$2:$G$372,MATCH($A1502,Funciones!$B$2:$B$372,0))</f>
        <v>Girar el eje montado de _____ a _____ rpm</v>
      </c>
      <c r="D1502" s="9" t="s">
        <v>5085</v>
      </c>
      <c r="E1502" s="9" t="s">
        <v>3932</v>
      </c>
      <c r="F1502" s="9" t="s">
        <v>5086</v>
      </c>
      <c r="G1502" s="9" t="s">
        <v>5087</v>
      </c>
      <c r="H1502" s="18" t="str">
        <f t="array" ref="H1502">_xlfn.XLOOKUP(E:E,'Calificación consecuencia'!B:B,'Calificación consecuencia'!K:K,"No encontrada",2)</f>
        <v>Baja</v>
      </c>
      <c r="I1502" s="9" t="s">
        <v>339</v>
      </c>
      <c r="J1502" s="20" t="s">
        <v>116</v>
      </c>
      <c r="K1502" s="21"/>
      <c r="L1502" s="21"/>
      <c r="M1502" s="22" t="s">
        <v>120</v>
      </c>
      <c r="N1502" s="21"/>
      <c r="O1502" s="20" t="s">
        <v>116</v>
      </c>
      <c r="P1502" s="20" t="s">
        <v>116</v>
      </c>
      <c r="Q1502" s="21"/>
      <c r="R1502" s="21"/>
      <c r="S1502" s="21"/>
      <c r="T1502" s="21"/>
      <c r="U1502" s="9" t="s">
        <v>345</v>
      </c>
      <c r="V1502" s="9" t="s">
        <v>196</v>
      </c>
    </row>
    <row r="1503" ht="14.25" customHeight="1">
      <c r="A1503" s="9" t="s">
        <v>3078</v>
      </c>
      <c r="B1503" s="9" t="s">
        <v>3077</v>
      </c>
      <c r="C1503" s="9" t="str">
        <f t="array" ref="C1503">INDEX(Funciones!$G$2:$G$372,MATCH($A1503,Funciones!$B$2:$B$372,0))</f>
        <v>Girar el eje montado de _____ a _____ rpm</v>
      </c>
      <c r="D1503" s="9" t="s">
        <v>5088</v>
      </c>
      <c r="E1503" s="9" t="s">
        <v>3933</v>
      </c>
      <c r="F1503" s="9" t="s">
        <v>5089</v>
      </c>
      <c r="G1503" s="9" t="s">
        <v>5090</v>
      </c>
      <c r="H1503" s="18" t="str">
        <f t="array" ref="H1503">_xlfn.XLOOKUP(E:E,'Calificación consecuencia'!B:B,'Calificación consecuencia'!K:K,"No encontrada",2)</f>
        <v>Media</v>
      </c>
      <c r="I1503" s="9" t="s">
        <v>2106</v>
      </c>
      <c r="J1503" s="20" t="s">
        <v>116</v>
      </c>
      <c r="K1503" s="21"/>
      <c r="L1503" s="21"/>
      <c r="M1503" s="22" t="s">
        <v>120</v>
      </c>
      <c r="N1503" s="21"/>
      <c r="O1503" s="20" t="s">
        <v>116</v>
      </c>
      <c r="P1503" s="20" t="s">
        <v>116</v>
      </c>
      <c r="Q1503" s="21"/>
      <c r="R1503" s="21"/>
      <c r="S1503" s="21"/>
      <c r="T1503" s="21"/>
      <c r="U1503" s="9" t="s">
        <v>345</v>
      </c>
      <c r="V1503" s="9" t="s">
        <v>196</v>
      </c>
    </row>
    <row r="1504" ht="14.25" customHeight="1">
      <c r="A1504" s="9" t="s">
        <v>3078</v>
      </c>
      <c r="B1504" s="9" t="s">
        <v>3077</v>
      </c>
      <c r="C1504" s="9" t="str">
        <f t="array" ref="C1504">INDEX(Funciones!$G$2:$G$372,MATCH($A1504,Funciones!$B$2:$B$372,0))</f>
        <v>Girar el eje montado de _____ a _____ rpm</v>
      </c>
      <c r="D1504" s="9" t="s">
        <v>5088</v>
      </c>
      <c r="E1504" s="9" t="s">
        <v>3934</v>
      </c>
      <c r="F1504" s="9" t="s">
        <v>5091</v>
      </c>
      <c r="G1504" s="9" t="s">
        <v>5092</v>
      </c>
      <c r="H1504" s="18" t="str">
        <f t="array" ref="H1504">_xlfn.XLOOKUP(E:E,'Calificación consecuencia'!B:B,'Calificación consecuencia'!K:K,"No encontrada",2)</f>
        <v>Baja</v>
      </c>
      <c r="I1504" s="9" t="s">
        <v>2106</v>
      </c>
      <c r="J1504" s="20" t="s">
        <v>116</v>
      </c>
      <c r="K1504" s="21"/>
      <c r="L1504" s="21"/>
      <c r="M1504" s="22" t="s">
        <v>120</v>
      </c>
      <c r="N1504" s="21"/>
      <c r="O1504" s="20" t="s">
        <v>116</v>
      </c>
      <c r="P1504" s="20" t="s">
        <v>116</v>
      </c>
      <c r="Q1504" s="21"/>
      <c r="R1504" s="21"/>
      <c r="S1504" s="21"/>
      <c r="T1504" s="21"/>
      <c r="U1504" s="9" t="s">
        <v>345</v>
      </c>
      <c r="V1504" s="9" t="s">
        <v>196</v>
      </c>
    </row>
    <row r="1505" ht="14.25" customHeight="1">
      <c r="A1505" s="27" t="s">
        <v>3088</v>
      </c>
      <c r="B1505" s="27" t="s">
        <v>3087</v>
      </c>
      <c r="C1505" s="27" t="str">
        <f t="array" ref="C1505">INDEX(Funciones!$G$2:$G$372,MATCH($A1505,Funciones!$B$2:$B$372,0))</f>
        <v>Sujetar el eje montado con fuerza de _____ kN</v>
      </c>
      <c r="D1505" s="27" t="s">
        <v>5093</v>
      </c>
      <c r="E1505" s="27" t="s">
        <v>3935</v>
      </c>
      <c r="F1505" s="27" t="s">
        <v>5094</v>
      </c>
      <c r="G1505" s="27" t="s">
        <v>5095</v>
      </c>
      <c r="H1505" s="18" t="str">
        <f t="array" ref="H1505">_xlfn.XLOOKUP(E:E,'Calificación consecuencia'!B:B,'Calificación consecuencia'!K:K,"No encontrada",2)</f>
        <v>Baja</v>
      </c>
      <c r="I1505" s="27" t="s">
        <v>425</v>
      </c>
      <c r="J1505" s="30" t="s">
        <v>116</v>
      </c>
      <c r="K1505" s="21"/>
      <c r="L1505" s="21"/>
      <c r="M1505" s="30" t="s">
        <v>116</v>
      </c>
      <c r="N1505" s="30" t="s">
        <v>116</v>
      </c>
      <c r="O1505" s="21"/>
      <c r="P1505" s="21"/>
      <c r="Q1505" s="21"/>
      <c r="R1505" s="21"/>
      <c r="S1505" s="21"/>
      <c r="T1505" s="21"/>
      <c r="U1505" s="27" t="s">
        <v>195</v>
      </c>
      <c r="V1505" s="27" t="s">
        <v>196</v>
      </c>
    </row>
    <row r="1506" ht="14.25" customHeight="1">
      <c r="A1506" s="27" t="s">
        <v>3088</v>
      </c>
      <c r="B1506" s="27" t="s">
        <v>3087</v>
      </c>
      <c r="C1506" s="27" t="str">
        <f t="array" ref="C1506">INDEX(Funciones!$G$2:$G$372,MATCH($A1506,Funciones!$B$2:$B$372,0))</f>
        <v>Sujetar el eje montado con fuerza de _____ kN</v>
      </c>
      <c r="D1506" s="27" t="s">
        <v>5096</v>
      </c>
      <c r="E1506" s="27" t="s">
        <v>3936</v>
      </c>
      <c r="F1506" s="27" t="s">
        <v>5097</v>
      </c>
      <c r="G1506" s="27" t="s">
        <v>5098</v>
      </c>
      <c r="H1506" s="18" t="str">
        <f t="array" ref="H1506">_xlfn.XLOOKUP(E:E,'Calificación consecuencia'!B:B,'Calificación consecuencia'!K:K,"No encontrada",2)</f>
        <v>Media</v>
      </c>
      <c r="I1506" s="27" t="s">
        <v>425</v>
      </c>
      <c r="J1506" s="30" t="s">
        <v>116</v>
      </c>
      <c r="K1506" s="21"/>
      <c r="L1506" s="21"/>
      <c r="M1506" s="30" t="s">
        <v>116</v>
      </c>
      <c r="N1506" s="30" t="s">
        <v>116</v>
      </c>
      <c r="O1506" s="21"/>
      <c r="P1506" s="21"/>
      <c r="Q1506" s="21"/>
      <c r="R1506" s="21"/>
      <c r="S1506" s="21"/>
      <c r="T1506" s="21"/>
      <c r="U1506" s="27" t="s">
        <v>195</v>
      </c>
      <c r="V1506" s="27" t="s">
        <v>196</v>
      </c>
    </row>
    <row r="1507" ht="14.25" customHeight="1">
      <c r="A1507" s="9" t="s">
        <v>3100</v>
      </c>
      <c r="B1507" s="9" t="s">
        <v>3099</v>
      </c>
      <c r="C1507" s="9" t="str">
        <f t="array" ref="C1507">INDEX(Funciones!$G$2:$G$372,MATCH($A1507,Funciones!$B$2:$B$372,0))</f>
        <v>Medir el diámetro de rueda con exactitud de ±_____ mm</v>
      </c>
      <c r="D1507" s="9" t="s">
        <v>5099</v>
      </c>
      <c r="E1507" s="9" t="s">
        <v>3937</v>
      </c>
      <c r="F1507" s="9" t="s">
        <v>5100</v>
      </c>
      <c r="G1507" s="9" t="s">
        <v>5101</v>
      </c>
      <c r="H1507" s="18" t="str">
        <f t="array" ref="H1507">_xlfn.XLOOKUP(E:E,'Calificación consecuencia'!B:B,'Calificación consecuencia'!K:K,"No encontrada",2)</f>
        <v>Baja</v>
      </c>
      <c r="I1507" s="9" t="s">
        <v>339</v>
      </c>
      <c r="J1507" s="22" t="s">
        <v>120</v>
      </c>
      <c r="K1507" s="20" t="s">
        <v>116</v>
      </c>
      <c r="L1507" s="21"/>
      <c r="M1507" s="21"/>
      <c r="N1507" s="21"/>
      <c r="O1507" s="21"/>
      <c r="P1507" s="21"/>
      <c r="Q1507" s="21"/>
      <c r="R1507" s="21"/>
      <c r="S1507" s="21"/>
      <c r="T1507" s="21"/>
      <c r="U1507" s="9" t="s">
        <v>439</v>
      </c>
      <c r="V1507" s="9" t="s">
        <v>440</v>
      </c>
    </row>
    <row r="1508" ht="14.25" customHeight="1">
      <c r="A1508" s="9" t="s">
        <v>3100</v>
      </c>
      <c r="B1508" s="9" t="s">
        <v>3099</v>
      </c>
      <c r="C1508" s="9" t="str">
        <f t="array" ref="C1508">INDEX(Funciones!$G$2:$G$372,MATCH($A1508,Funciones!$B$2:$B$372,0))</f>
        <v>Medir el diámetro de rueda con exactitud de ±_____ mm</v>
      </c>
      <c r="D1508" s="9" t="s">
        <v>5102</v>
      </c>
      <c r="E1508" s="9" t="s">
        <v>3938</v>
      </c>
      <c r="F1508" s="9" t="s">
        <v>5103</v>
      </c>
      <c r="G1508" s="9" t="s">
        <v>5104</v>
      </c>
      <c r="H1508" s="18" t="str">
        <f t="array" ref="H1508">_xlfn.XLOOKUP(E:E,'Calificación consecuencia'!B:B,'Calificación consecuencia'!K:K,"No encontrada",2)</f>
        <v>Baja</v>
      </c>
      <c r="I1508" s="9" t="s">
        <v>2106</v>
      </c>
      <c r="J1508" s="22" t="s">
        <v>120</v>
      </c>
      <c r="K1508" s="20" t="s">
        <v>116</v>
      </c>
      <c r="L1508" s="21"/>
      <c r="M1508" s="21"/>
      <c r="N1508" s="21"/>
      <c r="O1508" s="21"/>
      <c r="P1508" s="21"/>
      <c r="Q1508" s="21"/>
      <c r="R1508" s="21"/>
      <c r="S1508" s="21"/>
      <c r="T1508" s="21"/>
      <c r="U1508" s="9" t="s">
        <v>439</v>
      </c>
      <c r="V1508" s="9" t="s">
        <v>440</v>
      </c>
    </row>
    <row r="1509" ht="14.25" customHeight="1">
      <c r="A1509" s="9" t="s">
        <v>3100</v>
      </c>
      <c r="B1509" s="9" t="s">
        <v>3099</v>
      </c>
      <c r="C1509" s="9" t="str">
        <f t="array" ref="C1509">INDEX(Funciones!$G$2:$G$372,MATCH($A1509,Funciones!$B$2:$B$372,0))</f>
        <v>Medir el diámetro de rueda con exactitud de ±_____ mm</v>
      </c>
      <c r="D1509" s="9" t="s">
        <v>5105</v>
      </c>
      <c r="E1509" s="9" t="s">
        <v>3939</v>
      </c>
      <c r="F1509" s="9" t="s">
        <v>5106</v>
      </c>
      <c r="G1509" s="9" t="s">
        <v>5107</v>
      </c>
      <c r="H1509" s="18" t="str">
        <f t="array" ref="H1509">_xlfn.XLOOKUP(E:E,'Calificación consecuencia'!B:B,'Calificación consecuencia'!K:K,"No encontrada",2)</f>
        <v>Baja</v>
      </c>
      <c r="I1509" s="9" t="s">
        <v>2106</v>
      </c>
      <c r="J1509" s="22" t="s">
        <v>120</v>
      </c>
      <c r="K1509" s="20" t="s">
        <v>116</v>
      </c>
      <c r="L1509" s="21"/>
      <c r="M1509" s="21"/>
      <c r="N1509" s="21"/>
      <c r="O1509" s="21"/>
      <c r="P1509" s="21"/>
      <c r="Q1509" s="21"/>
      <c r="R1509" s="21"/>
      <c r="S1509" s="21"/>
      <c r="T1509" s="21"/>
      <c r="U1509" s="9" t="s">
        <v>439</v>
      </c>
      <c r="V1509" s="9" t="s">
        <v>440</v>
      </c>
    </row>
    <row r="1510" ht="14.25" customHeight="1">
      <c r="A1510" s="27" t="s">
        <v>3109</v>
      </c>
      <c r="B1510" s="27" t="s">
        <v>3108</v>
      </c>
      <c r="C1510" s="27" t="str">
        <f t="array" ref="C1510">INDEX(Funciones!$G$2:$G$372,MATCH($A1510,Funciones!$B$2:$B$372,0))</f>
        <v>Evacuar la viruta con capacidad de _____ kg/h</v>
      </c>
      <c r="D1510" s="27" t="s">
        <v>5108</v>
      </c>
      <c r="E1510" s="27" t="s">
        <v>3940</v>
      </c>
      <c r="F1510" s="27" t="s">
        <v>5109</v>
      </c>
      <c r="G1510" s="27" t="s">
        <v>5110</v>
      </c>
      <c r="H1510" s="18" t="str">
        <f t="array" ref="H1510">_xlfn.XLOOKUP(E:E,'Calificación consecuencia'!B:B,'Calificación consecuencia'!K:K,"No encontrada",2)</f>
        <v>Media</v>
      </c>
      <c r="I1510" s="27" t="s">
        <v>1351</v>
      </c>
      <c r="J1510" s="30" t="s">
        <v>116</v>
      </c>
      <c r="K1510" s="21"/>
      <c r="L1510" s="21"/>
      <c r="M1510" s="30" t="s">
        <v>116</v>
      </c>
      <c r="N1510" s="30" t="s">
        <v>116</v>
      </c>
      <c r="O1510" s="21"/>
      <c r="P1510" s="21"/>
      <c r="Q1510" s="21"/>
      <c r="R1510" s="21"/>
      <c r="S1510" s="21"/>
      <c r="T1510" s="21"/>
      <c r="U1510" s="27" t="s">
        <v>195</v>
      </c>
      <c r="V1510" s="27" t="s">
        <v>196</v>
      </c>
    </row>
    <row r="1511" ht="14.25" customHeight="1">
      <c r="A1511" s="27" t="s">
        <v>3109</v>
      </c>
      <c r="B1511" s="27" t="s">
        <v>3108</v>
      </c>
      <c r="C1511" s="27" t="str">
        <f t="array" ref="C1511">INDEX(Funciones!$G$2:$G$372,MATCH($A1511,Funciones!$B$2:$B$372,0))</f>
        <v>Evacuar la viruta con capacidad de _____ kg/h</v>
      </c>
      <c r="D1511" s="27" t="s">
        <v>5108</v>
      </c>
      <c r="E1511" s="27" t="s">
        <v>3941</v>
      </c>
      <c r="F1511" s="27" t="s">
        <v>5111</v>
      </c>
      <c r="G1511" s="27" t="s">
        <v>5112</v>
      </c>
      <c r="H1511" s="18" t="str">
        <f t="array" ref="H1511">_xlfn.XLOOKUP(E:E,'Calificación consecuencia'!B:B,'Calificación consecuencia'!K:K,"No encontrada",2)</f>
        <v>Baja</v>
      </c>
      <c r="I1511" s="27" t="s">
        <v>1351</v>
      </c>
      <c r="J1511" s="30" t="s">
        <v>116</v>
      </c>
      <c r="K1511" s="21"/>
      <c r="L1511" s="21"/>
      <c r="M1511" s="30" t="s">
        <v>116</v>
      </c>
      <c r="N1511" s="30" t="s">
        <v>116</v>
      </c>
      <c r="O1511" s="21"/>
      <c r="P1511" s="21"/>
      <c r="Q1511" s="21"/>
      <c r="R1511" s="21"/>
      <c r="S1511" s="21"/>
      <c r="T1511" s="21"/>
      <c r="U1511" s="27" t="s">
        <v>195</v>
      </c>
      <c r="V1511" s="27" t="s">
        <v>196</v>
      </c>
    </row>
    <row r="1512" ht="14.25" customHeight="1">
      <c r="A1512" s="27" t="s">
        <v>3109</v>
      </c>
      <c r="B1512" s="27" t="s">
        <v>3108</v>
      </c>
      <c r="C1512" s="27" t="str">
        <f t="array" ref="C1512">INDEX(Funciones!$G$2:$G$372,MATCH($A1512,Funciones!$B$2:$B$372,0))</f>
        <v>Evacuar la viruta con capacidad de _____ kg/h</v>
      </c>
      <c r="D1512" s="27" t="s">
        <v>5113</v>
      </c>
      <c r="E1512" s="27" t="s">
        <v>3942</v>
      </c>
      <c r="F1512" s="27" t="s">
        <v>5114</v>
      </c>
      <c r="G1512" s="27" t="s">
        <v>5115</v>
      </c>
      <c r="H1512" s="18" t="str">
        <f t="array" ref="H1512">_xlfn.XLOOKUP(E:E,'Calificación consecuencia'!B:B,'Calificación consecuencia'!K:K,"No encontrada",2)</f>
        <v>Baja</v>
      </c>
      <c r="I1512" s="27" t="s">
        <v>2106</v>
      </c>
      <c r="J1512" s="30" t="s">
        <v>116</v>
      </c>
      <c r="K1512" s="21"/>
      <c r="L1512" s="21"/>
      <c r="M1512" s="29" t="s">
        <v>120</v>
      </c>
      <c r="N1512" s="21"/>
      <c r="O1512" s="29" t="s">
        <v>120</v>
      </c>
      <c r="P1512" s="21"/>
      <c r="Q1512" s="21"/>
      <c r="R1512" s="21"/>
      <c r="S1512" s="29" t="s">
        <v>120</v>
      </c>
      <c r="T1512" s="21"/>
      <c r="U1512" s="27" t="s">
        <v>1680</v>
      </c>
      <c r="V1512" s="27" t="s">
        <v>1408</v>
      </c>
    </row>
    <row r="1513" ht="14.25" customHeight="1">
      <c r="A1513" s="9" t="s">
        <v>3124</v>
      </c>
      <c r="B1513" s="9" t="s">
        <v>3123</v>
      </c>
      <c r="C1513" s="9" t="str">
        <f t="array" ref="C1513">INDEX(Funciones!$G$2:$G$372,MATCH($A1513,Funciones!$B$2:$B$372,0))</f>
        <v>Presurizar los cilindros de freno entre 3,7 y 3,9 bar</v>
      </c>
      <c r="D1513" s="9" t="s">
        <v>5116</v>
      </c>
      <c r="E1513" s="9" t="s">
        <v>3943</v>
      </c>
      <c r="F1513" s="9" t="s">
        <v>5117</v>
      </c>
      <c r="G1513" s="9" t="s">
        <v>5118</v>
      </c>
      <c r="H1513" s="18" t="str">
        <f t="array" ref="H1513">_xlfn.XLOOKUP(E:E,'Calificación consecuencia'!B:B,'Calificación consecuencia'!K:K,"No encontrada",2)</f>
        <v>Media</v>
      </c>
      <c r="I1513" s="9" t="s">
        <v>425</v>
      </c>
      <c r="J1513" s="20" t="s">
        <v>116</v>
      </c>
      <c r="K1513" s="21"/>
      <c r="L1513" s="21"/>
      <c r="M1513" s="20" t="s">
        <v>116</v>
      </c>
      <c r="N1513" s="20" t="s">
        <v>116</v>
      </c>
      <c r="O1513" s="21"/>
      <c r="P1513" s="21"/>
      <c r="Q1513" s="21"/>
      <c r="R1513" s="21"/>
      <c r="S1513" s="21"/>
      <c r="T1513" s="21"/>
      <c r="U1513" s="9" t="s">
        <v>195</v>
      </c>
      <c r="V1513" s="9" t="s">
        <v>196</v>
      </c>
    </row>
    <row r="1514" ht="14.25" customHeight="1">
      <c r="A1514" s="9" t="s">
        <v>3124</v>
      </c>
      <c r="B1514" s="9" t="s">
        <v>3123</v>
      </c>
      <c r="C1514" s="9" t="str">
        <f t="array" ref="C1514">INDEX(Funciones!$G$2:$G$372,MATCH($A1514,Funciones!$B$2:$B$372,0))</f>
        <v>Presurizar los cilindros de freno entre 3,7 y 3,9 bar</v>
      </c>
      <c r="D1514" s="9" t="s">
        <v>5116</v>
      </c>
      <c r="E1514" s="9" t="s">
        <v>3944</v>
      </c>
      <c r="F1514" s="9" t="s">
        <v>5119</v>
      </c>
      <c r="G1514" s="9" t="s">
        <v>5120</v>
      </c>
      <c r="H1514" s="18" t="str">
        <f t="array" ref="H1514">_xlfn.XLOOKUP(E:E,'Calificación consecuencia'!B:B,'Calificación consecuencia'!K:K,"No encontrada",2)</f>
        <v>Media</v>
      </c>
      <c r="I1514" s="9" t="s">
        <v>425</v>
      </c>
      <c r="J1514" s="20" t="s">
        <v>116</v>
      </c>
      <c r="K1514" s="21"/>
      <c r="L1514" s="21"/>
      <c r="M1514" s="20" t="s">
        <v>116</v>
      </c>
      <c r="N1514" s="20" t="s">
        <v>116</v>
      </c>
      <c r="O1514" s="21"/>
      <c r="P1514" s="21"/>
      <c r="Q1514" s="21"/>
      <c r="R1514" s="21"/>
      <c r="S1514" s="21"/>
      <c r="T1514" s="21"/>
      <c r="U1514" s="9" t="s">
        <v>195</v>
      </c>
      <c r="V1514" s="9" t="s">
        <v>196</v>
      </c>
    </row>
    <row r="1515" ht="14.25" customHeight="1">
      <c r="A1515" s="9" t="s">
        <v>3124</v>
      </c>
      <c r="B1515" s="9" t="s">
        <v>3123</v>
      </c>
      <c r="C1515" s="9" t="str">
        <f t="array" ref="C1515">INDEX(Funciones!$G$2:$G$372,MATCH($A1515,Funciones!$B$2:$B$372,0))</f>
        <v>Presurizar los cilindros de freno entre 3,7 y 3,9 bar</v>
      </c>
      <c r="D1515" s="9" t="s">
        <v>5121</v>
      </c>
      <c r="E1515" s="9" t="s">
        <v>3945</v>
      </c>
      <c r="F1515" s="9" t="s">
        <v>5122</v>
      </c>
      <c r="G1515" s="9" t="s">
        <v>5123</v>
      </c>
      <c r="H1515" s="18" t="str">
        <f t="array" ref="H1515">_xlfn.XLOOKUP(E:E,'Calificación consecuencia'!B:B,'Calificación consecuencia'!K:K,"No encontrada",2)</f>
        <v>Baja</v>
      </c>
      <c r="I1515" s="9" t="s">
        <v>1351</v>
      </c>
      <c r="J1515" s="20" t="s">
        <v>116</v>
      </c>
      <c r="K1515" s="21"/>
      <c r="L1515" s="21"/>
      <c r="M1515" s="20" t="s">
        <v>116</v>
      </c>
      <c r="N1515" s="20" t="s">
        <v>116</v>
      </c>
      <c r="O1515" s="21"/>
      <c r="P1515" s="21"/>
      <c r="Q1515" s="21"/>
      <c r="R1515" s="21"/>
      <c r="S1515" s="21"/>
      <c r="T1515" s="21"/>
      <c r="U1515" s="9" t="s">
        <v>195</v>
      </c>
      <c r="V1515" s="9" t="s">
        <v>196</v>
      </c>
    </row>
    <row r="1516" ht="14.25" customHeight="1">
      <c r="A1516" s="9" t="s">
        <v>3124</v>
      </c>
      <c r="B1516" s="9" t="s">
        <v>3123</v>
      </c>
      <c r="C1516" s="9" t="str">
        <f t="array" ref="C1516">INDEX(Funciones!$G$2:$G$372,MATCH($A1516,Funciones!$B$2:$B$372,0))</f>
        <v>Presurizar los cilindros de freno entre 3,7 y 3,9 bar</v>
      </c>
      <c r="D1516" s="9" t="s">
        <v>5121</v>
      </c>
      <c r="E1516" s="9" t="s">
        <v>3946</v>
      </c>
      <c r="F1516" s="9" t="s">
        <v>5124</v>
      </c>
      <c r="G1516" s="9" t="s">
        <v>5125</v>
      </c>
      <c r="H1516" s="18" t="str">
        <f t="array" ref="H1516">_xlfn.XLOOKUP(E:E,'Calificación consecuencia'!B:B,'Calificación consecuencia'!K:K,"No encontrada",2)</f>
        <v>Baja</v>
      </c>
      <c r="I1516" s="9" t="s">
        <v>425</v>
      </c>
      <c r="J1516" s="20" t="s">
        <v>116</v>
      </c>
      <c r="K1516" s="21"/>
      <c r="L1516" s="21"/>
      <c r="M1516" s="20" t="s">
        <v>116</v>
      </c>
      <c r="N1516" s="20" t="s">
        <v>116</v>
      </c>
      <c r="O1516" s="21"/>
      <c r="P1516" s="21"/>
      <c r="Q1516" s="21"/>
      <c r="R1516" s="21"/>
      <c r="S1516" s="21"/>
      <c r="T1516" s="21"/>
      <c r="U1516" s="9" t="s">
        <v>195</v>
      </c>
      <c r="V1516" s="9" t="s">
        <v>196</v>
      </c>
    </row>
    <row r="1517" ht="14.25" customHeight="1">
      <c r="A1517" s="9" t="s">
        <v>3124</v>
      </c>
      <c r="B1517" s="9" t="s">
        <v>3123</v>
      </c>
      <c r="C1517" s="9" t="str">
        <f t="array" ref="C1517">INDEX(Funciones!$G$2:$G$372,MATCH($A1517,Funciones!$B$2:$B$372,0))</f>
        <v>Presurizar los cilindros de freno entre 3,7 y 3,9 bar</v>
      </c>
      <c r="D1517" s="9" t="s">
        <v>5126</v>
      </c>
      <c r="E1517" s="9" t="s">
        <v>3947</v>
      </c>
      <c r="F1517" s="9" t="s">
        <v>5127</v>
      </c>
      <c r="G1517" s="9" t="s">
        <v>5128</v>
      </c>
      <c r="H1517" s="18" t="str">
        <f t="array" ref="H1517">_xlfn.XLOOKUP(E:E,'Calificación consecuencia'!B:B,'Calificación consecuencia'!K:K,"No encontrada",2)</f>
        <v>Baja</v>
      </c>
      <c r="I1517" s="9" t="s">
        <v>425</v>
      </c>
      <c r="J1517" s="20" t="s">
        <v>116</v>
      </c>
      <c r="K1517" s="21"/>
      <c r="L1517" s="21"/>
      <c r="M1517" s="20" t="s">
        <v>116</v>
      </c>
      <c r="N1517" s="20" t="s">
        <v>116</v>
      </c>
      <c r="O1517" s="21"/>
      <c r="P1517" s="21"/>
      <c r="Q1517" s="21"/>
      <c r="R1517" s="21"/>
      <c r="S1517" s="21"/>
      <c r="T1517" s="21"/>
      <c r="U1517" s="9" t="s">
        <v>195</v>
      </c>
      <c r="V1517" s="9" t="s">
        <v>196</v>
      </c>
    </row>
    <row r="1518" ht="14.25" customHeight="1">
      <c r="A1518" s="27" t="s">
        <v>3132</v>
      </c>
      <c r="B1518" s="27" t="s">
        <v>3123</v>
      </c>
      <c r="C1518" s="27" t="str">
        <f t="array" ref="C1518">INDEX(Funciones!$G$2:$G$372,MATCH($A1518,Funciones!$B$2:$B$372,0))</f>
        <v>Llenar el cilindro de freno en 3 a 5 s</v>
      </c>
      <c r="D1518" s="27" t="s">
        <v>5129</v>
      </c>
      <c r="E1518" s="27" t="s">
        <v>3943</v>
      </c>
      <c r="F1518" s="27" t="s">
        <v>5130</v>
      </c>
      <c r="G1518" s="27" t="s">
        <v>5118</v>
      </c>
      <c r="H1518" s="18" t="str">
        <f t="array" ref="H1518">_xlfn.XLOOKUP(E:E,'Calificación consecuencia'!B:B,'Calificación consecuencia'!K:K,"No encontrada",2)</f>
        <v>Media</v>
      </c>
      <c r="I1518" s="27" t="s">
        <v>425</v>
      </c>
      <c r="J1518" s="30" t="s">
        <v>116</v>
      </c>
      <c r="K1518" s="21"/>
      <c r="L1518" s="21"/>
      <c r="M1518" s="30" t="s">
        <v>116</v>
      </c>
      <c r="N1518" s="30" t="s">
        <v>116</v>
      </c>
      <c r="O1518" s="21"/>
      <c r="P1518" s="21"/>
      <c r="Q1518" s="21"/>
      <c r="R1518" s="21"/>
      <c r="S1518" s="21"/>
      <c r="T1518" s="21"/>
      <c r="U1518" s="27" t="s">
        <v>195</v>
      </c>
      <c r="V1518" s="27" t="s">
        <v>196</v>
      </c>
    </row>
    <row r="1519" ht="14.25" customHeight="1">
      <c r="A1519" s="27" t="s">
        <v>3132</v>
      </c>
      <c r="B1519" s="27" t="s">
        <v>3123</v>
      </c>
      <c r="C1519" s="27" t="str">
        <f t="array" ref="C1519">INDEX(Funciones!$G$2:$G$372,MATCH($A1519,Funciones!$B$2:$B$372,0))</f>
        <v>Llenar el cilindro de freno en 3 a 5 s</v>
      </c>
      <c r="D1519" s="27" t="s">
        <v>5131</v>
      </c>
      <c r="E1519" s="27" t="s">
        <v>3948</v>
      </c>
      <c r="F1519" s="27" t="s">
        <v>5132</v>
      </c>
      <c r="G1519" s="27" t="s">
        <v>5133</v>
      </c>
      <c r="H1519" s="18" t="str">
        <f t="array" ref="H1519">_xlfn.XLOOKUP(E:E,'Calificación consecuencia'!B:B,'Calificación consecuencia'!K:K,"No encontrada",2)</f>
        <v>Baja</v>
      </c>
      <c r="I1519" s="27" t="s">
        <v>425</v>
      </c>
      <c r="J1519" s="30" t="s">
        <v>116</v>
      </c>
      <c r="K1519" s="21"/>
      <c r="L1519" s="21"/>
      <c r="M1519" s="30" t="s">
        <v>116</v>
      </c>
      <c r="N1519" s="30" t="s">
        <v>116</v>
      </c>
      <c r="O1519" s="21"/>
      <c r="P1519" s="21"/>
      <c r="Q1519" s="21"/>
      <c r="R1519" s="21"/>
      <c r="S1519" s="21"/>
      <c r="T1519" s="21"/>
      <c r="U1519" s="27" t="s">
        <v>195</v>
      </c>
      <c r="V1519" s="27" t="s">
        <v>196</v>
      </c>
    </row>
    <row r="1520" ht="14.25" customHeight="1">
      <c r="A1520" s="27" t="s">
        <v>3132</v>
      </c>
      <c r="B1520" s="27" t="s">
        <v>3123</v>
      </c>
      <c r="C1520" s="27" t="str">
        <f t="array" ref="C1520">INDEX(Funciones!$G$2:$G$372,MATCH($A1520,Funciones!$B$2:$B$372,0))</f>
        <v>Llenar el cilindro de freno en 3 a 5 s</v>
      </c>
      <c r="D1520" s="27" t="s">
        <v>5134</v>
      </c>
      <c r="E1520" s="27" t="s">
        <v>3949</v>
      </c>
      <c r="F1520" s="27" t="s">
        <v>5135</v>
      </c>
      <c r="G1520" s="27" t="s">
        <v>5136</v>
      </c>
      <c r="H1520" s="18" t="str">
        <f t="array" ref="H1520">_xlfn.XLOOKUP(E:E,'Calificación consecuencia'!B:B,'Calificación consecuencia'!K:K,"No encontrada",2)</f>
        <v>Media</v>
      </c>
      <c r="I1520" s="27" t="s">
        <v>425</v>
      </c>
      <c r="J1520" s="30" t="s">
        <v>116</v>
      </c>
      <c r="K1520" s="21"/>
      <c r="L1520" s="21"/>
      <c r="M1520" s="30" t="s">
        <v>116</v>
      </c>
      <c r="N1520" s="30" t="s">
        <v>116</v>
      </c>
      <c r="O1520" s="21"/>
      <c r="P1520" s="21"/>
      <c r="Q1520" s="21"/>
      <c r="R1520" s="21"/>
      <c r="S1520" s="21"/>
      <c r="T1520" s="21"/>
      <c r="U1520" s="27" t="s">
        <v>195</v>
      </c>
      <c r="V1520" s="27" t="s">
        <v>196</v>
      </c>
    </row>
    <row r="1521" ht="14.25" customHeight="1">
      <c r="A1521" s="9" t="s">
        <v>3138</v>
      </c>
      <c r="B1521" s="9" t="s">
        <v>3123</v>
      </c>
      <c r="C1521" s="9" t="str">
        <f t="array" ref="C1521">INDEX(Funciones!$G$2:$G$372,MATCH($A1521,Funciones!$B$2:$B$372,0))</f>
        <v>Aflojar el freno en 15 a 20 s</v>
      </c>
      <c r="D1521" s="9" t="s">
        <v>5137</v>
      </c>
      <c r="E1521" s="9" t="s">
        <v>3943</v>
      </c>
      <c r="F1521" s="9" t="s">
        <v>5138</v>
      </c>
      <c r="G1521" s="9" t="s">
        <v>5118</v>
      </c>
      <c r="H1521" s="18" t="str">
        <f t="array" ref="H1521">_xlfn.XLOOKUP(E:E,'Calificación consecuencia'!B:B,'Calificación consecuencia'!K:K,"No encontrada",2)</f>
        <v>Media</v>
      </c>
      <c r="I1521" s="9" t="s">
        <v>425</v>
      </c>
      <c r="J1521" s="20" t="s">
        <v>116</v>
      </c>
      <c r="K1521" s="21"/>
      <c r="L1521" s="21"/>
      <c r="M1521" s="20" t="s">
        <v>116</v>
      </c>
      <c r="N1521" s="20" t="s">
        <v>116</v>
      </c>
      <c r="O1521" s="21"/>
      <c r="P1521" s="21"/>
      <c r="Q1521" s="21"/>
      <c r="R1521" s="21"/>
      <c r="S1521" s="21"/>
      <c r="T1521" s="21"/>
      <c r="U1521" s="9" t="s">
        <v>195</v>
      </c>
      <c r="V1521" s="9" t="s">
        <v>196</v>
      </c>
    </row>
    <row r="1522" ht="14.25" customHeight="1">
      <c r="A1522" s="9" t="s">
        <v>3138</v>
      </c>
      <c r="B1522" s="9" t="s">
        <v>3123</v>
      </c>
      <c r="C1522" s="9" t="str">
        <f t="array" ref="C1522">INDEX(Funciones!$G$2:$G$372,MATCH($A1522,Funciones!$B$2:$B$372,0))</f>
        <v>Aflojar el freno en 15 a 20 s</v>
      </c>
      <c r="D1522" s="9" t="s">
        <v>5139</v>
      </c>
      <c r="E1522" s="9" t="s">
        <v>3950</v>
      </c>
      <c r="F1522" s="9" t="s">
        <v>5140</v>
      </c>
      <c r="G1522" s="9" t="s">
        <v>5128</v>
      </c>
      <c r="H1522" s="18" t="str">
        <f t="array" ref="H1522">_xlfn.XLOOKUP(E:E,'Calificación consecuencia'!B:B,'Calificación consecuencia'!K:K,"No encontrada",2)</f>
        <v>Baja</v>
      </c>
      <c r="I1522" s="9" t="s">
        <v>1800</v>
      </c>
      <c r="J1522" s="20" t="s">
        <v>116</v>
      </c>
      <c r="K1522" s="21"/>
      <c r="L1522" s="21"/>
      <c r="M1522" s="22" t="s">
        <v>120</v>
      </c>
      <c r="N1522" s="21"/>
      <c r="O1522" s="22" t="s">
        <v>120</v>
      </c>
      <c r="P1522" s="21"/>
      <c r="Q1522" s="21"/>
      <c r="R1522" s="21"/>
      <c r="S1522" s="20" t="s">
        <v>116</v>
      </c>
      <c r="T1522" s="20" t="s">
        <v>116</v>
      </c>
      <c r="U1522" s="9" t="s">
        <v>3471</v>
      </c>
      <c r="V1522" s="9" t="s">
        <v>196</v>
      </c>
    </row>
    <row r="1523" ht="14.25" customHeight="1">
      <c r="A1523" s="9" t="s">
        <v>3138</v>
      </c>
      <c r="B1523" s="9" t="s">
        <v>3123</v>
      </c>
      <c r="C1523" s="9" t="str">
        <f t="array" ref="C1523">INDEX(Funciones!$G$2:$G$372,MATCH($A1523,Funciones!$B$2:$B$372,0))</f>
        <v>Aflojar el freno en 15 a 20 s</v>
      </c>
      <c r="D1523" s="9" t="s">
        <v>5141</v>
      </c>
      <c r="E1523" s="9" t="s">
        <v>3951</v>
      </c>
      <c r="F1523" s="9" t="s">
        <v>5142</v>
      </c>
      <c r="G1523" s="9" t="s">
        <v>5143</v>
      </c>
      <c r="H1523" s="18" t="str">
        <f t="array" ref="H1523">_xlfn.XLOOKUP(E:E,'Calificación consecuencia'!B:B,'Calificación consecuencia'!K:K,"No encontrada",2)</f>
        <v>Media</v>
      </c>
      <c r="I1523" s="9" t="s">
        <v>1800</v>
      </c>
      <c r="J1523" s="20" t="s">
        <v>116</v>
      </c>
      <c r="K1523" s="21"/>
      <c r="L1523" s="21"/>
      <c r="M1523" s="22" t="s">
        <v>120</v>
      </c>
      <c r="N1523" s="21"/>
      <c r="O1523" s="22" t="s">
        <v>120</v>
      </c>
      <c r="P1523" s="21"/>
      <c r="Q1523" s="21"/>
      <c r="R1523" s="21"/>
      <c r="S1523" s="20" t="s">
        <v>116</v>
      </c>
      <c r="T1523" s="20" t="s">
        <v>116</v>
      </c>
      <c r="U1523" s="9" t="s">
        <v>3471</v>
      </c>
      <c r="V1523" s="9" t="s">
        <v>196</v>
      </c>
    </row>
    <row r="1524" ht="14.25" customHeight="1">
      <c r="A1524" s="27" t="s">
        <v>3144</v>
      </c>
      <c r="B1524" s="27" t="s">
        <v>3143</v>
      </c>
      <c r="C1524" s="27" t="str">
        <f t="array" ref="C1524">INDEX(Funciones!$G$2:$G$372,MATCH($A1524,Funciones!$B$2:$B$372,0))</f>
        <v>Presurizar los cilindros de freno entre 3,7 y 3,9 bar</v>
      </c>
      <c r="D1524" s="27" t="s">
        <v>5116</v>
      </c>
      <c r="E1524" s="27" t="s">
        <v>3943</v>
      </c>
      <c r="F1524" s="27" t="s">
        <v>5117</v>
      </c>
      <c r="G1524" s="27" t="s">
        <v>5118</v>
      </c>
      <c r="H1524" s="18" t="str">
        <f t="array" ref="H1524">_xlfn.XLOOKUP(E:E,'Calificación consecuencia'!B:B,'Calificación consecuencia'!K:K,"No encontrada",2)</f>
        <v>Media</v>
      </c>
      <c r="I1524" s="27" t="s">
        <v>425</v>
      </c>
      <c r="J1524" s="30" t="s">
        <v>116</v>
      </c>
      <c r="K1524" s="21"/>
      <c r="L1524" s="21"/>
      <c r="M1524" s="30" t="s">
        <v>116</v>
      </c>
      <c r="N1524" s="30" t="s">
        <v>116</v>
      </c>
      <c r="O1524" s="21"/>
      <c r="P1524" s="21"/>
      <c r="Q1524" s="21"/>
      <c r="R1524" s="21"/>
      <c r="S1524" s="21"/>
      <c r="T1524" s="21"/>
      <c r="U1524" s="27" t="s">
        <v>195</v>
      </c>
      <c r="V1524" s="27" t="s">
        <v>196</v>
      </c>
    </row>
    <row r="1525" ht="14.25" customHeight="1">
      <c r="A1525" s="27" t="s">
        <v>3144</v>
      </c>
      <c r="B1525" s="27" t="s">
        <v>3143</v>
      </c>
      <c r="C1525" s="27" t="str">
        <f t="array" ref="C1525">INDEX(Funciones!$G$2:$G$372,MATCH($A1525,Funciones!$B$2:$B$372,0))</f>
        <v>Presurizar los cilindros de freno entre 3,7 y 3,9 bar</v>
      </c>
      <c r="D1525" s="27" t="s">
        <v>5116</v>
      </c>
      <c r="E1525" s="27" t="s">
        <v>3944</v>
      </c>
      <c r="F1525" s="27" t="s">
        <v>5119</v>
      </c>
      <c r="G1525" s="27" t="s">
        <v>5120</v>
      </c>
      <c r="H1525" s="18" t="str">
        <f t="array" ref="H1525">_xlfn.XLOOKUP(E:E,'Calificación consecuencia'!B:B,'Calificación consecuencia'!K:K,"No encontrada",2)</f>
        <v>Media</v>
      </c>
      <c r="I1525" s="27" t="s">
        <v>425</v>
      </c>
      <c r="J1525" s="30" t="s">
        <v>116</v>
      </c>
      <c r="K1525" s="21"/>
      <c r="L1525" s="21"/>
      <c r="M1525" s="30" t="s">
        <v>116</v>
      </c>
      <c r="N1525" s="30" t="s">
        <v>116</v>
      </c>
      <c r="O1525" s="21"/>
      <c r="P1525" s="21"/>
      <c r="Q1525" s="21"/>
      <c r="R1525" s="21"/>
      <c r="S1525" s="21"/>
      <c r="T1525" s="21"/>
      <c r="U1525" s="27" t="s">
        <v>195</v>
      </c>
      <c r="V1525" s="27" t="s">
        <v>196</v>
      </c>
    </row>
    <row r="1526" ht="14.25" customHeight="1">
      <c r="A1526" s="27" t="s">
        <v>3144</v>
      </c>
      <c r="B1526" s="27" t="s">
        <v>3143</v>
      </c>
      <c r="C1526" s="27" t="str">
        <f t="array" ref="C1526">INDEX(Funciones!$G$2:$G$372,MATCH($A1526,Funciones!$B$2:$B$372,0))</f>
        <v>Presurizar los cilindros de freno entre 3,7 y 3,9 bar</v>
      </c>
      <c r="D1526" s="27" t="s">
        <v>5121</v>
      </c>
      <c r="E1526" s="27" t="s">
        <v>3945</v>
      </c>
      <c r="F1526" s="27" t="s">
        <v>5122</v>
      </c>
      <c r="G1526" s="27" t="s">
        <v>5123</v>
      </c>
      <c r="H1526" s="18" t="str">
        <f t="array" ref="H1526">_xlfn.XLOOKUP(E:E,'Calificación consecuencia'!B:B,'Calificación consecuencia'!K:K,"No encontrada",2)</f>
        <v>Baja</v>
      </c>
      <c r="I1526" s="27" t="s">
        <v>1351</v>
      </c>
      <c r="J1526" s="30" t="s">
        <v>116</v>
      </c>
      <c r="K1526" s="21"/>
      <c r="L1526" s="21"/>
      <c r="M1526" s="30" t="s">
        <v>116</v>
      </c>
      <c r="N1526" s="30" t="s">
        <v>116</v>
      </c>
      <c r="O1526" s="21"/>
      <c r="P1526" s="21"/>
      <c r="Q1526" s="21"/>
      <c r="R1526" s="21"/>
      <c r="S1526" s="21"/>
      <c r="T1526" s="21"/>
      <c r="U1526" s="27" t="s">
        <v>195</v>
      </c>
      <c r="V1526" s="27" t="s">
        <v>196</v>
      </c>
    </row>
    <row r="1527" ht="14.25" customHeight="1">
      <c r="A1527" s="27" t="s">
        <v>3144</v>
      </c>
      <c r="B1527" s="27" t="s">
        <v>3143</v>
      </c>
      <c r="C1527" s="27" t="str">
        <f t="array" ref="C1527">INDEX(Funciones!$G$2:$G$372,MATCH($A1527,Funciones!$B$2:$B$372,0))</f>
        <v>Presurizar los cilindros de freno entre 3,7 y 3,9 bar</v>
      </c>
      <c r="D1527" s="27" t="s">
        <v>5121</v>
      </c>
      <c r="E1527" s="27" t="s">
        <v>3946</v>
      </c>
      <c r="F1527" s="27" t="s">
        <v>5124</v>
      </c>
      <c r="G1527" s="27" t="s">
        <v>5125</v>
      </c>
      <c r="H1527" s="18" t="str">
        <f t="array" ref="H1527">_xlfn.XLOOKUP(E:E,'Calificación consecuencia'!B:B,'Calificación consecuencia'!K:K,"No encontrada",2)</f>
        <v>Baja</v>
      </c>
      <c r="I1527" s="27" t="s">
        <v>425</v>
      </c>
      <c r="J1527" s="30" t="s">
        <v>116</v>
      </c>
      <c r="K1527" s="21"/>
      <c r="L1527" s="21"/>
      <c r="M1527" s="30" t="s">
        <v>116</v>
      </c>
      <c r="N1527" s="30" t="s">
        <v>116</v>
      </c>
      <c r="O1527" s="21"/>
      <c r="P1527" s="21"/>
      <c r="Q1527" s="21"/>
      <c r="R1527" s="21"/>
      <c r="S1527" s="21"/>
      <c r="T1527" s="21"/>
      <c r="U1527" s="27" t="s">
        <v>195</v>
      </c>
      <c r="V1527" s="27" t="s">
        <v>196</v>
      </c>
    </row>
    <row r="1528" ht="14.25" customHeight="1">
      <c r="A1528" s="27" t="s">
        <v>3144</v>
      </c>
      <c r="B1528" s="27" t="s">
        <v>3143</v>
      </c>
      <c r="C1528" s="27" t="str">
        <f t="array" ref="C1528">INDEX(Funciones!$G$2:$G$372,MATCH($A1528,Funciones!$B$2:$B$372,0))</f>
        <v>Presurizar los cilindros de freno entre 3,7 y 3,9 bar</v>
      </c>
      <c r="D1528" s="27" t="s">
        <v>5126</v>
      </c>
      <c r="E1528" s="27" t="s">
        <v>3947</v>
      </c>
      <c r="F1528" s="27" t="s">
        <v>5127</v>
      </c>
      <c r="G1528" s="27" t="s">
        <v>5128</v>
      </c>
      <c r="H1528" s="18" t="str">
        <f t="array" ref="H1528">_xlfn.XLOOKUP(E:E,'Calificación consecuencia'!B:B,'Calificación consecuencia'!K:K,"No encontrada",2)</f>
        <v>Baja</v>
      </c>
      <c r="I1528" s="27" t="s">
        <v>425</v>
      </c>
      <c r="J1528" s="30" t="s">
        <v>116</v>
      </c>
      <c r="K1528" s="21"/>
      <c r="L1528" s="21"/>
      <c r="M1528" s="30" t="s">
        <v>116</v>
      </c>
      <c r="N1528" s="30" t="s">
        <v>116</v>
      </c>
      <c r="O1528" s="21"/>
      <c r="P1528" s="21"/>
      <c r="Q1528" s="21"/>
      <c r="R1528" s="21"/>
      <c r="S1528" s="21"/>
      <c r="T1528" s="21"/>
      <c r="U1528" s="27" t="s">
        <v>195</v>
      </c>
      <c r="V1528" s="27" t="s">
        <v>196</v>
      </c>
    </row>
    <row r="1529" ht="14.25" customHeight="1">
      <c r="A1529" s="9" t="s">
        <v>3150</v>
      </c>
      <c r="B1529" s="9" t="s">
        <v>3143</v>
      </c>
      <c r="C1529" s="9" t="str">
        <f t="array" ref="C1529">INDEX(Funciones!$G$2:$G$372,MATCH($A1529,Funciones!$B$2:$B$372,0))</f>
        <v>Llenar el cilindro de freno en 3 a 5 s</v>
      </c>
      <c r="D1529" s="9" t="s">
        <v>5129</v>
      </c>
      <c r="E1529" s="9" t="s">
        <v>3943</v>
      </c>
      <c r="F1529" s="9" t="s">
        <v>5130</v>
      </c>
      <c r="G1529" s="9" t="s">
        <v>5118</v>
      </c>
      <c r="H1529" s="18" t="str">
        <f t="array" ref="H1529">_xlfn.XLOOKUP(E:E,'Calificación consecuencia'!B:B,'Calificación consecuencia'!K:K,"No encontrada",2)</f>
        <v>Media</v>
      </c>
      <c r="I1529" s="9" t="s">
        <v>425</v>
      </c>
      <c r="J1529" s="20" t="s">
        <v>116</v>
      </c>
      <c r="K1529" s="21"/>
      <c r="L1529" s="21"/>
      <c r="M1529" s="20" t="s">
        <v>116</v>
      </c>
      <c r="N1529" s="20" t="s">
        <v>116</v>
      </c>
      <c r="O1529" s="21"/>
      <c r="P1529" s="21"/>
      <c r="Q1529" s="21"/>
      <c r="R1529" s="21"/>
      <c r="S1529" s="21"/>
      <c r="T1529" s="21"/>
      <c r="U1529" s="9" t="s">
        <v>195</v>
      </c>
      <c r="V1529" s="9" t="s">
        <v>196</v>
      </c>
    </row>
    <row r="1530" ht="14.25" customHeight="1">
      <c r="A1530" s="9" t="s">
        <v>3150</v>
      </c>
      <c r="B1530" s="9" t="s">
        <v>3143</v>
      </c>
      <c r="C1530" s="9" t="str">
        <f t="array" ref="C1530">INDEX(Funciones!$G$2:$G$372,MATCH($A1530,Funciones!$B$2:$B$372,0))</f>
        <v>Llenar el cilindro de freno en 3 a 5 s</v>
      </c>
      <c r="D1530" s="9" t="s">
        <v>5131</v>
      </c>
      <c r="E1530" s="9" t="s">
        <v>3948</v>
      </c>
      <c r="F1530" s="9" t="s">
        <v>5132</v>
      </c>
      <c r="G1530" s="9" t="s">
        <v>5133</v>
      </c>
      <c r="H1530" s="18" t="str">
        <f t="array" ref="H1530">_xlfn.XLOOKUP(E:E,'Calificación consecuencia'!B:B,'Calificación consecuencia'!K:K,"No encontrada",2)</f>
        <v>Baja</v>
      </c>
      <c r="I1530" s="9" t="s">
        <v>425</v>
      </c>
      <c r="J1530" s="20" t="s">
        <v>116</v>
      </c>
      <c r="K1530" s="21"/>
      <c r="L1530" s="21"/>
      <c r="M1530" s="20" t="s">
        <v>116</v>
      </c>
      <c r="N1530" s="20" t="s">
        <v>116</v>
      </c>
      <c r="O1530" s="21"/>
      <c r="P1530" s="21"/>
      <c r="Q1530" s="21"/>
      <c r="R1530" s="21"/>
      <c r="S1530" s="21"/>
      <c r="T1530" s="21"/>
      <c r="U1530" s="9" t="s">
        <v>195</v>
      </c>
      <c r="V1530" s="9" t="s">
        <v>196</v>
      </c>
    </row>
    <row r="1531" ht="14.25" customHeight="1">
      <c r="A1531" s="9" t="s">
        <v>3150</v>
      </c>
      <c r="B1531" s="9" t="s">
        <v>3143</v>
      </c>
      <c r="C1531" s="9" t="str">
        <f t="array" ref="C1531">INDEX(Funciones!$G$2:$G$372,MATCH($A1531,Funciones!$B$2:$B$372,0))</f>
        <v>Llenar el cilindro de freno en 3 a 5 s</v>
      </c>
      <c r="D1531" s="9" t="s">
        <v>5134</v>
      </c>
      <c r="E1531" s="9" t="s">
        <v>3949</v>
      </c>
      <c r="F1531" s="9" t="s">
        <v>5135</v>
      </c>
      <c r="G1531" s="9" t="s">
        <v>5136</v>
      </c>
      <c r="H1531" s="18" t="str">
        <f t="array" ref="H1531">_xlfn.XLOOKUP(E:E,'Calificación consecuencia'!B:B,'Calificación consecuencia'!K:K,"No encontrada",2)</f>
        <v>Media</v>
      </c>
      <c r="I1531" s="9" t="s">
        <v>425</v>
      </c>
      <c r="J1531" s="20" t="s">
        <v>116</v>
      </c>
      <c r="K1531" s="21"/>
      <c r="L1531" s="21"/>
      <c r="M1531" s="20" t="s">
        <v>116</v>
      </c>
      <c r="N1531" s="20" t="s">
        <v>116</v>
      </c>
      <c r="O1531" s="21"/>
      <c r="P1531" s="21"/>
      <c r="Q1531" s="21"/>
      <c r="R1531" s="21"/>
      <c r="S1531" s="21"/>
      <c r="T1531" s="21"/>
      <c r="U1531" s="9" t="s">
        <v>195</v>
      </c>
      <c r="V1531" s="9" t="s">
        <v>196</v>
      </c>
    </row>
    <row r="1532" ht="14.25" customHeight="1">
      <c r="A1532" s="27" t="s">
        <v>3151</v>
      </c>
      <c r="B1532" s="27" t="s">
        <v>3143</v>
      </c>
      <c r="C1532" s="27" t="str">
        <f t="array" ref="C1532">INDEX(Funciones!$G$2:$G$372,MATCH($A1532,Funciones!$B$2:$B$372,0))</f>
        <v>Aflojar el freno en 15 a 20 s</v>
      </c>
      <c r="D1532" s="27" t="s">
        <v>5137</v>
      </c>
      <c r="E1532" s="27" t="s">
        <v>3943</v>
      </c>
      <c r="F1532" s="27" t="s">
        <v>5138</v>
      </c>
      <c r="G1532" s="27" t="s">
        <v>5118</v>
      </c>
      <c r="H1532" s="18" t="str">
        <f t="array" ref="H1532">_xlfn.XLOOKUP(E:E,'Calificación consecuencia'!B:B,'Calificación consecuencia'!K:K,"No encontrada",2)</f>
        <v>Media</v>
      </c>
      <c r="I1532" s="27" t="s">
        <v>425</v>
      </c>
      <c r="J1532" s="30" t="s">
        <v>116</v>
      </c>
      <c r="K1532" s="21"/>
      <c r="L1532" s="21"/>
      <c r="M1532" s="30" t="s">
        <v>116</v>
      </c>
      <c r="N1532" s="30" t="s">
        <v>116</v>
      </c>
      <c r="O1532" s="21"/>
      <c r="P1532" s="21"/>
      <c r="Q1532" s="21"/>
      <c r="R1532" s="21"/>
      <c r="S1532" s="21"/>
      <c r="T1532" s="21"/>
      <c r="U1532" s="27" t="s">
        <v>195</v>
      </c>
      <c r="V1532" s="27" t="s">
        <v>196</v>
      </c>
    </row>
    <row r="1533" ht="14.25" customHeight="1">
      <c r="A1533" s="27" t="s">
        <v>3151</v>
      </c>
      <c r="B1533" s="27" t="s">
        <v>3143</v>
      </c>
      <c r="C1533" s="27" t="str">
        <f t="array" ref="C1533">INDEX(Funciones!$G$2:$G$372,MATCH($A1533,Funciones!$B$2:$B$372,0))</f>
        <v>Aflojar el freno en 15 a 20 s</v>
      </c>
      <c r="D1533" s="27" t="s">
        <v>5139</v>
      </c>
      <c r="E1533" s="27" t="s">
        <v>3950</v>
      </c>
      <c r="F1533" s="27" t="s">
        <v>5140</v>
      </c>
      <c r="G1533" s="27" t="s">
        <v>5128</v>
      </c>
      <c r="H1533" s="18" t="str">
        <f t="array" ref="H1533">_xlfn.XLOOKUP(E:E,'Calificación consecuencia'!B:B,'Calificación consecuencia'!K:K,"No encontrada",2)</f>
        <v>Baja</v>
      </c>
      <c r="I1533" s="27" t="s">
        <v>1800</v>
      </c>
      <c r="J1533" s="30" t="s">
        <v>116</v>
      </c>
      <c r="K1533" s="21"/>
      <c r="L1533" s="21"/>
      <c r="M1533" s="29" t="s">
        <v>120</v>
      </c>
      <c r="N1533" s="21"/>
      <c r="O1533" s="29" t="s">
        <v>120</v>
      </c>
      <c r="P1533" s="21"/>
      <c r="Q1533" s="21"/>
      <c r="R1533" s="21"/>
      <c r="S1533" s="30" t="s">
        <v>116</v>
      </c>
      <c r="T1533" s="30" t="s">
        <v>116</v>
      </c>
      <c r="U1533" s="27" t="s">
        <v>3471</v>
      </c>
      <c r="V1533" s="27" t="s">
        <v>196</v>
      </c>
    </row>
    <row r="1534" ht="14.25" customHeight="1">
      <c r="A1534" s="27" t="s">
        <v>3151</v>
      </c>
      <c r="B1534" s="27" t="s">
        <v>3143</v>
      </c>
      <c r="C1534" s="27" t="str">
        <f t="array" ref="C1534">INDEX(Funciones!$G$2:$G$372,MATCH($A1534,Funciones!$B$2:$B$372,0))</f>
        <v>Aflojar el freno en 15 a 20 s</v>
      </c>
      <c r="D1534" s="27" t="s">
        <v>5141</v>
      </c>
      <c r="E1534" s="27" t="s">
        <v>3951</v>
      </c>
      <c r="F1534" s="27" t="s">
        <v>5142</v>
      </c>
      <c r="G1534" s="27" t="s">
        <v>5143</v>
      </c>
      <c r="H1534" s="18" t="str">
        <f t="array" ref="H1534">_xlfn.XLOOKUP(E:E,'Calificación consecuencia'!B:B,'Calificación consecuencia'!K:K,"No encontrada",2)</f>
        <v>Media</v>
      </c>
      <c r="I1534" s="27" t="s">
        <v>1800</v>
      </c>
      <c r="J1534" s="30" t="s">
        <v>116</v>
      </c>
      <c r="K1534" s="21"/>
      <c r="L1534" s="21"/>
      <c r="M1534" s="29" t="s">
        <v>120</v>
      </c>
      <c r="N1534" s="21"/>
      <c r="O1534" s="29" t="s">
        <v>120</v>
      </c>
      <c r="P1534" s="21"/>
      <c r="Q1534" s="21"/>
      <c r="R1534" s="21"/>
      <c r="S1534" s="30" t="s">
        <v>116</v>
      </c>
      <c r="T1534" s="30" t="s">
        <v>116</v>
      </c>
      <c r="U1534" s="27" t="s">
        <v>3471</v>
      </c>
      <c r="V1534" s="27" t="s">
        <v>196</v>
      </c>
    </row>
    <row r="1535" ht="14.25" customHeight="1">
      <c r="A1535" s="9" t="s">
        <v>3153</v>
      </c>
      <c r="B1535" s="9" t="s">
        <v>3152</v>
      </c>
      <c r="C1535" s="9" t="str">
        <f t="array" ref="C1535">INDEX(Funciones!$G$2:$G$372,MATCH($A1535,Funciones!$B$2:$B$372,0))</f>
        <v>Presurizar los cilindros de freno entre 3,7 y 3,9 bar</v>
      </c>
      <c r="D1535" s="9" t="s">
        <v>5116</v>
      </c>
      <c r="E1535" s="9" t="s">
        <v>3943</v>
      </c>
      <c r="F1535" s="9" t="s">
        <v>5117</v>
      </c>
      <c r="G1535" s="9" t="s">
        <v>5118</v>
      </c>
      <c r="H1535" s="18" t="str">
        <f t="array" ref="H1535">_xlfn.XLOOKUP(E:E,'Calificación consecuencia'!B:B,'Calificación consecuencia'!K:K,"No encontrada",2)</f>
        <v>Media</v>
      </c>
      <c r="I1535" s="9" t="s">
        <v>425</v>
      </c>
      <c r="J1535" s="20" t="s">
        <v>116</v>
      </c>
      <c r="K1535" s="21"/>
      <c r="L1535" s="21"/>
      <c r="M1535" s="20" t="s">
        <v>116</v>
      </c>
      <c r="N1535" s="20" t="s">
        <v>116</v>
      </c>
      <c r="O1535" s="21"/>
      <c r="P1535" s="21"/>
      <c r="Q1535" s="21"/>
      <c r="R1535" s="21"/>
      <c r="S1535" s="21"/>
      <c r="T1535" s="21"/>
      <c r="U1535" s="9" t="s">
        <v>195</v>
      </c>
      <c r="V1535" s="9" t="s">
        <v>196</v>
      </c>
    </row>
    <row r="1536" ht="14.25" customHeight="1">
      <c r="A1536" s="9" t="s">
        <v>3153</v>
      </c>
      <c r="B1536" s="9" t="s">
        <v>3152</v>
      </c>
      <c r="C1536" s="9" t="str">
        <f t="array" ref="C1536">INDEX(Funciones!$G$2:$G$372,MATCH($A1536,Funciones!$B$2:$B$372,0))</f>
        <v>Presurizar los cilindros de freno entre 3,7 y 3,9 bar</v>
      </c>
      <c r="D1536" s="9" t="s">
        <v>5116</v>
      </c>
      <c r="E1536" s="9" t="s">
        <v>3944</v>
      </c>
      <c r="F1536" s="9" t="s">
        <v>5119</v>
      </c>
      <c r="G1536" s="9" t="s">
        <v>5120</v>
      </c>
      <c r="H1536" s="18" t="str">
        <f t="array" ref="H1536">_xlfn.XLOOKUP(E:E,'Calificación consecuencia'!B:B,'Calificación consecuencia'!K:K,"No encontrada",2)</f>
        <v>Media</v>
      </c>
      <c r="I1536" s="9" t="s">
        <v>425</v>
      </c>
      <c r="J1536" s="20" t="s">
        <v>116</v>
      </c>
      <c r="K1536" s="21"/>
      <c r="L1536" s="21"/>
      <c r="M1536" s="20" t="s">
        <v>116</v>
      </c>
      <c r="N1536" s="20" t="s">
        <v>116</v>
      </c>
      <c r="O1536" s="21"/>
      <c r="P1536" s="21"/>
      <c r="Q1536" s="21"/>
      <c r="R1536" s="21"/>
      <c r="S1536" s="21"/>
      <c r="T1536" s="21"/>
      <c r="U1536" s="9" t="s">
        <v>195</v>
      </c>
      <c r="V1536" s="9" t="s">
        <v>196</v>
      </c>
    </row>
    <row r="1537" ht="14.25" customHeight="1">
      <c r="A1537" s="9" t="s">
        <v>3153</v>
      </c>
      <c r="B1537" s="9" t="s">
        <v>3152</v>
      </c>
      <c r="C1537" s="9" t="str">
        <f t="array" ref="C1537">INDEX(Funciones!$G$2:$G$372,MATCH($A1537,Funciones!$B$2:$B$372,0))</f>
        <v>Presurizar los cilindros de freno entre 3,7 y 3,9 bar</v>
      </c>
      <c r="D1537" s="9" t="s">
        <v>5121</v>
      </c>
      <c r="E1537" s="9" t="s">
        <v>3945</v>
      </c>
      <c r="F1537" s="9" t="s">
        <v>5122</v>
      </c>
      <c r="G1537" s="9" t="s">
        <v>5123</v>
      </c>
      <c r="H1537" s="18" t="str">
        <f t="array" ref="H1537">_xlfn.XLOOKUP(E:E,'Calificación consecuencia'!B:B,'Calificación consecuencia'!K:K,"No encontrada",2)</f>
        <v>Baja</v>
      </c>
      <c r="I1537" s="9" t="s">
        <v>1351</v>
      </c>
      <c r="J1537" s="20" t="s">
        <v>116</v>
      </c>
      <c r="K1537" s="21"/>
      <c r="L1537" s="21"/>
      <c r="M1537" s="20" t="s">
        <v>116</v>
      </c>
      <c r="N1537" s="20" t="s">
        <v>116</v>
      </c>
      <c r="O1537" s="21"/>
      <c r="P1537" s="21"/>
      <c r="Q1537" s="21"/>
      <c r="R1537" s="21"/>
      <c r="S1537" s="21"/>
      <c r="T1537" s="21"/>
      <c r="U1537" s="9" t="s">
        <v>195</v>
      </c>
      <c r="V1537" s="9" t="s">
        <v>196</v>
      </c>
    </row>
    <row r="1538" ht="14.25" customHeight="1">
      <c r="A1538" s="9" t="s">
        <v>3153</v>
      </c>
      <c r="B1538" s="9" t="s">
        <v>3152</v>
      </c>
      <c r="C1538" s="9" t="str">
        <f t="array" ref="C1538">INDEX(Funciones!$G$2:$G$372,MATCH($A1538,Funciones!$B$2:$B$372,0))</f>
        <v>Presurizar los cilindros de freno entre 3,7 y 3,9 bar</v>
      </c>
      <c r="D1538" s="9" t="s">
        <v>5121</v>
      </c>
      <c r="E1538" s="9" t="s">
        <v>3946</v>
      </c>
      <c r="F1538" s="9" t="s">
        <v>5124</v>
      </c>
      <c r="G1538" s="9" t="s">
        <v>5125</v>
      </c>
      <c r="H1538" s="18" t="str">
        <f t="array" ref="H1538">_xlfn.XLOOKUP(E:E,'Calificación consecuencia'!B:B,'Calificación consecuencia'!K:K,"No encontrada",2)</f>
        <v>Baja</v>
      </c>
      <c r="I1538" s="9" t="s">
        <v>425</v>
      </c>
      <c r="J1538" s="20" t="s">
        <v>116</v>
      </c>
      <c r="K1538" s="21"/>
      <c r="L1538" s="21"/>
      <c r="M1538" s="20" t="s">
        <v>116</v>
      </c>
      <c r="N1538" s="20" t="s">
        <v>116</v>
      </c>
      <c r="O1538" s="21"/>
      <c r="P1538" s="21"/>
      <c r="Q1538" s="21"/>
      <c r="R1538" s="21"/>
      <c r="S1538" s="21"/>
      <c r="T1538" s="21"/>
      <c r="U1538" s="9" t="s">
        <v>195</v>
      </c>
      <c r="V1538" s="9" t="s">
        <v>196</v>
      </c>
    </row>
    <row r="1539" ht="14.25" customHeight="1">
      <c r="A1539" s="9" t="s">
        <v>3153</v>
      </c>
      <c r="B1539" s="9" t="s">
        <v>3152</v>
      </c>
      <c r="C1539" s="9" t="str">
        <f t="array" ref="C1539">INDEX(Funciones!$G$2:$G$372,MATCH($A1539,Funciones!$B$2:$B$372,0))</f>
        <v>Presurizar los cilindros de freno entre 3,7 y 3,9 bar</v>
      </c>
      <c r="D1539" s="9" t="s">
        <v>5126</v>
      </c>
      <c r="E1539" s="9" t="s">
        <v>3947</v>
      </c>
      <c r="F1539" s="9" t="s">
        <v>5127</v>
      </c>
      <c r="G1539" s="9" t="s">
        <v>5128</v>
      </c>
      <c r="H1539" s="18" t="str">
        <f t="array" ref="H1539">_xlfn.XLOOKUP(E:E,'Calificación consecuencia'!B:B,'Calificación consecuencia'!K:K,"No encontrada",2)</f>
        <v>Baja</v>
      </c>
      <c r="I1539" s="9" t="s">
        <v>425</v>
      </c>
      <c r="J1539" s="20" t="s">
        <v>116</v>
      </c>
      <c r="K1539" s="21"/>
      <c r="L1539" s="21"/>
      <c r="M1539" s="20" t="s">
        <v>116</v>
      </c>
      <c r="N1539" s="20" t="s">
        <v>116</v>
      </c>
      <c r="O1539" s="21"/>
      <c r="P1539" s="21"/>
      <c r="Q1539" s="21"/>
      <c r="R1539" s="21"/>
      <c r="S1539" s="21"/>
      <c r="T1539" s="21"/>
      <c r="U1539" s="9" t="s">
        <v>195</v>
      </c>
      <c r="V1539" s="9" t="s">
        <v>196</v>
      </c>
    </row>
    <row r="1540" ht="14.25" customHeight="1">
      <c r="A1540" s="27" t="s">
        <v>3158</v>
      </c>
      <c r="B1540" s="27" t="s">
        <v>3152</v>
      </c>
      <c r="C1540" s="27" t="str">
        <f t="array" ref="C1540">INDEX(Funciones!$G$2:$G$372,MATCH($A1540,Funciones!$B$2:$B$372,0))</f>
        <v>Llenar el cilindro de freno en 3 a 5 s</v>
      </c>
      <c r="D1540" s="27" t="s">
        <v>5129</v>
      </c>
      <c r="E1540" s="27" t="s">
        <v>3943</v>
      </c>
      <c r="F1540" s="27" t="s">
        <v>5130</v>
      </c>
      <c r="G1540" s="27" t="s">
        <v>5118</v>
      </c>
      <c r="H1540" s="18" t="str">
        <f t="array" ref="H1540">_xlfn.XLOOKUP(E:E,'Calificación consecuencia'!B:B,'Calificación consecuencia'!K:K,"No encontrada",2)</f>
        <v>Media</v>
      </c>
      <c r="I1540" s="27" t="s">
        <v>425</v>
      </c>
      <c r="J1540" s="30" t="s">
        <v>116</v>
      </c>
      <c r="K1540" s="21"/>
      <c r="L1540" s="21"/>
      <c r="M1540" s="30" t="s">
        <v>116</v>
      </c>
      <c r="N1540" s="30" t="s">
        <v>116</v>
      </c>
      <c r="O1540" s="21"/>
      <c r="P1540" s="21"/>
      <c r="Q1540" s="21"/>
      <c r="R1540" s="21"/>
      <c r="S1540" s="21"/>
      <c r="T1540" s="21"/>
      <c r="U1540" s="27" t="s">
        <v>195</v>
      </c>
      <c r="V1540" s="27" t="s">
        <v>196</v>
      </c>
    </row>
    <row r="1541" ht="14.25" customHeight="1">
      <c r="A1541" s="27" t="s">
        <v>3158</v>
      </c>
      <c r="B1541" s="27" t="s">
        <v>3152</v>
      </c>
      <c r="C1541" s="27" t="str">
        <f t="array" ref="C1541">INDEX(Funciones!$G$2:$G$372,MATCH($A1541,Funciones!$B$2:$B$372,0))</f>
        <v>Llenar el cilindro de freno en 3 a 5 s</v>
      </c>
      <c r="D1541" s="27" t="s">
        <v>5131</v>
      </c>
      <c r="E1541" s="27" t="s">
        <v>3948</v>
      </c>
      <c r="F1541" s="27" t="s">
        <v>5132</v>
      </c>
      <c r="G1541" s="27" t="s">
        <v>5133</v>
      </c>
      <c r="H1541" s="18" t="str">
        <f t="array" ref="H1541">_xlfn.XLOOKUP(E:E,'Calificación consecuencia'!B:B,'Calificación consecuencia'!K:K,"No encontrada",2)</f>
        <v>Baja</v>
      </c>
      <c r="I1541" s="27" t="s">
        <v>425</v>
      </c>
      <c r="J1541" s="30" t="s">
        <v>116</v>
      </c>
      <c r="K1541" s="21"/>
      <c r="L1541" s="21"/>
      <c r="M1541" s="30" t="s">
        <v>116</v>
      </c>
      <c r="N1541" s="30" t="s">
        <v>116</v>
      </c>
      <c r="O1541" s="21"/>
      <c r="P1541" s="21"/>
      <c r="Q1541" s="21"/>
      <c r="R1541" s="21"/>
      <c r="S1541" s="21"/>
      <c r="T1541" s="21"/>
      <c r="U1541" s="27" t="s">
        <v>195</v>
      </c>
      <c r="V1541" s="27" t="s">
        <v>196</v>
      </c>
    </row>
    <row r="1542" ht="14.25" customHeight="1">
      <c r="A1542" s="27" t="s">
        <v>3158</v>
      </c>
      <c r="B1542" s="27" t="s">
        <v>3152</v>
      </c>
      <c r="C1542" s="27" t="str">
        <f t="array" ref="C1542">INDEX(Funciones!$G$2:$G$372,MATCH($A1542,Funciones!$B$2:$B$372,0))</f>
        <v>Llenar el cilindro de freno en 3 a 5 s</v>
      </c>
      <c r="D1542" s="27" t="s">
        <v>5134</v>
      </c>
      <c r="E1542" s="27" t="s">
        <v>3949</v>
      </c>
      <c r="F1542" s="27" t="s">
        <v>5135</v>
      </c>
      <c r="G1542" s="27" t="s">
        <v>5136</v>
      </c>
      <c r="H1542" s="18" t="str">
        <f t="array" ref="H1542">_xlfn.XLOOKUP(E:E,'Calificación consecuencia'!B:B,'Calificación consecuencia'!K:K,"No encontrada",2)</f>
        <v>Media</v>
      </c>
      <c r="I1542" s="27" t="s">
        <v>425</v>
      </c>
      <c r="J1542" s="30" t="s">
        <v>116</v>
      </c>
      <c r="K1542" s="21"/>
      <c r="L1542" s="21"/>
      <c r="M1542" s="30" t="s">
        <v>116</v>
      </c>
      <c r="N1542" s="30" t="s">
        <v>116</v>
      </c>
      <c r="O1542" s="21"/>
      <c r="P1542" s="21"/>
      <c r="Q1542" s="21"/>
      <c r="R1542" s="21"/>
      <c r="S1542" s="21"/>
      <c r="T1542" s="21"/>
      <c r="U1542" s="27" t="s">
        <v>195</v>
      </c>
      <c r="V1542" s="27" t="s">
        <v>196</v>
      </c>
    </row>
    <row r="1543" ht="14.25" customHeight="1">
      <c r="A1543" s="9" t="s">
        <v>3159</v>
      </c>
      <c r="B1543" s="9" t="s">
        <v>3152</v>
      </c>
      <c r="C1543" s="9" t="str">
        <f t="array" ref="C1543">INDEX(Funciones!$G$2:$G$372,MATCH($A1543,Funciones!$B$2:$B$372,0))</f>
        <v>Aflojar el freno en 15 a 20 s</v>
      </c>
      <c r="D1543" s="9" t="s">
        <v>5137</v>
      </c>
      <c r="E1543" s="9" t="s">
        <v>3943</v>
      </c>
      <c r="F1543" s="9" t="s">
        <v>5138</v>
      </c>
      <c r="G1543" s="9" t="s">
        <v>5118</v>
      </c>
      <c r="H1543" s="18" t="str">
        <f t="array" ref="H1543">_xlfn.XLOOKUP(E:E,'Calificación consecuencia'!B:B,'Calificación consecuencia'!K:K,"No encontrada",2)</f>
        <v>Media</v>
      </c>
      <c r="I1543" s="9" t="s">
        <v>425</v>
      </c>
      <c r="J1543" s="20" t="s">
        <v>116</v>
      </c>
      <c r="K1543" s="21"/>
      <c r="L1543" s="21"/>
      <c r="M1543" s="20" t="s">
        <v>116</v>
      </c>
      <c r="N1543" s="20" t="s">
        <v>116</v>
      </c>
      <c r="O1543" s="21"/>
      <c r="P1543" s="21"/>
      <c r="Q1543" s="21"/>
      <c r="R1543" s="21"/>
      <c r="S1543" s="21"/>
      <c r="T1543" s="21"/>
      <c r="U1543" s="9" t="s">
        <v>195</v>
      </c>
      <c r="V1543" s="9" t="s">
        <v>196</v>
      </c>
    </row>
    <row r="1544" ht="14.25" customHeight="1">
      <c r="A1544" s="9" t="s">
        <v>3159</v>
      </c>
      <c r="B1544" s="9" t="s">
        <v>3152</v>
      </c>
      <c r="C1544" s="9" t="str">
        <f t="array" ref="C1544">INDEX(Funciones!$G$2:$G$372,MATCH($A1544,Funciones!$B$2:$B$372,0))</f>
        <v>Aflojar el freno en 15 a 20 s</v>
      </c>
      <c r="D1544" s="9" t="s">
        <v>5139</v>
      </c>
      <c r="E1544" s="9" t="s">
        <v>3950</v>
      </c>
      <c r="F1544" s="9" t="s">
        <v>5140</v>
      </c>
      <c r="G1544" s="9" t="s">
        <v>5128</v>
      </c>
      <c r="H1544" s="18" t="str">
        <f t="array" ref="H1544">_xlfn.XLOOKUP(E:E,'Calificación consecuencia'!B:B,'Calificación consecuencia'!K:K,"No encontrada",2)</f>
        <v>Baja</v>
      </c>
      <c r="I1544" s="9" t="s">
        <v>1800</v>
      </c>
      <c r="J1544" s="20" t="s">
        <v>116</v>
      </c>
      <c r="K1544" s="21"/>
      <c r="L1544" s="21"/>
      <c r="M1544" s="22" t="s">
        <v>120</v>
      </c>
      <c r="N1544" s="21"/>
      <c r="O1544" s="22" t="s">
        <v>120</v>
      </c>
      <c r="P1544" s="21"/>
      <c r="Q1544" s="21"/>
      <c r="R1544" s="21"/>
      <c r="S1544" s="20" t="s">
        <v>116</v>
      </c>
      <c r="T1544" s="20" t="s">
        <v>116</v>
      </c>
      <c r="U1544" s="9" t="s">
        <v>3471</v>
      </c>
      <c r="V1544" s="9" t="s">
        <v>196</v>
      </c>
    </row>
    <row r="1545" ht="14.25" customHeight="1">
      <c r="A1545" s="9" t="s">
        <v>3159</v>
      </c>
      <c r="B1545" s="9" t="s">
        <v>3152</v>
      </c>
      <c r="C1545" s="9" t="str">
        <f t="array" ref="C1545">INDEX(Funciones!$G$2:$G$372,MATCH($A1545,Funciones!$B$2:$B$372,0))</f>
        <v>Aflojar el freno en 15 a 20 s</v>
      </c>
      <c r="D1545" s="9" t="s">
        <v>5141</v>
      </c>
      <c r="E1545" s="9" t="s">
        <v>3951</v>
      </c>
      <c r="F1545" s="9" t="s">
        <v>5142</v>
      </c>
      <c r="G1545" s="9" t="s">
        <v>5143</v>
      </c>
      <c r="H1545" s="18" t="str">
        <f t="array" ref="H1545">_xlfn.XLOOKUP(E:E,'Calificación consecuencia'!B:B,'Calificación consecuencia'!K:K,"No encontrada",2)</f>
        <v>Media</v>
      </c>
      <c r="I1545" s="9" t="s">
        <v>1800</v>
      </c>
      <c r="J1545" s="20" t="s">
        <v>116</v>
      </c>
      <c r="K1545" s="21"/>
      <c r="L1545" s="21"/>
      <c r="M1545" s="22" t="s">
        <v>120</v>
      </c>
      <c r="N1545" s="21"/>
      <c r="O1545" s="22" t="s">
        <v>120</v>
      </c>
      <c r="P1545" s="21"/>
      <c r="Q1545" s="21"/>
      <c r="R1545" s="21"/>
      <c r="S1545" s="20" t="s">
        <v>116</v>
      </c>
      <c r="T1545" s="20" t="s">
        <v>116</v>
      </c>
      <c r="U1545" s="9" t="s">
        <v>3471</v>
      </c>
      <c r="V1545" s="9" t="s">
        <v>196</v>
      </c>
    </row>
    <row r="1546" ht="14.25" customHeight="1">
      <c r="A1546" s="27" t="s">
        <v>3162</v>
      </c>
      <c r="B1546" s="27" t="s">
        <v>3161</v>
      </c>
      <c r="C1546" s="27" t="str">
        <f t="array" ref="C1546">INDEX(Funciones!$G$2:$G$372,MATCH($A1546,Funciones!$B$2:$B$372,0))</f>
        <v>Transportar material de vía hasta _____ t</v>
      </c>
      <c r="D1546" s="27" t="s">
        <v>4242</v>
      </c>
      <c r="E1546" s="27" t="s">
        <v>2780</v>
      </c>
      <c r="F1546" s="27" t="s">
        <v>4243</v>
      </c>
      <c r="G1546" s="27" t="s">
        <v>4034</v>
      </c>
      <c r="H1546" s="18" t="str">
        <f t="array" ref="H1546">_xlfn.XLOOKUP(E:E,'Calificación consecuencia'!B:B,'Calificación consecuencia'!K:K,"No encontrada",2)</f>
        <v>Baja</v>
      </c>
      <c r="I1546" s="27" t="s">
        <v>425</v>
      </c>
      <c r="J1546" s="30" t="s">
        <v>116</v>
      </c>
      <c r="K1546" s="21"/>
      <c r="L1546" s="21"/>
      <c r="M1546" s="30" t="s">
        <v>116</v>
      </c>
      <c r="N1546" s="30" t="s">
        <v>116</v>
      </c>
      <c r="O1546" s="21"/>
      <c r="P1546" s="21"/>
      <c r="Q1546" s="21"/>
      <c r="R1546" s="21"/>
      <c r="S1546" s="21"/>
      <c r="T1546" s="21"/>
      <c r="U1546" s="27" t="s">
        <v>195</v>
      </c>
      <c r="V1546" s="27" t="s">
        <v>196</v>
      </c>
    </row>
    <row r="1547" ht="14.25" customHeight="1">
      <c r="A1547" s="27" t="s">
        <v>3162</v>
      </c>
      <c r="B1547" s="27" t="s">
        <v>3161</v>
      </c>
      <c r="C1547" s="27" t="str">
        <f t="array" ref="C1547">INDEX(Funciones!$G$2:$G$372,MATCH($A1547,Funciones!$B$2:$B$372,0))</f>
        <v>Transportar material de vía hasta _____ t</v>
      </c>
      <c r="D1547" s="27" t="s">
        <v>4242</v>
      </c>
      <c r="E1547" s="27" t="s">
        <v>3427</v>
      </c>
      <c r="F1547" s="27" t="s">
        <v>4244</v>
      </c>
      <c r="G1547" s="27" t="s">
        <v>4245</v>
      </c>
      <c r="H1547" s="18" t="str">
        <f t="array" ref="H1547">_xlfn.XLOOKUP(E:E,'Calificación consecuencia'!B:B,'Calificación consecuencia'!K:K,"No encontrada",2)</f>
        <v>Media</v>
      </c>
      <c r="I1547" s="27" t="s">
        <v>425</v>
      </c>
      <c r="J1547" s="30" t="s">
        <v>116</v>
      </c>
      <c r="K1547" s="21"/>
      <c r="L1547" s="21"/>
      <c r="M1547" s="30" t="s">
        <v>116</v>
      </c>
      <c r="N1547" s="30" t="s">
        <v>116</v>
      </c>
      <c r="O1547" s="21"/>
      <c r="P1547" s="21"/>
      <c r="Q1547" s="21"/>
      <c r="R1547" s="21"/>
      <c r="S1547" s="21"/>
      <c r="T1547" s="21"/>
      <c r="U1547" s="27" t="s">
        <v>195</v>
      </c>
      <c r="V1547" s="27" t="s">
        <v>196</v>
      </c>
    </row>
    <row r="1548" ht="14.25" customHeight="1">
      <c r="A1548" s="27" t="s">
        <v>3162</v>
      </c>
      <c r="B1548" s="27" t="s">
        <v>3161</v>
      </c>
      <c r="C1548" s="27" t="str">
        <f t="array" ref="C1548">INDEX(Funciones!$G$2:$G$372,MATCH($A1548,Funciones!$B$2:$B$372,0))</f>
        <v>Transportar material de vía hasta _____ t</v>
      </c>
      <c r="D1548" s="27" t="s">
        <v>4246</v>
      </c>
      <c r="E1548" s="27" t="s">
        <v>3428</v>
      </c>
      <c r="F1548" s="27" t="s">
        <v>4247</v>
      </c>
      <c r="G1548" s="27" t="s">
        <v>4248</v>
      </c>
      <c r="H1548" s="18" t="str">
        <f t="array" ref="H1548">_xlfn.XLOOKUP(E:E,'Calificación consecuencia'!B:B,'Calificación consecuencia'!K:K,"No encontrada",2)</f>
        <v>Baja</v>
      </c>
      <c r="I1548" s="27" t="s">
        <v>1351</v>
      </c>
      <c r="J1548" s="30" t="s">
        <v>116</v>
      </c>
      <c r="K1548" s="21"/>
      <c r="L1548" s="21"/>
      <c r="M1548" s="30" t="s">
        <v>116</v>
      </c>
      <c r="N1548" s="30" t="s">
        <v>116</v>
      </c>
      <c r="O1548" s="21"/>
      <c r="P1548" s="21"/>
      <c r="Q1548" s="21"/>
      <c r="R1548" s="21"/>
      <c r="S1548" s="21"/>
      <c r="T1548" s="21"/>
      <c r="U1548" s="27" t="s">
        <v>195</v>
      </c>
      <c r="V1548" s="27" t="s">
        <v>196</v>
      </c>
    </row>
    <row r="1549" ht="14.25" customHeight="1">
      <c r="A1549" s="9" t="s">
        <v>3167</v>
      </c>
      <c r="B1549" s="9" t="s">
        <v>3161</v>
      </c>
      <c r="C1549" s="9" t="str">
        <f t="array" ref="C1549">INDEX(Funciones!$G$2:$G$372,MATCH($A1549,Funciones!$B$2:$B$372,0))</f>
        <v>Presurizar los cilindros de freno entre 3,7 y 3,9 bar</v>
      </c>
      <c r="D1549" s="9" t="s">
        <v>5144</v>
      </c>
      <c r="E1549" s="9" t="s">
        <v>1246</v>
      </c>
      <c r="F1549" s="9" t="s">
        <v>3312</v>
      </c>
      <c r="G1549" s="9" t="s">
        <v>3313</v>
      </c>
      <c r="H1549" s="18" t="str">
        <f t="array" ref="H1549">_xlfn.XLOOKUP(E:E,'Calificación consecuencia'!B:B,'Calificación consecuencia'!K:K,"No encontrada",2)</f>
        <v>Media</v>
      </c>
      <c r="I1549" s="9" t="s">
        <v>425</v>
      </c>
      <c r="J1549" s="20" t="s">
        <v>116</v>
      </c>
      <c r="K1549" s="21"/>
      <c r="L1549" s="21"/>
      <c r="M1549" s="20" t="s">
        <v>116</v>
      </c>
      <c r="N1549" s="20" t="s">
        <v>116</v>
      </c>
      <c r="O1549" s="21"/>
      <c r="P1549" s="21"/>
      <c r="Q1549" s="21"/>
      <c r="R1549" s="21"/>
      <c r="S1549" s="21"/>
      <c r="T1549" s="21"/>
      <c r="U1549" s="9" t="s">
        <v>195</v>
      </c>
      <c r="V1549" s="9" t="s">
        <v>196</v>
      </c>
    </row>
    <row r="1550" ht="14.25" customHeight="1">
      <c r="A1550" s="9" t="s">
        <v>3167</v>
      </c>
      <c r="B1550" s="9" t="s">
        <v>3161</v>
      </c>
      <c r="C1550" s="9" t="str">
        <f t="array" ref="C1550">INDEX(Funciones!$G$2:$G$372,MATCH($A1550,Funciones!$B$2:$B$372,0))</f>
        <v>Presurizar los cilindros de freno entre 3,7 y 3,9 bar</v>
      </c>
      <c r="D1550" s="9" t="s">
        <v>5144</v>
      </c>
      <c r="E1550" s="9" t="s">
        <v>1248</v>
      </c>
      <c r="F1550" s="9" t="s">
        <v>3314</v>
      </c>
      <c r="G1550" s="9" t="s">
        <v>3315</v>
      </c>
      <c r="H1550" s="18" t="str">
        <f t="array" ref="H1550">_xlfn.XLOOKUP(E:E,'Calificación consecuencia'!B:B,'Calificación consecuencia'!K:K,"No encontrada",2)</f>
        <v>Media</v>
      </c>
      <c r="I1550" s="9" t="s">
        <v>425</v>
      </c>
      <c r="J1550" s="20" t="s">
        <v>116</v>
      </c>
      <c r="K1550" s="21"/>
      <c r="L1550" s="21"/>
      <c r="M1550" s="20" t="s">
        <v>116</v>
      </c>
      <c r="N1550" s="20" t="s">
        <v>116</v>
      </c>
      <c r="O1550" s="21"/>
      <c r="P1550" s="21"/>
      <c r="Q1550" s="21"/>
      <c r="R1550" s="21"/>
      <c r="S1550" s="21"/>
      <c r="T1550" s="21"/>
      <c r="U1550" s="9" t="s">
        <v>195</v>
      </c>
      <c r="V1550" s="9" t="s">
        <v>196</v>
      </c>
    </row>
    <row r="1551" ht="14.25" customHeight="1">
      <c r="A1551" s="9" t="s">
        <v>3167</v>
      </c>
      <c r="B1551" s="9" t="s">
        <v>3161</v>
      </c>
      <c r="C1551" s="9" t="str">
        <f t="array" ref="C1551">INDEX(Funciones!$G$2:$G$372,MATCH($A1551,Funciones!$B$2:$B$372,0))</f>
        <v>Presurizar los cilindros de freno entre 3,7 y 3,9 bar</v>
      </c>
      <c r="D1551" s="9" t="s">
        <v>5145</v>
      </c>
      <c r="E1551" s="9" t="s">
        <v>1255</v>
      </c>
      <c r="F1551" s="9" t="s">
        <v>3318</v>
      </c>
      <c r="G1551" s="9" t="s">
        <v>3319</v>
      </c>
      <c r="H1551" s="18" t="str">
        <f t="array" ref="H1551">_xlfn.XLOOKUP(E:E,'Calificación consecuencia'!B:B,'Calificación consecuencia'!K:K,"No encontrada",2)</f>
        <v>Baja</v>
      </c>
      <c r="I1551" s="9" t="s">
        <v>425</v>
      </c>
      <c r="J1551" s="20" t="s">
        <v>116</v>
      </c>
      <c r="K1551" s="21"/>
      <c r="L1551" s="21"/>
      <c r="M1551" s="20" t="s">
        <v>116</v>
      </c>
      <c r="N1551" s="20" t="s">
        <v>116</v>
      </c>
      <c r="O1551" s="21"/>
      <c r="P1551" s="21"/>
      <c r="Q1551" s="21"/>
      <c r="R1551" s="21"/>
      <c r="S1551" s="21"/>
      <c r="T1551" s="21"/>
      <c r="U1551" s="9" t="s">
        <v>195</v>
      </c>
      <c r="V1551" s="9" t="s">
        <v>196</v>
      </c>
    </row>
    <row r="1552" ht="14.25" customHeight="1">
      <c r="A1552" s="9" t="s">
        <v>3167</v>
      </c>
      <c r="B1552" s="9" t="s">
        <v>3161</v>
      </c>
      <c r="C1552" s="9" t="str">
        <f t="array" ref="C1552">INDEX(Funciones!$G$2:$G$372,MATCH($A1552,Funciones!$B$2:$B$372,0))</f>
        <v>Presurizar los cilindros de freno entre 3,7 y 3,9 bar</v>
      </c>
      <c r="D1552" s="9" t="s">
        <v>5145</v>
      </c>
      <c r="E1552" s="9" t="s">
        <v>1259</v>
      </c>
      <c r="F1552" s="9" t="s">
        <v>3322</v>
      </c>
      <c r="G1552" s="9" t="s">
        <v>3323</v>
      </c>
      <c r="H1552" s="18" t="str">
        <f t="array" ref="H1552">_xlfn.XLOOKUP(E:E,'Calificación consecuencia'!B:B,'Calificación consecuencia'!K:K,"No encontrada",2)</f>
        <v>Baja</v>
      </c>
      <c r="I1552" s="9" t="s">
        <v>425</v>
      </c>
      <c r="J1552" s="20" t="s">
        <v>116</v>
      </c>
      <c r="K1552" s="21"/>
      <c r="L1552" s="21"/>
      <c r="M1552" s="20" t="s">
        <v>116</v>
      </c>
      <c r="N1552" s="20" t="s">
        <v>116</v>
      </c>
      <c r="O1552" s="21"/>
      <c r="P1552" s="21"/>
      <c r="Q1552" s="21"/>
      <c r="R1552" s="21"/>
      <c r="S1552" s="21"/>
      <c r="T1552" s="21"/>
      <c r="U1552" s="9" t="s">
        <v>195</v>
      </c>
      <c r="V1552" s="9" t="s">
        <v>196</v>
      </c>
    </row>
    <row r="1553" ht="14.25" customHeight="1">
      <c r="A1553" s="9" t="s">
        <v>3167</v>
      </c>
      <c r="B1553" s="9" t="s">
        <v>3161</v>
      </c>
      <c r="C1553" s="9" t="str">
        <f t="array" ref="C1553">INDEX(Funciones!$G$2:$G$372,MATCH($A1553,Funciones!$B$2:$B$372,0))</f>
        <v>Presurizar los cilindros de freno entre 3,7 y 3,9 bar</v>
      </c>
      <c r="D1553" s="9" t="s">
        <v>5146</v>
      </c>
      <c r="E1553" s="9" t="s">
        <v>1265</v>
      </c>
      <c r="F1553" s="9" t="s">
        <v>3325</v>
      </c>
      <c r="G1553" s="9" t="s">
        <v>3326</v>
      </c>
      <c r="H1553" s="18" t="str">
        <f t="array" ref="H1553">_xlfn.XLOOKUP(E:E,'Calificación consecuencia'!B:B,'Calificación consecuencia'!K:K,"No encontrada",2)</f>
        <v>Media</v>
      </c>
      <c r="I1553" s="9" t="s">
        <v>425</v>
      </c>
      <c r="J1553" s="20" t="s">
        <v>116</v>
      </c>
      <c r="K1553" s="21"/>
      <c r="L1553" s="21"/>
      <c r="M1553" s="20" t="s">
        <v>116</v>
      </c>
      <c r="N1553" s="20" t="s">
        <v>116</v>
      </c>
      <c r="O1553" s="21"/>
      <c r="P1553" s="21"/>
      <c r="Q1553" s="21"/>
      <c r="R1553" s="21"/>
      <c r="S1553" s="21"/>
      <c r="T1553" s="21"/>
      <c r="U1553" s="9" t="s">
        <v>195</v>
      </c>
      <c r="V1553" s="9" t="s">
        <v>196</v>
      </c>
    </row>
    <row r="1554" ht="14.25" customHeight="1">
      <c r="A1554" s="9" t="s">
        <v>3167</v>
      </c>
      <c r="B1554" s="9" t="s">
        <v>3161</v>
      </c>
      <c r="C1554" s="9" t="str">
        <f t="array" ref="C1554">INDEX(Funciones!$G$2:$G$372,MATCH($A1554,Funciones!$B$2:$B$372,0))</f>
        <v>Presurizar los cilindros de freno entre 3,7 y 3,9 bar</v>
      </c>
      <c r="D1554" s="9" t="s">
        <v>5147</v>
      </c>
      <c r="E1554" s="9" t="s">
        <v>1275</v>
      </c>
      <c r="F1554" s="9" t="s">
        <v>3330</v>
      </c>
      <c r="G1554" s="9" t="s">
        <v>2473</v>
      </c>
      <c r="H1554" s="18" t="str">
        <f t="array" ref="H1554">_xlfn.XLOOKUP(E:E,'Calificación consecuencia'!B:B,'Calificación consecuencia'!K:K,"No encontrada",2)</f>
        <v>Baja</v>
      </c>
      <c r="I1554" s="9" t="s">
        <v>425</v>
      </c>
      <c r="J1554" s="20" t="s">
        <v>116</v>
      </c>
      <c r="K1554" s="21"/>
      <c r="L1554" s="21"/>
      <c r="M1554" s="20" t="s">
        <v>116</v>
      </c>
      <c r="N1554" s="20" t="s">
        <v>116</v>
      </c>
      <c r="O1554" s="21"/>
      <c r="P1554" s="21"/>
      <c r="Q1554" s="21"/>
      <c r="R1554" s="21"/>
      <c r="S1554" s="21"/>
      <c r="T1554" s="21"/>
      <c r="U1554" s="9" t="s">
        <v>195</v>
      </c>
      <c r="V1554" s="9" t="s">
        <v>196</v>
      </c>
    </row>
    <row r="1555" ht="14.25" customHeight="1">
      <c r="A1555" s="27" t="s">
        <v>3172</v>
      </c>
      <c r="B1555" s="27" t="s">
        <v>3171</v>
      </c>
      <c r="C1555" s="27" t="str">
        <f t="array" ref="C1555">INDEX(Funciones!$G$2:$G$372,MATCH($A1555,Funciones!$B$2:$B$372,0))</f>
        <v>Suministrar agua a presión de _____ bar</v>
      </c>
      <c r="D1555" s="27" t="s">
        <v>4249</v>
      </c>
      <c r="E1555" s="27" t="s">
        <v>3443</v>
      </c>
      <c r="F1555" s="27" t="s">
        <v>4250</v>
      </c>
      <c r="G1555" s="27" t="s">
        <v>4251</v>
      </c>
      <c r="H1555" s="18" t="str">
        <f t="array" ref="H1555">_xlfn.XLOOKUP(E:E,'Calificación consecuencia'!B:B,'Calificación consecuencia'!K:K,"No encontrada",2)</f>
        <v>Media</v>
      </c>
      <c r="I1555" s="27" t="s">
        <v>425</v>
      </c>
      <c r="J1555" s="30" t="s">
        <v>116</v>
      </c>
      <c r="K1555" s="21"/>
      <c r="L1555" s="21"/>
      <c r="M1555" s="30" t="s">
        <v>116</v>
      </c>
      <c r="N1555" s="30" t="s">
        <v>116</v>
      </c>
      <c r="O1555" s="21"/>
      <c r="P1555" s="21"/>
      <c r="Q1555" s="21"/>
      <c r="R1555" s="21"/>
      <c r="S1555" s="21"/>
      <c r="T1555" s="21"/>
      <c r="U1555" s="27" t="s">
        <v>195</v>
      </c>
      <c r="V1555" s="27" t="s">
        <v>196</v>
      </c>
    </row>
    <row r="1556" ht="14.25" customHeight="1">
      <c r="A1556" s="27" t="s">
        <v>3172</v>
      </c>
      <c r="B1556" s="27" t="s">
        <v>3171</v>
      </c>
      <c r="C1556" s="27" t="str">
        <f t="array" ref="C1556">INDEX(Funciones!$G$2:$G$372,MATCH($A1556,Funciones!$B$2:$B$372,0))</f>
        <v>Suministrar agua a presión de _____ bar</v>
      </c>
      <c r="D1556" s="27" t="s">
        <v>4249</v>
      </c>
      <c r="E1556" s="27" t="s">
        <v>3444</v>
      </c>
      <c r="F1556" s="27" t="s">
        <v>4252</v>
      </c>
      <c r="G1556" s="27" t="s">
        <v>4253</v>
      </c>
      <c r="H1556" s="18" t="str">
        <f t="array" ref="H1556">_xlfn.XLOOKUP(E:E,'Calificación consecuencia'!B:B,'Calificación consecuencia'!K:K,"No encontrada",2)</f>
        <v>Media</v>
      </c>
      <c r="I1556" s="27" t="s">
        <v>425</v>
      </c>
      <c r="J1556" s="30" t="s">
        <v>116</v>
      </c>
      <c r="K1556" s="21"/>
      <c r="L1556" s="21"/>
      <c r="M1556" s="30" t="s">
        <v>116</v>
      </c>
      <c r="N1556" s="30" t="s">
        <v>116</v>
      </c>
      <c r="O1556" s="21"/>
      <c r="P1556" s="21"/>
      <c r="Q1556" s="21"/>
      <c r="R1556" s="21"/>
      <c r="S1556" s="21"/>
      <c r="T1556" s="21"/>
      <c r="U1556" s="27" t="s">
        <v>195</v>
      </c>
      <c r="V1556" s="27" t="s">
        <v>196</v>
      </c>
    </row>
    <row r="1557" ht="14.25" customHeight="1">
      <c r="A1557" s="27" t="s">
        <v>3172</v>
      </c>
      <c r="B1557" s="27" t="s">
        <v>3171</v>
      </c>
      <c r="C1557" s="27" t="str">
        <f t="array" ref="C1557">INDEX(Funciones!$G$2:$G$372,MATCH($A1557,Funciones!$B$2:$B$372,0))</f>
        <v>Suministrar agua a presión de _____ bar</v>
      </c>
      <c r="D1557" s="27" t="s">
        <v>4254</v>
      </c>
      <c r="E1557" s="27" t="s">
        <v>3445</v>
      </c>
      <c r="F1557" s="27" t="s">
        <v>4255</v>
      </c>
      <c r="G1557" s="27" t="s">
        <v>4256</v>
      </c>
      <c r="H1557" s="18" t="str">
        <f t="array" ref="H1557">_xlfn.XLOOKUP(E:E,'Calificación consecuencia'!B:B,'Calificación consecuencia'!K:K,"No encontrada",2)</f>
        <v>Baja</v>
      </c>
      <c r="I1557" s="27" t="s">
        <v>425</v>
      </c>
      <c r="J1557" s="30" t="s">
        <v>116</v>
      </c>
      <c r="K1557" s="21"/>
      <c r="L1557" s="21"/>
      <c r="M1557" s="30" t="s">
        <v>116</v>
      </c>
      <c r="N1557" s="30" t="s">
        <v>116</v>
      </c>
      <c r="O1557" s="21"/>
      <c r="P1557" s="21"/>
      <c r="Q1557" s="21"/>
      <c r="R1557" s="21"/>
      <c r="S1557" s="21"/>
      <c r="T1557" s="21"/>
      <c r="U1557" s="27" t="s">
        <v>195</v>
      </c>
      <c r="V1557" s="27" t="s">
        <v>196</v>
      </c>
    </row>
    <row r="1558" ht="14.25" customHeight="1">
      <c r="A1558" s="27" t="s">
        <v>3172</v>
      </c>
      <c r="B1558" s="27" t="s">
        <v>3171</v>
      </c>
      <c r="C1558" s="27" t="str">
        <f t="array" ref="C1558">INDEX(Funciones!$G$2:$G$372,MATCH($A1558,Funciones!$B$2:$B$372,0))</f>
        <v>Suministrar agua a presión de _____ bar</v>
      </c>
      <c r="D1558" s="27" t="s">
        <v>4254</v>
      </c>
      <c r="E1558" s="27" t="s">
        <v>3448</v>
      </c>
      <c r="F1558" s="27" t="s">
        <v>4257</v>
      </c>
      <c r="G1558" s="27" t="s">
        <v>4258</v>
      </c>
      <c r="H1558" s="18" t="str">
        <f t="array" ref="H1558">_xlfn.XLOOKUP(E:E,'Calificación consecuencia'!B:B,'Calificación consecuencia'!K:K,"No encontrada",2)</f>
        <v>Baja</v>
      </c>
      <c r="I1558" s="27" t="s">
        <v>1351</v>
      </c>
      <c r="J1558" s="30" t="s">
        <v>116</v>
      </c>
      <c r="K1558" s="21"/>
      <c r="L1558" s="21"/>
      <c r="M1558" s="30" t="s">
        <v>116</v>
      </c>
      <c r="N1558" s="30" t="s">
        <v>116</v>
      </c>
      <c r="O1558" s="21"/>
      <c r="P1558" s="21"/>
      <c r="Q1558" s="21"/>
      <c r="R1558" s="21"/>
      <c r="S1558" s="21"/>
      <c r="T1558" s="21"/>
      <c r="U1558" s="27" t="s">
        <v>195</v>
      </c>
      <c r="V1558" s="27" t="s">
        <v>196</v>
      </c>
    </row>
    <row r="1559" ht="14.25" customHeight="1">
      <c r="A1559" s="9" t="s">
        <v>3179</v>
      </c>
      <c r="B1559" s="9" t="s">
        <v>3178</v>
      </c>
      <c r="C1559" s="9" t="str">
        <f t="array" ref="C1559">INDEX(Funciones!$G$2:$G$372,MATCH($A1559,Funciones!$B$2:$B$372,0))</f>
        <v>Impedir el remonte de pestaña con cota qR ≥ 6,5 mm</v>
      </c>
      <c r="D1559" s="9" t="s">
        <v>5148</v>
      </c>
      <c r="E1559" s="9" t="s">
        <v>1127</v>
      </c>
      <c r="F1559" s="9" t="s">
        <v>3221</v>
      </c>
      <c r="G1559" s="9" t="s">
        <v>3222</v>
      </c>
      <c r="H1559" s="18" t="str">
        <f t="array" ref="H1559">_xlfn.XLOOKUP(E:E,'Calificación consecuencia'!B:B,'Calificación consecuencia'!K:K,"No encontrada",2)</f>
        <v>Baja</v>
      </c>
      <c r="I1559" s="9" t="s">
        <v>425</v>
      </c>
      <c r="J1559" s="22" t="s">
        <v>120</v>
      </c>
      <c r="K1559" s="20" t="s">
        <v>116</v>
      </c>
      <c r="L1559" s="21"/>
      <c r="M1559" s="21"/>
      <c r="N1559" s="21"/>
      <c r="O1559" s="21"/>
      <c r="P1559" s="21"/>
      <c r="Q1559" s="21"/>
      <c r="R1559" s="21"/>
      <c r="S1559" s="21"/>
      <c r="T1559" s="21"/>
      <c r="U1559" s="9" t="s">
        <v>439</v>
      </c>
      <c r="V1559" s="9" t="s">
        <v>440</v>
      </c>
    </row>
    <row r="1560" ht="14.25" customHeight="1">
      <c r="A1560" s="9" t="s">
        <v>3179</v>
      </c>
      <c r="B1560" s="9" t="s">
        <v>3178</v>
      </c>
      <c r="C1560" s="9" t="str">
        <f t="array" ref="C1560">INDEX(Funciones!$G$2:$G$372,MATCH($A1560,Funciones!$B$2:$B$372,0))</f>
        <v>Impedir el remonte de pestaña con cota qR ≥ 6,5 mm</v>
      </c>
      <c r="D1560" s="9" t="s">
        <v>5149</v>
      </c>
      <c r="E1560" s="9" t="s">
        <v>1134</v>
      </c>
      <c r="F1560" s="9" t="s">
        <v>3231</v>
      </c>
      <c r="G1560" s="9" t="s">
        <v>3232</v>
      </c>
      <c r="H1560" s="18" t="str">
        <f t="array" ref="H1560">_xlfn.XLOOKUP(E:E,'Calificación consecuencia'!B:B,'Calificación consecuencia'!K:K,"No encontrada",2)</f>
        <v>Media</v>
      </c>
      <c r="I1560" s="9" t="s">
        <v>1800</v>
      </c>
      <c r="J1560" s="22" t="s">
        <v>120</v>
      </c>
      <c r="K1560" s="20" t="s">
        <v>116</v>
      </c>
      <c r="L1560" s="21"/>
      <c r="M1560" s="21"/>
      <c r="N1560" s="21"/>
      <c r="O1560" s="21"/>
      <c r="P1560" s="21"/>
      <c r="Q1560" s="21"/>
      <c r="R1560" s="21"/>
      <c r="S1560" s="21"/>
      <c r="T1560" s="21"/>
      <c r="U1560" s="9" t="s">
        <v>439</v>
      </c>
      <c r="V1560" s="9" t="s">
        <v>440</v>
      </c>
    </row>
    <row r="1561" ht="14.25" customHeight="1">
      <c r="A1561" s="9" t="s">
        <v>3179</v>
      </c>
      <c r="B1561" s="9" t="s">
        <v>3178</v>
      </c>
      <c r="C1561" s="9" t="str">
        <f t="array" ref="C1561">INDEX(Funciones!$G$2:$G$372,MATCH($A1561,Funciones!$B$2:$B$372,0))</f>
        <v>Impedir el remonte de pestaña con cota qR ≥ 6,5 mm</v>
      </c>
      <c r="D1561" s="9" t="s">
        <v>5149</v>
      </c>
      <c r="E1561" s="9" t="s">
        <v>1141</v>
      </c>
      <c r="F1561" s="9" t="s">
        <v>3250</v>
      </c>
      <c r="G1561" s="9" t="s">
        <v>3251</v>
      </c>
      <c r="H1561" s="18" t="str">
        <f t="array" ref="H1561">_xlfn.XLOOKUP(E:E,'Calificación consecuencia'!B:B,'Calificación consecuencia'!K:K,"No encontrada",2)</f>
        <v>Media</v>
      </c>
      <c r="I1561" s="9" t="s">
        <v>425</v>
      </c>
      <c r="J1561" s="22" t="s">
        <v>120</v>
      </c>
      <c r="K1561" s="20" t="s">
        <v>116</v>
      </c>
      <c r="L1561" s="21"/>
      <c r="M1561" s="21"/>
      <c r="N1561" s="21"/>
      <c r="O1561" s="21"/>
      <c r="P1561" s="21"/>
      <c r="Q1561" s="21"/>
      <c r="R1561" s="21"/>
      <c r="S1561" s="21"/>
      <c r="T1561" s="21"/>
      <c r="U1561" s="9" t="s">
        <v>439</v>
      </c>
      <c r="V1561" s="9" t="s">
        <v>440</v>
      </c>
    </row>
    <row r="1562" ht="14.25" customHeight="1">
      <c r="A1562" s="9" t="s">
        <v>3179</v>
      </c>
      <c r="B1562" s="9" t="s">
        <v>3178</v>
      </c>
      <c r="C1562" s="9" t="str">
        <f t="array" ref="C1562">INDEX(Funciones!$G$2:$G$372,MATCH($A1562,Funciones!$B$2:$B$372,0))</f>
        <v>Impedir el remonte de pestaña con cota qR ≥ 6,5 mm</v>
      </c>
      <c r="D1562" s="9" t="s">
        <v>5149</v>
      </c>
      <c r="E1562" s="9" t="s">
        <v>1147</v>
      </c>
      <c r="F1562" s="9" t="s">
        <v>3271</v>
      </c>
      <c r="G1562" s="9" t="s">
        <v>3272</v>
      </c>
      <c r="H1562" s="18" t="str">
        <f t="array" ref="H1562">_xlfn.XLOOKUP(E:E,'Calificación consecuencia'!B:B,'Calificación consecuencia'!K:K,"No encontrada",2)</f>
        <v>Media</v>
      </c>
      <c r="I1562" s="9" t="s">
        <v>1800</v>
      </c>
      <c r="J1562" s="22" t="s">
        <v>120</v>
      </c>
      <c r="K1562" s="20" t="s">
        <v>116</v>
      </c>
      <c r="L1562" s="21"/>
      <c r="M1562" s="21"/>
      <c r="N1562" s="21"/>
      <c r="O1562" s="21"/>
      <c r="P1562" s="21"/>
      <c r="Q1562" s="21"/>
      <c r="R1562" s="21"/>
      <c r="S1562" s="21"/>
      <c r="T1562" s="21"/>
      <c r="U1562" s="9" t="s">
        <v>439</v>
      </c>
      <c r="V1562" s="9" t="s">
        <v>440</v>
      </c>
    </row>
    <row r="1563" ht="14.25" customHeight="1">
      <c r="A1563" s="27" t="s">
        <v>3189</v>
      </c>
      <c r="B1563" s="27" t="s">
        <v>3188</v>
      </c>
      <c r="C1563" s="27" t="str">
        <f t="array" ref="C1563">INDEX(Funciones!$G$2:$G$372,MATCH($A1563,Funciones!$B$2:$B$372,0))</f>
        <v>Retener el polvo de esmerilado hasta presión diferencial de _____ Pa</v>
      </c>
      <c r="D1563" s="27" t="s">
        <v>4295</v>
      </c>
      <c r="E1563" s="27" t="s">
        <v>3491</v>
      </c>
      <c r="F1563" s="27" t="s">
        <v>4296</v>
      </c>
      <c r="G1563" s="27" t="s">
        <v>1764</v>
      </c>
      <c r="H1563" s="18" t="str">
        <f t="array" ref="H1563">_xlfn.XLOOKUP(E:E,'Calificación consecuencia'!B:B,'Calificación consecuencia'!K:K,"No encontrada",2)</f>
        <v>Baja</v>
      </c>
      <c r="I1563" s="27" t="s">
        <v>1351</v>
      </c>
      <c r="J1563" s="30" t="s">
        <v>116</v>
      </c>
      <c r="K1563" s="21"/>
      <c r="L1563" s="21"/>
      <c r="M1563" s="30" t="s">
        <v>116</v>
      </c>
      <c r="N1563" s="30" t="s">
        <v>116</v>
      </c>
      <c r="O1563" s="21"/>
      <c r="P1563" s="21"/>
      <c r="Q1563" s="21"/>
      <c r="R1563" s="21"/>
      <c r="S1563" s="21"/>
      <c r="T1563" s="21"/>
      <c r="U1563" s="27" t="s">
        <v>195</v>
      </c>
      <c r="V1563" s="27" t="s">
        <v>196</v>
      </c>
    </row>
    <row r="1564" ht="14.25" customHeight="1">
      <c r="A1564" s="27" t="s">
        <v>3189</v>
      </c>
      <c r="B1564" s="27" t="s">
        <v>3188</v>
      </c>
      <c r="C1564" s="27" t="str">
        <f t="array" ref="C1564">INDEX(Funciones!$G$2:$G$372,MATCH($A1564,Funciones!$B$2:$B$372,0))</f>
        <v>Retener el polvo de esmerilado hasta presión diferencial de _____ Pa</v>
      </c>
      <c r="D1564" s="27" t="s">
        <v>4295</v>
      </c>
      <c r="E1564" s="27" t="s">
        <v>3492</v>
      </c>
      <c r="F1564" s="27" t="s">
        <v>4297</v>
      </c>
      <c r="G1564" s="27" t="s">
        <v>4298</v>
      </c>
      <c r="H1564" s="18" t="str">
        <f t="array" ref="H1564">_xlfn.XLOOKUP(E:E,'Calificación consecuencia'!B:B,'Calificación consecuencia'!K:K,"No encontrada",2)</f>
        <v>Media</v>
      </c>
      <c r="I1564" s="27" t="s">
        <v>425</v>
      </c>
      <c r="J1564" s="30" t="s">
        <v>116</v>
      </c>
      <c r="K1564" s="21"/>
      <c r="L1564" s="21"/>
      <c r="M1564" s="30" t="s">
        <v>116</v>
      </c>
      <c r="N1564" s="30" t="s">
        <v>116</v>
      </c>
      <c r="O1564" s="21"/>
      <c r="P1564" s="21"/>
      <c r="Q1564" s="21"/>
      <c r="R1564" s="21"/>
      <c r="S1564" s="21"/>
      <c r="T1564" s="21"/>
      <c r="U1564" s="27" t="s">
        <v>195</v>
      </c>
      <c r="V1564" s="27" t="s">
        <v>196</v>
      </c>
    </row>
    <row r="1565" ht="14.25" customHeight="1">
      <c r="A1565" s="27" t="s">
        <v>3189</v>
      </c>
      <c r="B1565" s="27" t="s">
        <v>3188</v>
      </c>
      <c r="C1565" s="27" t="str">
        <f t="array" ref="C1565">INDEX(Funciones!$G$2:$G$372,MATCH($A1565,Funciones!$B$2:$B$372,0))</f>
        <v>Retener el polvo de esmerilado hasta presión diferencial de _____ Pa</v>
      </c>
      <c r="D1565" s="27" t="s">
        <v>4299</v>
      </c>
      <c r="E1565" s="27" t="s">
        <v>3493</v>
      </c>
      <c r="F1565" s="27" t="s">
        <v>4300</v>
      </c>
      <c r="G1565" s="27" t="s">
        <v>4301</v>
      </c>
      <c r="H1565" s="18" t="str">
        <f t="array" ref="H1565">_xlfn.XLOOKUP(E:E,'Calificación consecuencia'!B:B,'Calificación consecuencia'!K:K,"No encontrada",2)</f>
        <v>Baja</v>
      </c>
      <c r="I1565" s="27" t="s">
        <v>2106</v>
      </c>
      <c r="J1565" s="30" t="s">
        <v>116</v>
      </c>
      <c r="K1565" s="21"/>
      <c r="L1565" s="21"/>
      <c r="M1565" s="29" t="s">
        <v>120</v>
      </c>
      <c r="N1565" s="21"/>
      <c r="O1565" s="29" t="s">
        <v>120</v>
      </c>
      <c r="P1565" s="21"/>
      <c r="Q1565" s="21"/>
      <c r="R1565" s="21"/>
      <c r="S1565" s="29" t="s">
        <v>120</v>
      </c>
      <c r="T1565" s="21"/>
      <c r="U1565" s="27" t="s">
        <v>1680</v>
      </c>
      <c r="V1565" s="27" t="s">
        <v>1408</v>
      </c>
    </row>
    <row r="1566" ht="14.25" customHeight="1">
      <c r="A1566" s="27" t="s">
        <v>3189</v>
      </c>
      <c r="B1566" s="27" t="s">
        <v>3188</v>
      </c>
      <c r="C1566" s="27" t="str">
        <f t="array" ref="C1566">INDEX(Funciones!$G$2:$G$372,MATCH($A1566,Funciones!$B$2:$B$372,0))</f>
        <v>Retener el polvo de esmerilado hasta presión diferencial de _____ Pa</v>
      </c>
      <c r="D1566" s="27" t="s">
        <v>4299</v>
      </c>
      <c r="E1566" s="27" t="s">
        <v>3495</v>
      </c>
      <c r="F1566" s="27" t="s">
        <v>4302</v>
      </c>
      <c r="G1566" s="27" t="s">
        <v>4298</v>
      </c>
      <c r="H1566" s="18" t="str">
        <f t="array" ref="H1566">_xlfn.XLOOKUP(E:E,'Calificación consecuencia'!B:B,'Calificación consecuencia'!K:K,"No encontrada",2)</f>
        <v>Baja</v>
      </c>
      <c r="I1566" s="27" t="s">
        <v>2106</v>
      </c>
      <c r="J1566" s="30" t="s">
        <v>116</v>
      </c>
      <c r="K1566" s="21"/>
      <c r="L1566" s="21"/>
      <c r="M1566" s="29" t="s">
        <v>120</v>
      </c>
      <c r="N1566" s="21"/>
      <c r="O1566" s="29" t="s">
        <v>120</v>
      </c>
      <c r="P1566" s="21"/>
      <c r="Q1566" s="21"/>
      <c r="R1566" s="21"/>
      <c r="S1566" s="29" t="s">
        <v>120</v>
      </c>
      <c r="T1566" s="21"/>
      <c r="U1566" s="27" t="s">
        <v>1680</v>
      </c>
      <c r="V1566" s="27" t="s">
        <v>1408</v>
      </c>
    </row>
    <row r="1567" ht="14.25" customHeight="1">
      <c r="A1567" s="9" t="s">
        <v>3195</v>
      </c>
      <c r="B1567" s="9" t="s">
        <v>3194</v>
      </c>
      <c r="C1567" s="9" t="str">
        <f t="array" ref="C1567">INDEX(Funciones!$G$2:$G$372,MATCH($A1567,Funciones!$B$2:$B$372,0))</f>
        <v>Presurizar los cilindros de freno entre 3,7 y 3,9 bar</v>
      </c>
      <c r="D1567" s="9" t="s">
        <v>3311</v>
      </c>
      <c r="E1567" s="9" t="s">
        <v>1246</v>
      </c>
      <c r="F1567" s="9" t="s">
        <v>3312</v>
      </c>
      <c r="G1567" s="9" t="s">
        <v>3313</v>
      </c>
      <c r="H1567" s="18" t="str">
        <f t="array" ref="H1567">_xlfn.XLOOKUP(E:E,'Calificación consecuencia'!B:B,'Calificación consecuencia'!K:K,"No encontrada",2)</f>
        <v>Media</v>
      </c>
      <c r="I1567" s="9" t="s">
        <v>425</v>
      </c>
      <c r="J1567" s="20" t="s">
        <v>116</v>
      </c>
      <c r="K1567" s="21"/>
      <c r="L1567" s="21"/>
      <c r="M1567" s="20" t="s">
        <v>116</v>
      </c>
      <c r="N1567" s="20" t="s">
        <v>116</v>
      </c>
      <c r="O1567" s="21"/>
      <c r="P1567" s="21"/>
      <c r="Q1567" s="21"/>
      <c r="R1567" s="21"/>
      <c r="S1567" s="21"/>
      <c r="T1567" s="21"/>
      <c r="U1567" s="9" t="s">
        <v>195</v>
      </c>
      <c r="V1567" s="9" t="s">
        <v>196</v>
      </c>
    </row>
    <row r="1568" ht="14.25" customHeight="1">
      <c r="A1568" s="9" t="s">
        <v>3195</v>
      </c>
      <c r="B1568" s="9" t="s">
        <v>3194</v>
      </c>
      <c r="C1568" s="9" t="str">
        <f t="array" ref="C1568">INDEX(Funciones!$G$2:$G$372,MATCH($A1568,Funciones!$B$2:$B$372,0))</f>
        <v>Presurizar los cilindros de freno entre 3,7 y 3,9 bar</v>
      </c>
      <c r="D1568" s="9" t="s">
        <v>3311</v>
      </c>
      <c r="E1568" s="9" t="s">
        <v>1248</v>
      </c>
      <c r="F1568" s="9" t="s">
        <v>3314</v>
      </c>
      <c r="G1568" s="9" t="s">
        <v>3315</v>
      </c>
      <c r="H1568" s="18" t="str">
        <f t="array" ref="H1568">_xlfn.XLOOKUP(E:E,'Calificación consecuencia'!B:B,'Calificación consecuencia'!K:K,"No encontrada",2)</f>
        <v>Media</v>
      </c>
      <c r="I1568" s="9" t="s">
        <v>425</v>
      </c>
      <c r="J1568" s="20" t="s">
        <v>116</v>
      </c>
      <c r="K1568" s="21"/>
      <c r="L1568" s="21"/>
      <c r="M1568" s="20" t="s">
        <v>116</v>
      </c>
      <c r="N1568" s="20" t="s">
        <v>116</v>
      </c>
      <c r="O1568" s="21"/>
      <c r="P1568" s="21"/>
      <c r="Q1568" s="21"/>
      <c r="R1568" s="21"/>
      <c r="S1568" s="21"/>
      <c r="T1568" s="21"/>
      <c r="U1568" s="9" t="s">
        <v>195</v>
      </c>
      <c r="V1568" s="9" t="s">
        <v>196</v>
      </c>
    </row>
    <row r="1569" ht="14.25" customHeight="1">
      <c r="A1569" s="9" t="s">
        <v>3195</v>
      </c>
      <c r="B1569" s="9" t="s">
        <v>3194</v>
      </c>
      <c r="C1569" s="9" t="str">
        <f t="array" ref="C1569">INDEX(Funciones!$G$2:$G$372,MATCH($A1569,Funciones!$B$2:$B$372,0))</f>
        <v>Presurizar los cilindros de freno entre 3,7 y 3,9 bar</v>
      </c>
      <c r="D1569" s="9" t="s">
        <v>3316</v>
      </c>
      <c r="E1569" s="9" t="s">
        <v>1255</v>
      </c>
      <c r="F1569" s="9" t="s">
        <v>3318</v>
      </c>
      <c r="G1569" s="9" t="s">
        <v>3319</v>
      </c>
      <c r="H1569" s="18" t="str">
        <f t="array" ref="H1569">_xlfn.XLOOKUP(E:E,'Calificación consecuencia'!B:B,'Calificación consecuencia'!K:K,"No encontrada",2)</f>
        <v>Baja</v>
      </c>
      <c r="I1569" s="9" t="s">
        <v>425</v>
      </c>
      <c r="J1569" s="20" t="s">
        <v>116</v>
      </c>
      <c r="K1569" s="21"/>
      <c r="L1569" s="21"/>
      <c r="M1569" s="20" t="s">
        <v>116</v>
      </c>
      <c r="N1569" s="20" t="s">
        <v>116</v>
      </c>
      <c r="O1569" s="21"/>
      <c r="P1569" s="21"/>
      <c r="Q1569" s="21"/>
      <c r="R1569" s="21"/>
      <c r="S1569" s="21"/>
      <c r="T1569" s="21"/>
      <c r="U1569" s="9" t="s">
        <v>195</v>
      </c>
      <c r="V1569" s="9" t="s">
        <v>196</v>
      </c>
    </row>
    <row r="1570" ht="14.25" customHeight="1">
      <c r="A1570" s="9" t="s">
        <v>3195</v>
      </c>
      <c r="B1570" s="9" t="s">
        <v>3194</v>
      </c>
      <c r="C1570" s="9" t="str">
        <f t="array" ref="C1570">INDEX(Funciones!$G$2:$G$372,MATCH($A1570,Funciones!$B$2:$B$372,0))</f>
        <v>Presurizar los cilindros de freno entre 3,7 y 3,9 bar</v>
      </c>
      <c r="D1570" s="9" t="s">
        <v>3316</v>
      </c>
      <c r="E1570" s="9" t="s">
        <v>1259</v>
      </c>
      <c r="F1570" s="9" t="s">
        <v>3322</v>
      </c>
      <c r="G1570" s="9" t="s">
        <v>3323</v>
      </c>
      <c r="H1570" s="18" t="str">
        <f t="array" ref="H1570">_xlfn.XLOOKUP(E:E,'Calificación consecuencia'!B:B,'Calificación consecuencia'!K:K,"No encontrada",2)</f>
        <v>Baja</v>
      </c>
      <c r="I1570" s="9" t="s">
        <v>425</v>
      </c>
      <c r="J1570" s="20" t="s">
        <v>116</v>
      </c>
      <c r="K1570" s="21"/>
      <c r="L1570" s="21"/>
      <c r="M1570" s="20" t="s">
        <v>116</v>
      </c>
      <c r="N1570" s="20" t="s">
        <v>116</v>
      </c>
      <c r="O1570" s="21"/>
      <c r="P1570" s="21"/>
      <c r="Q1570" s="21"/>
      <c r="R1570" s="21"/>
      <c r="S1570" s="21"/>
      <c r="T1570" s="21"/>
      <c r="U1570" s="9" t="s">
        <v>195</v>
      </c>
      <c r="V1570" s="9" t="s">
        <v>196</v>
      </c>
    </row>
    <row r="1571" ht="14.25" customHeight="1">
      <c r="A1571" s="9" t="s">
        <v>3195</v>
      </c>
      <c r="B1571" s="9" t="s">
        <v>3194</v>
      </c>
      <c r="C1571" s="9" t="str">
        <f t="array" ref="C1571">INDEX(Funciones!$G$2:$G$372,MATCH($A1571,Funciones!$B$2:$B$372,0))</f>
        <v>Presurizar los cilindros de freno entre 3,7 y 3,9 bar</v>
      </c>
      <c r="D1571" s="9" t="s">
        <v>3324</v>
      </c>
      <c r="E1571" s="9" t="s">
        <v>1265</v>
      </c>
      <c r="F1571" s="9" t="s">
        <v>3325</v>
      </c>
      <c r="G1571" s="9" t="s">
        <v>3326</v>
      </c>
      <c r="H1571" s="18" t="str">
        <f t="array" ref="H1571">_xlfn.XLOOKUP(E:E,'Calificación consecuencia'!B:B,'Calificación consecuencia'!K:K,"No encontrada",2)</f>
        <v>Media</v>
      </c>
      <c r="I1571" s="9" t="s">
        <v>425</v>
      </c>
      <c r="J1571" s="20" t="s">
        <v>116</v>
      </c>
      <c r="K1571" s="21"/>
      <c r="L1571" s="21"/>
      <c r="M1571" s="20" t="s">
        <v>116</v>
      </c>
      <c r="N1571" s="20" t="s">
        <v>116</v>
      </c>
      <c r="O1571" s="21"/>
      <c r="P1571" s="21"/>
      <c r="Q1571" s="21"/>
      <c r="R1571" s="21"/>
      <c r="S1571" s="21"/>
      <c r="T1571" s="21"/>
      <c r="U1571" s="9" t="s">
        <v>195</v>
      </c>
      <c r="V1571" s="9" t="s">
        <v>196</v>
      </c>
    </row>
    <row r="1572" ht="14.25" customHeight="1">
      <c r="A1572" s="9" t="s">
        <v>3195</v>
      </c>
      <c r="B1572" s="9" t="s">
        <v>3194</v>
      </c>
      <c r="C1572" s="9" t="str">
        <f t="array" ref="C1572">INDEX(Funciones!$G$2:$G$372,MATCH($A1572,Funciones!$B$2:$B$372,0))</f>
        <v>Presurizar los cilindros de freno entre 3,7 y 3,9 bar</v>
      </c>
      <c r="D1572" s="9" t="s">
        <v>3329</v>
      </c>
      <c r="E1572" s="9" t="s">
        <v>1275</v>
      </c>
      <c r="F1572" s="9" t="s">
        <v>3330</v>
      </c>
      <c r="G1572" s="9" t="s">
        <v>2473</v>
      </c>
      <c r="H1572" s="18" t="str">
        <f t="array" ref="H1572">_xlfn.XLOOKUP(E:E,'Calificación consecuencia'!B:B,'Calificación consecuencia'!K:K,"No encontrada",2)</f>
        <v>Baja</v>
      </c>
      <c r="I1572" s="9" t="s">
        <v>425</v>
      </c>
      <c r="J1572" s="20" t="s">
        <v>116</v>
      </c>
      <c r="K1572" s="21"/>
      <c r="L1572" s="21"/>
      <c r="M1572" s="20" t="s">
        <v>116</v>
      </c>
      <c r="N1572" s="20" t="s">
        <v>116</v>
      </c>
      <c r="O1572" s="21"/>
      <c r="P1572" s="21"/>
      <c r="Q1572" s="21"/>
      <c r="R1572" s="21"/>
      <c r="S1572" s="21"/>
      <c r="T1572" s="21"/>
      <c r="U1572" s="9" t="s">
        <v>195</v>
      </c>
      <c r="V1572" s="9" t="s">
        <v>196</v>
      </c>
    </row>
    <row r="1573" ht="14.25" customHeight="1">
      <c r="A1573" s="27" t="s">
        <v>3203</v>
      </c>
      <c r="B1573" s="27" t="s">
        <v>3202</v>
      </c>
      <c r="C1573" s="27" t="str">
        <f t="array" ref="C1573">INDEX(Funciones!$G$2:$G$372,MATCH($A1573,Funciones!$B$2:$B$372,0))</f>
        <v>Generar energía trifásica a 460 V CA</v>
      </c>
      <c r="D1573" s="27" t="s">
        <v>5150</v>
      </c>
      <c r="E1573" s="27" t="s">
        <v>3960</v>
      </c>
      <c r="F1573" s="27" t="s">
        <v>5151</v>
      </c>
      <c r="G1573" s="27" t="s">
        <v>5152</v>
      </c>
      <c r="H1573" s="18" t="str">
        <f t="array" ref="H1573">_xlfn.XLOOKUP(E:E,'Calificación consecuencia'!B:B,'Calificación consecuencia'!K:K,"No encontrada",2)</f>
        <v>Baja</v>
      </c>
      <c r="I1573" s="27" t="s">
        <v>339</v>
      </c>
      <c r="J1573" s="30" t="s">
        <v>116</v>
      </c>
      <c r="K1573" s="21"/>
      <c r="L1573" s="21"/>
      <c r="M1573" s="29" t="s">
        <v>120</v>
      </c>
      <c r="N1573" s="21"/>
      <c r="O1573" s="30" t="s">
        <v>116</v>
      </c>
      <c r="P1573" s="30" t="s">
        <v>116</v>
      </c>
      <c r="Q1573" s="21"/>
      <c r="R1573" s="21"/>
      <c r="S1573" s="21"/>
      <c r="T1573" s="21"/>
      <c r="U1573" s="27" t="s">
        <v>345</v>
      </c>
      <c r="V1573" s="27" t="s">
        <v>196</v>
      </c>
    </row>
    <row r="1574" ht="14.25" customHeight="1">
      <c r="A1574" s="27" t="s">
        <v>3203</v>
      </c>
      <c r="B1574" s="27" t="s">
        <v>3202</v>
      </c>
      <c r="C1574" s="27" t="str">
        <f t="array" ref="C1574">INDEX(Funciones!$G$2:$G$372,MATCH($A1574,Funciones!$B$2:$B$372,0))</f>
        <v>Generar energía trifásica a 460 V CA</v>
      </c>
      <c r="D1574" s="27" t="s">
        <v>5153</v>
      </c>
      <c r="E1574" s="27" t="s">
        <v>3961</v>
      </c>
      <c r="F1574" s="27" t="s">
        <v>5154</v>
      </c>
      <c r="G1574" s="27" t="s">
        <v>5155</v>
      </c>
      <c r="H1574" s="18" t="str">
        <f t="array" ref="H1574">_xlfn.XLOOKUP(E:E,'Calificación consecuencia'!B:B,'Calificación consecuencia'!K:K,"No encontrada",2)</f>
        <v>Baja</v>
      </c>
      <c r="I1574" s="27" t="s">
        <v>2106</v>
      </c>
      <c r="J1574" s="30" t="s">
        <v>116</v>
      </c>
      <c r="K1574" s="21"/>
      <c r="L1574" s="21"/>
      <c r="M1574" s="29" t="s">
        <v>120</v>
      </c>
      <c r="N1574" s="21"/>
      <c r="O1574" s="29" t="s">
        <v>120</v>
      </c>
      <c r="P1574" s="21"/>
      <c r="Q1574" s="21"/>
      <c r="R1574" s="21"/>
      <c r="S1574" s="29" t="s">
        <v>120</v>
      </c>
      <c r="T1574" s="21"/>
      <c r="U1574" s="27" t="s">
        <v>1680</v>
      </c>
      <c r="V1574" s="27" t="s">
        <v>1408</v>
      </c>
    </row>
    <row r="1575" ht="14.25" customHeight="1">
      <c r="A1575" s="27" t="s">
        <v>3203</v>
      </c>
      <c r="B1575" s="27" t="s">
        <v>3202</v>
      </c>
      <c r="C1575" s="27" t="str">
        <f t="array" ref="C1575">INDEX(Funciones!$G$2:$G$372,MATCH($A1575,Funciones!$B$2:$B$372,0))</f>
        <v>Generar energía trifásica a 460 V CA</v>
      </c>
      <c r="D1575" s="27" t="s">
        <v>5153</v>
      </c>
      <c r="E1575" s="27" t="s">
        <v>3962</v>
      </c>
      <c r="F1575" s="27" t="s">
        <v>5156</v>
      </c>
      <c r="G1575" s="27" t="s">
        <v>5157</v>
      </c>
      <c r="H1575" s="18" t="str">
        <f t="array" ref="H1575">_xlfn.XLOOKUP(E:E,'Calificación consecuencia'!B:B,'Calificación consecuencia'!K:K,"No encontrada",2)</f>
        <v>Baja</v>
      </c>
      <c r="I1575" s="27" t="s">
        <v>2106</v>
      </c>
      <c r="J1575" s="30" t="s">
        <v>116</v>
      </c>
      <c r="K1575" s="21"/>
      <c r="L1575" s="21"/>
      <c r="M1575" s="29" t="s">
        <v>120</v>
      </c>
      <c r="N1575" s="21"/>
      <c r="O1575" s="29" t="s">
        <v>120</v>
      </c>
      <c r="P1575" s="21"/>
      <c r="Q1575" s="21"/>
      <c r="R1575" s="21"/>
      <c r="S1575" s="29" t="s">
        <v>120</v>
      </c>
      <c r="T1575" s="21"/>
      <c r="U1575" s="27" t="s">
        <v>1680</v>
      </c>
      <c r="V1575" s="27" t="s">
        <v>1408</v>
      </c>
    </row>
    <row r="1576" ht="14.25" customHeight="1">
      <c r="A1576" s="9" t="s">
        <v>3214</v>
      </c>
      <c r="B1576" s="9" t="s">
        <v>3213</v>
      </c>
      <c r="C1576" s="9" t="str">
        <f t="array" ref="C1576">INDEX(Funciones!$G$2:$G$372,MATCH($A1576,Funciones!$B$2:$B$372,0))</f>
        <v>Entregar potencia mecánica de _____ kW</v>
      </c>
      <c r="D1576" s="9" t="s">
        <v>5158</v>
      </c>
      <c r="E1576" s="9" t="s">
        <v>1339</v>
      </c>
      <c r="F1576" s="9" t="s">
        <v>3995</v>
      </c>
      <c r="G1576" s="9" t="s">
        <v>3374</v>
      </c>
      <c r="H1576" s="18" t="str">
        <f t="array" ref="H1576">_xlfn.XLOOKUP(E:E,'Calificación consecuencia'!B:B,'Calificación consecuencia'!K:K,"No encontrada",2)</f>
        <v>Media</v>
      </c>
      <c r="I1576" s="9" t="s">
        <v>1800</v>
      </c>
      <c r="J1576" s="20" t="s">
        <v>116</v>
      </c>
      <c r="K1576" s="21"/>
      <c r="L1576" s="21"/>
      <c r="M1576" s="22" t="s">
        <v>120</v>
      </c>
      <c r="N1576" s="21"/>
      <c r="O1576" s="20" t="s">
        <v>116</v>
      </c>
      <c r="P1576" s="20" t="s">
        <v>116</v>
      </c>
      <c r="Q1576" s="21"/>
      <c r="R1576" s="21"/>
      <c r="S1576" s="21"/>
      <c r="T1576" s="21"/>
      <c r="U1576" s="9" t="s">
        <v>345</v>
      </c>
      <c r="V1576" s="9" t="s">
        <v>196</v>
      </c>
    </row>
    <row r="1577" ht="14.25" customHeight="1">
      <c r="A1577" s="9" t="s">
        <v>3214</v>
      </c>
      <c r="B1577" s="9" t="s">
        <v>3213</v>
      </c>
      <c r="C1577" s="9" t="str">
        <f t="array" ref="C1577">INDEX(Funciones!$G$2:$G$372,MATCH($A1577,Funciones!$B$2:$B$372,0))</f>
        <v>Entregar potencia mecánica de _____ kW</v>
      </c>
      <c r="D1577" s="9" t="s">
        <v>5158</v>
      </c>
      <c r="E1577" s="9" t="s">
        <v>1786</v>
      </c>
      <c r="F1577" s="9" t="s">
        <v>3996</v>
      </c>
      <c r="G1577" s="9" t="s">
        <v>3378</v>
      </c>
      <c r="H1577" s="18" t="str">
        <f t="array" ref="H1577">_xlfn.XLOOKUP(E:E,'Calificación consecuencia'!B:B,'Calificación consecuencia'!K:K,"No encontrada",2)</f>
        <v>Baja</v>
      </c>
      <c r="I1577" s="9" t="s">
        <v>2106</v>
      </c>
      <c r="J1577" s="20" t="s">
        <v>116</v>
      </c>
      <c r="K1577" s="21"/>
      <c r="L1577" s="21"/>
      <c r="M1577" s="22" t="s">
        <v>120</v>
      </c>
      <c r="N1577" s="21"/>
      <c r="O1577" s="22" t="s">
        <v>120</v>
      </c>
      <c r="P1577" s="21"/>
      <c r="Q1577" s="21"/>
      <c r="R1577" s="21"/>
      <c r="S1577" s="22" t="s">
        <v>120</v>
      </c>
      <c r="T1577" s="21"/>
      <c r="U1577" s="9" t="s">
        <v>1680</v>
      </c>
      <c r="V1577" s="9" t="s">
        <v>1408</v>
      </c>
    </row>
    <row r="1578" ht="14.25" customHeight="1">
      <c r="A1578" s="9" t="s">
        <v>3214</v>
      </c>
      <c r="B1578" s="9" t="s">
        <v>3213</v>
      </c>
      <c r="C1578" s="9" t="str">
        <f t="array" ref="C1578">INDEX(Funciones!$G$2:$G$372,MATCH($A1578,Funciones!$B$2:$B$372,0))</f>
        <v>Entregar potencia mecánica de _____ kW</v>
      </c>
      <c r="D1578" s="9" t="s">
        <v>5159</v>
      </c>
      <c r="E1578" s="9" t="s">
        <v>1350</v>
      </c>
      <c r="F1578" s="9" t="s">
        <v>3998</v>
      </c>
      <c r="G1578" s="9" t="s">
        <v>3382</v>
      </c>
      <c r="H1578" s="18" t="str">
        <f t="array" ref="H1578">_xlfn.XLOOKUP(E:E,'Calificación consecuencia'!B:B,'Calificación consecuencia'!K:K,"No encontrada",2)</f>
        <v>Baja</v>
      </c>
      <c r="I1578" s="9" t="s">
        <v>2106</v>
      </c>
      <c r="J1578" s="20" t="s">
        <v>116</v>
      </c>
      <c r="K1578" s="21"/>
      <c r="L1578" s="21"/>
      <c r="M1578" s="22" t="s">
        <v>120</v>
      </c>
      <c r="N1578" s="21"/>
      <c r="O1578" s="22" t="s">
        <v>120</v>
      </c>
      <c r="P1578" s="21"/>
      <c r="Q1578" s="21"/>
      <c r="R1578" s="21"/>
      <c r="S1578" s="22" t="s">
        <v>120</v>
      </c>
      <c r="T1578" s="21"/>
      <c r="U1578" s="9" t="s">
        <v>1680</v>
      </c>
      <c r="V1578" s="9" t="s">
        <v>1408</v>
      </c>
    </row>
    <row r="1579" ht="14.25" customHeight="1">
      <c r="A1579" s="9" t="s">
        <v>3214</v>
      </c>
      <c r="B1579" s="9" t="s">
        <v>3213</v>
      </c>
      <c r="C1579" s="9" t="str">
        <f t="array" ref="C1579">INDEX(Funciones!$G$2:$G$372,MATCH($A1579,Funciones!$B$2:$B$372,0))</f>
        <v>Entregar potencia mecánica de _____ kW</v>
      </c>
      <c r="D1579" s="9" t="s">
        <v>5159</v>
      </c>
      <c r="E1579" s="9" t="s">
        <v>1794</v>
      </c>
      <c r="F1579" s="9" t="s">
        <v>3999</v>
      </c>
      <c r="G1579" s="9" t="s">
        <v>3614</v>
      </c>
      <c r="H1579" s="18" t="str">
        <f t="array" ref="H1579">_xlfn.XLOOKUP(E:E,'Calificación consecuencia'!B:B,'Calificación consecuencia'!K:K,"No encontrada",2)</f>
        <v>Baja</v>
      </c>
      <c r="I1579" s="9" t="s">
        <v>1800</v>
      </c>
      <c r="J1579" s="20" t="s">
        <v>116</v>
      </c>
      <c r="K1579" s="21"/>
      <c r="L1579" s="21"/>
      <c r="M1579" s="22" t="s">
        <v>120</v>
      </c>
      <c r="N1579" s="21"/>
      <c r="O1579" s="20" t="s">
        <v>116</v>
      </c>
      <c r="P1579" s="20" t="s">
        <v>116</v>
      </c>
      <c r="Q1579" s="21"/>
      <c r="R1579" s="21"/>
      <c r="S1579" s="21"/>
      <c r="T1579" s="21"/>
      <c r="U1579" s="9" t="s">
        <v>345</v>
      </c>
      <c r="V1579" s="9" t="s">
        <v>196</v>
      </c>
    </row>
    <row r="1580" ht="14.25" customHeight="1">
      <c r="A1580" s="9" t="s">
        <v>3214</v>
      </c>
      <c r="B1580" s="9" t="s">
        <v>3213</v>
      </c>
      <c r="C1580" s="9" t="str">
        <f t="array" ref="C1580">INDEX(Funciones!$G$2:$G$372,MATCH($A1580,Funciones!$B$2:$B$372,0))</f>
        <v>Entregar potencia mecánica de _____ kW</v>
      </c>
      <c r="D1580" s="9" t="s">
        <v>5159</v>
      </c>
      <c r="E1580" s="9" t="s">
        <v>2376</v>
      </c>
      <c r="F1580" s="9" t="s">
        <v>4000</v>
      </c>
      <c r="G1580" s="9" t="s">
        <v>1493</v>
      </c>
      <c r="H1580" s="18" t="str">
        <f t="array" ref="H1580">_xlfn.XLOOKUP(E:E,'Calificación consecuencia'!B:B,'Calificación consecuencia'!K:K,"No encontrada",2)</f>
        <v>Baja</v>
      </c>
      <c r="I1580" s="9" t="s">
        <v>2106</v>
      </c>
      <c r="J1580" s="20" t="s">
        <v>116</v>
      </c>
      <c r="K1580" s="21"/>
      <c r="L1580" s="21"/>
      <c r="M1580" s="22" t="s">
        <v>120</v>
      </c>
      <c r="N1580" s="21"/>
      <c r="O1580" s="22" t="s">
        <v>120</v>
      </c>
      <c r="P1580" s="21"/>
      <c r="Q1580" s="21"/>
      <c r="R1580" s="21"/>
      <c r="S1580" s="22" t="s">
        <v>120</v>
      </c>
      <c r="T1580" s="21"/>
      <c r="U1580" s="9" t="s">
        <v>1680</v>
      </c>
      <c r="V1580" s="9" t="s">
        <v>1408</v>
      </c>
    </row>
    <row r="1581" ht="14.25" customHeight="1">
      <c r="A1581" s="27" t="s">
        <v>3224</v>
      </c>
      <c r="B1581" s="27" t="s">
        <v>3223</v>
      </c>
      <c r="C1581" s="27" t="str">
        <f t="array" ref="C1581">INDEX(Funciones!$G$2:$G$372,MATCH($A1581,Funciones!$B$2:$B$372,0))</f>
        <v>Presurizar los cilindros de freno entre 3,7 y 3,9 bar</v>
      </c>
      <c r="D1581" s="27" t="s">
        <v>5116</v>
      </c>
      <c r="E1581" s="27" t="s">
        <v>3943</v>
      </c>
      <c r="F1581" s="27" t="s">
        <v>5117</v>
      </c>
      <c r="G1581" s="27" t="s">
        <v>5118</v>
      </c>
      <c r="H1581" s="18" t="str">
        <f t="array" ref="H1581">_xlfn.XLOOKUP(E:E,'Calificación consecuencia'!B:B,'Calificación consecuencia'!K:K,"No encontrada",2)</f>
        <v>Media</v>
      </c>
      <c r="I1581" s="27" t="s">
        <v>425</v>
      </c>
      <c r="J1581" s="30" t="s">
        <v>116</v>
      </c>
      <c r="K1581" s="21"/>
      <c r="L1581" s="21"/>
      <c r="M1581" s="30" t="s">
        <v>116</v>
      </c>
      <c r="N1581" s="30" t="s">
        <v>116</v>
      </c>
      <c r="O1581" s="21"/>
      <c r="P1581" s="21"/>
      <c r="Q1581" s="21"/>
      <c r="R1581" s="21"/>
      <c r="S1581" s="21"/>
      <c r="T1581" s="21"/>
      <c r="U1581" s="27" t="s">
        <v>195</v>
      </c>
      <c r="V1581" s="27" t="s">
        <v>196</v>
      </c>
    </row>
    <row r="1582" ht="14.25" customHeight="1">
      <c r="A1582" s="27" t="s">
        <v>3224</v>
      </c>
      <c r="B1582" s="27" t="s">
        <v>3223</v>
      </c>
      <c r="C1582" s="27" t="str">
        <f t="array" ref="C1582">INDEX(Funciones!$G$2:$G$372,MATCH($A1582,Funciones!$B$2:$B$372,0))</f>
        <v>Presurizar los cilindros de freno entre 3,7 y 3,9 bar</v>
      </c>
      <c r="D1582" s="27" t="s">
        <v>5116</v>
      </c>
      <c r="E1582" s="27" t="s">
        <v>3944</v>
      </c>
      <c r="F1582" s="27" t="s">
        <v>5119</v>
      </c>
      <c r="G1582" s="27" t="s">
        <v>5120</v>
      </c>
      <c r="H1582" s="18" t="str">
        <f t="array" ref="H1582">_xlfn.XLOOKUP(E:E,'Calificación consecuencia'!B:B,'Calificación consecuencia'!K:K,"No encontrada",2)</f>
        <v>Media</v>
      </c>
      <c r="I1582" s="27" t="s">
        <v>425</v>
      </c>
      <c r="J1582" s="30" t="s">
        <v>116</v>
      </c>
      <c r="K1582" s="21"/>
      <c r="L1582" s="21"/>
      <c r="M1582" s="30" t="s">
        <v>116</v>
      </c>
      <c r="N1582" s="30" t="s">
        <v>116</v>
      </c>
      <c r="O1582" s="21"/>
      <c r="P1582" s="21"/>
      <c r="Q1582" s="21"/>
      <c r="R1582" s="21"/>
      <c r="S1582" s="21"/>
      <c r="T1582" s="21"/>
      <c r="U1582" s="27" t="s">
        <v>195</v>
      </c>
      <c r="V1582" s="27" t="s">
        <v>196</v>
      </c>
    </row>
    <row r="1583" ht="14.25" customHeight="1">
      <c r="A1583" s="27" t="s">
        <v>3224</v>
      </c>
      <c r="B1583" s="27" t="s">
        <v>3223</v>
      </c>
      <c r="C1583" s="27" t="str">
        <f t="array" ref="C1583">INDEX(Funciones!$G$2:$G$372,MATCH($A1583,Funciones!$B$2:$B$372,0))</f>
        <v>Presurizar los cilindros de freno entre 3,7 y 3,9 bar</v>
      </c>
      <c r="D1583" s="27" t="s">
        <v>5121</v>
      </c>
      <c r="E1583" s="27" t="s">
        <v>3945</v>
      </c>
      <c r="F1583" s="27" t="s">
        <v>5122</v>
      </c>
      <c r="G1583" s="27" t="s">
        <v>5123</v>
      </c>
      <c r="H1583" s="18" t="str">
        <f t="array" ref="H1583">_xlfn.XLOOKUP(E:E,'Calificación consecuencia'!B:B,'Calificación consecuencia'!K:K,"No encontrada",2)</f>
        <v>Baja</v>
      </c>
      <c r="I1583" s="27" t="s">
        <v>1351</v>
      </c>
      <c r="J1583" s="30" t="s">
        <v>116</v>
      </c>
      <c r="K1583" s="21"/>
      <c r="L1583" s="21"/>
      <c r="M1583" s="30" t="s">
        <v>116</v>
      </c>
      <c r="N1583" s="30" t="s">
        <v>116</v>
      </c>
      <c r="O1583" s="21"/>
      <c r="P1583" s="21"/>
      <c r="Q1583" s="21"/>
      <c r="R1583" s="21"/>
      <c r="S1583" s="21"/>
      <c r="T1583" s="21"/>
      <c r="U1583" s="27" t="s">
        <v>195</v>
      </c>
      <c r="V1583" s="27" t="s">
        <v>196</v>
      </c>
    </row>
    <row r="1584" ht="14.25" customHeight="1">
      <c r="A1584" s="27" t="s">
        <v>3224</v>
      </c>
      <c r="B1584" s="27" t="s">
        <v>3223</v>
      </c>
      <c r="C1584" s="27" t="str">
        <f t="array" ref="C1584">INDEX(Funciones!$G$2:$G$372,MATCH($A1584,Funciones!$B$2:$B$372,0))</f>
        <v>Presurizar los cilindros de freno entre 3,7 y 3,9 bar</v>
      </c>
      <c r="D1584" s="27" t="s">
        <v>5121</v>
      </c>
      <c r="E1584" s="27" t="s">
        <v>3946</v>
      </c>
      <c r="F1584" s="27" t="s">
        <v>5124</v>
      </c>
      <c r="G1584" s="27" t="s">
        <v>5125</v>
      </c>
      <c r="H1584" s="18" t="str">
        <f t="array" ref="H1584">_xlfn.XLOOKUP(E:E,'Calificación consecuencia'!B:B,'Calificación consecuencia'!K:K,"No encontrada",2)</f>
        <v>Baja</v>
      </c>
      <c r="I1584" s="27" t="s">
        <v>425</v>
      </c>
      <c r="J1584" s="30" t="s">
        <v>116</v>
      </c>
      <c r="K1584" s="21"/>
      <c r="L1584" s="21"/>
      <c r="M1584" s="30" t="s">
        <v>116</v>
      </c>
      <c r="N1584" s="30" t="s">
        <v>116</v>
      </c>
      <c r="O1584" s="21"/>
      <c r="P1584" s="21"/>
      <c r="Q1584" s="21"/>
      <c r="R1584" s="21"/>
      <c r="S1584" s="21"/>
      <c r="T1584" s="21"/>
      <c r="U1584" s="27" t="s">
        <v>195</v>
      </c>
      <c r="V1584" s="27" t="s">
        <v>196</v>
      </c>
    </row>
    <row r="1585" ht="14.25" customHeight="1">
      <c r="A1585" s="27" t="s">
        <v>3224</v>
      </c>
      <c r="B1585" s="27" t="s">
        <v>3223</v>
      </c>
      <c r="C1585" s="27" t="str">
        <f t="array" ref="C1585">INDEX(Funciones!$G$2:$G$372,MATCH($A1585,Funciones!$B$2:$B$372,0))</f>
        <v>Presurizar los cilindros de freno entre 3,7 y 3,9 bar</v>
      </c>
      <c r="D1585" s="27" t="s">
        <v>5126</v>
      </c>
      <c r="E1585" s="27" t="s">
        <v>3947</v>
      </c>
      <c r="F1585" s="27" t="s">
        <v>5127</v>
      </c>
      <c r="G1585" s="27" t="s">
        <v>5128</v>
      </c>
      <c r="H1585" s="18" t="str">
        <f t="array" ref="H1585">_xlfn.XLOOKUP(E:E,'Calificación consecuencia'!B:B,'Calificación consecuencia'!K:K,"No encontrada",2)</f>
        <v>Baja</v>
      </c>
      <c r="I1585" s="27" t="s">
        <v>425</v>
      </c>
      <c r="J1585" s="30" t="s">
        <v>116</v>
      </c>
      <c r="K1585" s="21"/>
      <c r="L1585" s="21"/>
      <c r="M1585" s="30" t="s">
        <v>116</v>
      </c>
      <c r="N1585" s="30" t="s">
        <v>116</v>
      </c>
      <c r="O1585" s="21"/>
      <c r="P1585" s="21"/>
      <c r="Q1585" s="21"/>
      <c r="R1585" s="21"/>
      <c r="S1585" s="21"/>
      <c r="T1585" s="21"/>
      <c r="U1585" s="27" t="s">
        <v>195</v>
      </c>
      <c r="V1585" s="27" t="s">
        <v>196</v>
      </c>
    </row>
    <row r="1586" ht="14.25" customHeight="1">
      <c r="A1586" s="9" t="s">
        <v>3228</v>
      </c>
      <c r="B1586" s="9" t="s">
        <v>3223</v>
      </c>
      <c r="C1586" s="9" t="str">
        <f t="array" ref="C1586">INDEX(Funciones!$G$2:$G$372,MATCH($A1586,Funciones!$B$2:$B$372,0))</f>
        <v>Llenar el cilindro de freno en 3 a 5 s</v>
      </c>
      <c r="D1586" s="9" t="s">
        <v>5129</v>
      </c>
      <c r="E1586" s="9" t="s">
        <v>3943</v>
      </c>
      <c r="F1586" s="9" t="s">
        <v>5130</v>
      </c>
      <c r="G1586" s="9" t="s">
        <v>5118</v>
      </c>
      <c r="H1586" s="18" t="str">
        <f t="array" ref="H1586">_xlfn.XLOOKUP(E:E,'Calificación consecuencia'!B:B,'Calificación consecuencia'!K:K,"No encontrada",2)</f>
        <v>Media</v>
      </c>
      <c r="I1586" s="9" t="s">
        <v>425</v>
      </c>
      <c r="J1586" s="20" t="s">
        <v>116</v>
      </c>
      <c r="K1586" s="21"/>
      <c r="L1586" s="21"/>
      <c r="M1586" s="20" t="s">
        <v>116</v>
      </c>
      <c r="N1586" s="20" t="s">
        <v>116</v>
      </c>
      <c r="O1586" s="21"/>
      <c r="P1586" s="21"/>
      <c r="Q1586" s="21"/>
      <c r="R1586" s="21"/>
      <c r="S1586" s="21"/>
      <c r="T1586" s="21"/>
      <c r="U1586" s="9" t="s">
        <v>195</v>
      </c>
      <c r="V1586" s="9" t="s">
        <v>196</v>
      </c>
    </row>
    <row r="1587" ht="14.25" customHeight="1">
      <c r="A1587" s="9" t="s">
        <v>3228</v>
      </c>
      <c r="B1587" s="9" t="s">
        <v>3223</v>
      </c>
      <c r="C1587" s="9" t="str">
        <f t="array" ref="C1587">INDEX(Funciones!$G$2:$G$372,MATCH($A1587,Funciones!$B$2:$B$372,0))</f>
        <v>Llenar el cilindro de freno en 3 a 5 s</v>
      </c>
      <c r="D1587" s="9" t="s">
        <v>5131</v>
      </c>
      <c r="E1587" s="9" t="s">
        <v>3948</v>
      </c>
      <c r="F1587" s="9" t="s">
        <v>5132</v>
      </c>
      <c r="G1587" s="9" t="s">
        <v>5133</v>
      </c>
      <c r="H1587" s="18" t="str">
        <f t="array" ref="H1587">_xlfn.XLOOKUP(E:E,'Calificación consecuencia'!B:B,'Calificación consecuencia'!K:K,"No encontrada",2)</f>
        <v>Baja</v>
      </c>
      <c r="I1587" s="9" t="s">
        <v>425</v>
      </c>
      <c r="J1587" s="20" t="s">
        <v>116</v>
      </c>
      <c r="K1587" s="21"/>
      <c r="L1587" s="21"/>
      <c r="M1587" s="20" t="s">
        <v>116</v>
      </c>
      <c r="N1587" s="20" t="s">
        <v>116</v>
      </c>
      <c r="O1587" s="21"/>
      <c r="P1587" s="21"/>
      <c r="Q1587" s="21"/>
      <c r="R1587" s="21"/>
      <c r="S1587" s="21"/>
      <c r="T1587" s="21"/>
      <c r="U1587" s="9" t="s">
        <v>195</v>
      </c>
      <c r="V1587" s="9" t="s">
        <v>196</v>
      </c>
    </row>
    <row r="1588" ht="14.25" customHeight="1">
      <c r="A1588" s="9" t="s">
        <v>3228</v>
      </c>
      <c r="B1588" s="9" t="s">
        <v>3223</v>
      </c>
      <c r="C1588" s="9" t="str">
        <f t="array" ref="C1588">INDEX(Funciones!$G$2:$G$372,MATCH($A1588,Funciones!$B$2:$B$372,0))</f>
        <v>Llenar el cilindro de freno en 3 a 5 s</v>
      </c>
      <c r="D1588" s="9" t="s">
        <v>5134</v>
      </c>
      <c r="E1588" s="9" t="s">
        <v>3949</v>
      </c>
      <c r="F1588" s="9" t="s">
        <v>5135</v>
      </c>
      <c r="G1588" s="9" t="s">
        <v>5136</v>
      </c>
      <c r="H1588" s="18" t="str">
        <f t="array" ref="H1588">_xlfn.XLOOKUP(E:E,'Calificación consecuencia'!B:B,'Calificación consecuencia'!K:K,"No encontrada",2)</f>
        <v>Media</v>
      </c>
      <c r="I1588" s="9" t="s">
        <v>425</v>
      </c>
      <c r="J1588" s="20" t="s">
        <v>116</v>
      </c>
      <c r="K1588" s="21"/>
      <c r="L1588" s="21"/>
      <c r="M1588" s="20" t="s">
        <v>116</v>
      </c>
      <c r="N1588" s="20" t="s">
        <v>116</v>
      </c>
      <c r="O1588" s="21"/>
      <c r="P1588" s="21"/>
      <c r="Q1588" s="21"/>
      <c r="R1588" s="21"/>
      <c r="S1588" s="21"/>
      <c r="T1588" s="21"/>
      <c r="U1588" s="9" t="s">
        <v>195</v>
      </c>
      <c r="V1588" s="9" t="s">
        <v>196</v>
      </c>
    </row>
    <row r="1589" ht="14.25" customHeight="1">
      <c r="A1589" s="27" t="s">
        <v>3229</v>
      </c>
      <c r="B1589" s="27" t="s">
        <v>3223</v>
      </c>
      <c r="C1589" s="27" t="str">
        <f t="array" ref="C1589">INDEX(Funciones!$G$2:$G$372,MATCH($A1589,Funciones!$B$2:$B$372,0))</f>
        <v>Aflojar el freno en 15 a 20 s</v>
      </c>
      <c r="D1589" s="27" t="s">
        <v>5137</v>
      </c>
      <c r="E1589" s="27" t="s">
        <v>3943</v>
      </c>
      <c r="F1589" s="27" t="s">
        <v>5138</v>
      </c>
      <c r="G1589" s="27" t="s">
        <v>5118</v>
      </c>
      <c r="H1589" s="18" t="str">
        <f t="array" ref="H1589">_xlfn.XLOOKUP(E:E,'Calificación consecuencia'!B:B,'Calificación consecuencia'!K:K,"No encontrada",2)</f>
        <v>Media</v>
      </c>
      <c r="I1589" s="27" t="s">
        <v>425</v>
      </c>
      <c r="J1589" s="30" t="s">
        <v>116</v>
      </c>
      <c r="K1589" s="21"/>
      <c r="L1589" s="21"/>
      <c r="M1589" s="30" t="s">
        <v>116</v>
      </c>
      <c r="N1589" s="30" t="s">
        <v>116</v>
      </c>
      <c r="O1589" s="21"/>
      <c r="P1589" s="21"/>
      <c r="Q1589" s="21"/>
      <c r="R1589" s="21"/>
      <c r="S1589" s="21"/>
      <c r="T1589" s="21"/>
      <c r="U1589" s="27" t="s">
        <v>195</v>
      </c>
      <c r="V1589" s="27" t="s">
        <v>196</v>
      </c>
    </row>
    <row r="1590" ht="14.25" customHeight="1">
      <c r="A1590" s="27" t="s">
        <v>3229</v>
      </c>
      <c r="B1590" s="27" t="s">
        <v>3223</v>
      </c>
      <c r="C1590" s="27" t="str">
        <f t="array" ref="C1590">INDEX(Funciones!$G$2:$G$372,MATCH($A1590,Funciones!$B$2:$B$372,0))</f>
        <v>Aflojar el freno en 15 a 20 s</v>
      </c>
      <c r="D1590" s="27" t="s">
        <v>5139</v>
      </c>
      <c r="E1590" s="27" t="s">
        <v>3950</v>
      </c>
      <c r="F1590" s="27" t="s">
        <v>5140</v>
      </c>
      <c r="G1590" s="27" t="s">
        <v>5128</v>
      </c>
      <c r="H1590" s="18" t="str">
        <f t="array" ref="H1590">_xlfn.XLOOKUP(E:E,'Calificación consecuencia'!B:B,'Calificación consecuencia'!K:K,"No encontrada",2)</f>
        <v>Baja</v>
      </c>
      <c r="I1590" s="27" t="s">
        <v>1800</v>
      </c>
      <c r="J1590" s="30" t="s">
        <v>116</v>
      </c>
      <c r="K1590" s="21"/>
      <c r="L1590" s="21"/>
      <c r="M1590" s="29" t="s">
        <v>120</v>
      </c>
      <c r="N1590" s="21"/>
      <c r="O1590" s="29" t="s">
        <v>120</v>
      </c>
      <c r="P1590" s="21"/>
      <c r="Q1590" s="21"/>
      <c r="R1590" s="21"/>
      <c r="S1590" s="30" t="s">
        <v>116</v>
      </c>
      <c r="T1590" s="30" t="s">
        <v>116</v>
      </c>
      <c r="U1590" s="27" t="s">
        <v>3471</v>
      </c>
      <c r="V1590" s="27" t="s">
        <v>196</v>
      </c>
    </row>
    <row r="1591" ht="14.25" customHeight="1">
      <c r="A1591" s="27" t="s">
        <v>3229</v>
      </c>
      <c r="B1591" s="27" t="s">
        <v>3223</v>
      </c>
      <c r="C1591" s="27" t="str">
        <f t="array" ref="C1591">INDEX(Funciones!$G$2:$G$372,MATCH($A1591,Funciones!$B$2:$B$372,0))</f>
        <v>Aflojar el freno en 15 a 20 s</v>
      </c>
      <c r="D1591" s="27" t="s">
        <v>5141</v>
      </c>
      <c r="E1591" s="27" t="s">
        <v>3951</v>
      </c>
      <c r="F1591" s="27" t="s">
        <v>5142</v>
      </c>
      <c r="G1591" s="27" t="s">
        <v>5143</v>
      </c>
      <c r="H1591" s="18" t="str">
        <f t="array" ref="H1591">_xlfn.XLOOKUP(E:E,'Calificación consecuencia'!B:B,'Calificación consecuencia'!K:K,"No encontrada",2)</f>
        <v>Media</v>
      </c>
      <c r="I1591" s="27" t="s">
        <v>1800</v>
      </c>
      <c r="J1591" s="30" t="s">
        <v>116</v>
      </c>
      <c r="K1591" s="21"/>
      <c r="L1591" s="21"/>
      <c r="M1591" s="29" t="s">
        <v>120</v>
      </c>
      <c r="N1591" s="21"/>
      <c r="O1591" s="29" t="s">
        <v>120</v>
      </c>
      <c r="P1591" s="21"/>
      <c r="Q1591" s="21"/>
      <c r="R1591" s="21"/>
      <c r="S1591" s="30" t="s">
        <v>116</v>
      </c>
      <c r="T1591" s="30" t="s">
        <v>116</v>
      </c>
      <c r="U1591" s="27" t="s">
        <v>3471</v>
      </c>
      <c r="V1591" s="27" t="s">
        <v>196</v>
      </c>
    </row>
    <row r="1592" ht="14.25" customHeight="1">
      <c r="A1592" s="9" t="s">
        <v>3234</v>
      </c>
      <c r="B1592" s="9" t="s">
        <v>3233</v>
      </c>
      <c r="C1592" s="9" t="str">
        <f t="array" ref="C1592">INDEX(Funciones!$G$2:$G$372,MATCH($A1592,Funciones!$B$2:$B$372,0))</f>
        <v>Lavar los trenes a razón de _____ trenes/h</v>
      </c>
      <c r="D1592" s="9" t="s">
        <v>5160</v>
      </c>
      <c r="E1592" s="9" t="s">
        <v>3963</v>
      </c>
      <c r="F1592" s="9" t="s">
        <v>5161</v>
      </c>
      <c r="G1592" s="9" t="s">
        <v>5162</v>
      </c>
      <c r="H1592" s="18" t="str">
        <f t="array" ref="H1592">_xlfn.XLOOKUP(E:E,'Calificación consecuencia'!B:B,'Calificación consecuencia'!K:K,"No encontrada",2)</f>
        <v>Media</v>
      </c>
      <c r="I1592" s="9" t="s">
        <v>1800</v>
      </c>
      <c r="J1592" s="20" t="s">
        <v>116</v>
      </c>
      <c r="K1592" s="21"/>
      <c r="L1592" s="21"/>
      <c r="M1592" s="22" t="s">
        <v>120</v>
      </c>
      <c r="N1592" s="21"/>
      <c r="O1592" s="20" t="s">
        <v>116</v>
      </c>
      <c r="P1592" s="20" t="s">
        <v>116</v>
      </c>
      <c r="Q1592" s="21"/>
      <c r="R1592" s="21"/>
      <c r="S1592" s="21"/>
      <c r="T1592" s="21"/>
      <c r="U1592" s="9" t="s">
        <v>345</v>
      </c>
      <c r="V1592" s="9" t="s">
        <v>196</v>
      </c>
    </row>
    <row r="1593" ht="14.25" customHeight="1">
      <c r="A1593" s="9" t="s">
        <v>3234</v>
      </c>
      <c r="B1593" s="9" t="s">
        <v>3233</v>
      </c>
      <c r="C1593" s="9" t="str">
        <f t="array" ref="C1593">INDEX(Funciones!$G$2:$G$372,MATCH($A1593,Funciones!$B$2:$B$372,0))</f>
        <v>Lavar los trenes a razón de _____ trenes/h</v>
      </c>
      <c r="D1593" s="9" t="s">
        <v>5160</v>
      </c>
      <c r="E1593" s="9" t="s">
        <v>3964</v>
      </c>
      <c r="F1593" s="9" t="s">
        <v>5163</v>
      </c>
      <c r="G1593" s="9" t="s">
        <v>5164</v>
      </c>
      <c r="H1593" s="18" t="str">
        <f t="array" ref="H1593">_xlfn.XLOOKUP(E:E,'Calificación consecuencia'!B:B,'Calificación consecuencia'!K:K,"No encontrada",2)</f>
        <v>Baja</v>
      </c>
      <c r="I1593" s="9" t="s">
        <v>1800</v>
      </c>
      <c r="J1593" s="20" t="s">
        <v>116</v>
      </c>
      <c r="K1593" s="21"/>
      <c r="L1593" s="21"/>
      <c r="M1593" s="22" t="s">
        <v>120</v>
      </c>
      <c r="N1593" s="21"/>
      <c r="O1593" s="20" t="s">
        <v>116</v>
      </c>
      <c r="P1593" s="20" t="s">
        <v>116</v>
      </c>
      <c r="Q1593" s="21"/>
      <c r="R1593" s="21"/>
      <c r="S1593" s="21"/>
      <c r="T1593" s="21"/>
      <c r="U1593" s="9" t="s">
        <v>345</v>
      </c>
      <c r="V1593" s="9" t="s">
        <v>196</v>
      </c>
    </row>
    <row r="1594" ht="14.25" customHeight="1">
      <c r="A1594" s="9" t="s">
        <v>3234</v>
      </c>
      <c r="B1594" s="9" t="s">
        <v>3233</v>
      </c>
      <c r="C1594" s="9" t="str">
        <f t="array" ref="C1594">INDEX(Funciones!$G$2:$G$372,MATCH($A1594,Funciones!$B$2:$B$372,0))</f>
        <v>Lavar los trenes a razón de _____ trenes/h</v>
      </c>
      <c r="D1594" s="9" t="s">
        <v>5165</v>
      </c>
      <c r="E1594" s="9" t="s">
        <v>3965</v>
      </c>
      <c r="F1594" s="9" t="s">
        <v>5166</v>
      </c>
      <c r="G1594" s="9" t="s">
        <v>5167</v>
      </c>
      <c r="H1594" s="18" t="str">
        <f t="array" ref="H1594">_xlfn.XLOOKUP(E:E,'Calificación consecuencia'!B:B,'Calificación consecuencia'!K:K,"No encontrada",2)</f>
        <v>Baja</v>
      </c>
      <c r="I1594" s="9" t="s">
        <v>2106</v>
      </c>
      <c r="J1594" s="20" t="s">
        <v>116</v>
      </c>
      <c r="K1594" s="21"/>
      <c r="L1594" s="21"/>
      <c r="M1594" s="22" t="s">
        <v>120</v>
      </c>
      <c r="N1594" s="21"/>
      <c r="O1594" s="22" t="s">
        <v>120</v>
      </c>
      <c r="P1594" s="21"/>
      <c r="Q1594" s="21"/>
      <c r="R1594" s="21"/>
      <c r="S1594" s="22" t="s">
        <v>120</v>
      </c>
      <c r="T1594" s="21"/>
      <c r="U1594" s="9" t="s">
        <v>1680</v>
      </c>
      <c r="V1594" s="9" t="s">
        <v>1408</v>
      </c>
    </row>
    <row r="1595" ht="14.25" customHeight="1">
      <c r="A1595" s="9" t="s">
        <v>3234</v>
      </c>
      <c r="B1595" s="9" t="s">
        <v>3233</v>
      </c>
      <c r="C1595" s="9" t="str">
        <f t="array" ref="C1595">INDEX(Funciones!$G$2:$G$372,MATCH($A1595,Funciones!$B$2:$B$372,0))</f>
        <v>Lavar los trenes a razón de _____ trenes/h</v>
      </c>
      <c r="D1595" s="9" t="s">
        <v>5165</v>
      </c>
      <c r="E1595" s="9" t="s">
        <v>3966</v>
      </c>
      <c r="F1595" s="9" t="s">
        <v>5168</v>
      </c>
      <c r="G1595" s="9" t="s">
        <v>5169</v>
      </c>
      <c r="H1595" s="18" t="str">
        <f t="array" ref="H1595">_xlfn.XLOOKUP(E:E,'Calificación consecuencia'!B:B,'Calificación consecuencia'!K:K,"No encontrada",2)</f>
        <v>Baja</v>
      </c>
      <c r="I1595" s="9" t="s">
        <v>2106</v>
      </c>
      <c r="J1595" s="20" t="s">
        <v>116</v>
      </c>
      <c r="K1595" s="21"/>
      <c r="L1595" s="21"/>
      <c r="M1595" s="22" t="s">
        <v>120</v>
      </c>
      <c r="N1595" s="21"/>
      <c r="O1595" s="22" t="s">
        <v>120</v>
      </c>
      <c r="P1595" s="21"/>
      <c r="Q1595" s="21"/>
      <c r="R1595" s="21"/>
      <c r="S1595" s="22" t="s">
        <v>120</v>
      </c>
      <c r="T1595" s="21"/>
      <c r="U1595" s="9" t="s">
        <v>1680</v>
      </c>
      <c r="V1595" s="9" t="s">
        <v>1408</v>
      </c>
    </row>
    <row r="1596" ht="14.25" customHeight="1">
      <c r="A1596" s="27" t="s">
        <v>3245</v>
      </c>
      <c r="B1596" s="27" t="s">
        <v>3244</v>
      </c>
      <c r="C1596" s="27" t="str">
        <f t="array" ref="C1596">INDEX(Funciones!$G$2:$G$372,MATCH($A1596,Funciones!$B$2:$B$372,0))</f>
        <v>Transportar materiales hasta _____ t</v>
      </c>
      <c r="D1596" s="27" t="s">
        <v>5170</v>
      </c>
      <c r="E1596" s="27" t="s">
        <v>3967</v>
      </c>
      <c r="F1596" s="27" t="s">
        <v>5171</v>
      </c>
      <c r="G1596" s="27" t="s">
        <v>5172</v>
      </c>
      <c r="H1596" s="18" t="str">
        <f t="array" ref="H1596">_xlfn.XLOOKUP(E:E,'Calificación consecuencia'!B:B,'Calificación consecuencia'!K:K,"No encontrada",2)</f>
        <v>Media</v>
      </c>
      <c r="I1596" s="27" t="s">
        <v>425</v>
      </c>
      <c r="J1596" s="30" t="s">
        <v>116</v>
      </c>
      <c r="K1596" s="21"/>
      <c r="L1596" s="21"/>
      <c r="M1596" s="30" t="s">
        <v>116</v>
      </c>
      <c r="N1596" s="30" t="s">
        <v>116</v>
      </c>
      <c r="O1596" s="21"/>
      <c r="P1596" s="21"/>
      <c r="Q1596" s="21"/>
      <c r="R1596" s="21"/>
      <c r="S1596" s="21"/>
      <c r="T1596" s="21"/>
      <c r="U1596" s="27" t="s">
        <v>195</v>
      </c>
      <c r="V1596" s="27" t="s">
        <v>196</v>
      </c>
    </row>
    <row r="1597" ht="14.25" customHeight="1">
      <c r="A1597" s="27" t="s">
        <v>3245</v>
      </c>
      <c r="B1597" s="27" t="s">
        <v>3244</v>
      </c>
      <c r="C1597" s="27" t="str">
        <f t="array" ref="C1597">INDEX(Funciones!$G$2:$G$372,MATCH($A1597,Funciones!$B$2:$B$372,0))</f>
        <v>Transportar materiales hasta _____ t</v>
      </c>
      <c r="D1597" s="27" t="s">
        <v>5170</v>
      </c>
      <c r="E1597" s="27" t="s">
        <v>3968</v>
      </c>
      <c r="F1597" s="27" t="s">
        <v>5173</v>
      </c>
      <c r="G1597" s="27" t="s">
        <v>5174</v>
      </c>
      <c r="H1597" s="18" t="str">
        <f t="array" ref="H1597">_xlfn.XLOOKUP(E:E,'Calificación consecuencia'!B:B,'Calificación consecuencia'!K:K,"No encontrada",2)</f>
        <v>Baja</v>
      </c>
      <c r="I1597" s="27" t="s">
        <v>425</v>
      </c>
      <c r="J1597" s="30" t="s">
        <v>116</v>
      </c>
      <c r="K1597" s="21"/>
      <c r="L1597" s="21"/>
      <c r="M1597" s="30" t="s">
        <v>116</v>
      </c>
      <c r="N1597" s="30" t="s">
        <v>116</v>
      </c>
      <c r="O1597" s="21"/>
      <c r="P1597" s="21"/>
      <c r="Q1597" s="21"/>
      <c r="R1597" s="21"/>
      <c r="S1597" s="21"/>
      <c r="T1597" s="21"/>
      <c r="U1597" s="27" t="s">
        <v>195</v>
      </c>
      <c r="V1597" s="27" t="s">
        <v>196</v>
      </c>
    </row>
    <row r="1598" ht="14.25" customHeight="1">
      <c r="A1598" s="27" t="s">
        <v>3245</v>
      </c>
      <c r="B1598" s="27" t="s">
        <v>3244</v>
      </c>
      <c r="C1598" s="27" t="str">
        <f t="array" ref="C1598">INDEX(Funciones!$G$2:$G$372,MATCH($A1598,Funciones!$B$2:$B$372,0))</f>
        <v>Transportar materiales hasta _____ t</v>
      </c>
      <c r="D1598" s="27" t="s">
        <v>5175</v>
      </c>
      <c r="E1598" s="27" t="s">
        <v>3969</v>
      </c>
      <c r="F1598" s="27" t="s">
        <v>5176</v>
      </c>
      <c r="G1598" s="27" t="s">
        <v>5177</v>
      </c>
      <c r="H1598" s="18" t="str">
        <f t="array" ref="H1598">_xlfn.XLOOKUP(E:E,'Calificación consecuencia'!B:B,'Calificación consecuencia'!K:K,"No encontrada",2)</f>
        <v>Baja</v>
      </c>
      <c r="I1598" s="27" t="s">
        <v>1351</v>
      </c>
      <c r="J1598" s="30" t="s">
        <v>116</v>
      </c>
      <c r="K1598" s="21"/>
      <c r="L1598" s="21"/>
      <c r="M1598" s="30" t="s">
        <v>116</v>
      </c>
      <c r="N1598" s="30" t="s">
        <v>116</v>
      </c>
      <c r="O1598" s="21"/>
      <c r="P1598" s="21"/>
      <c r="Q1598" s="21"/>
      <c r="R1598" s="21"/>
      <c r="S1598" s="21"/>
      <c r="T1598" s="21"/>
      <c r="U1598" s="27" t="s">
        <v>195</v>
      </c>
      <c r="V1598" s="27" t="s">
        <v>196</v>
      </c>
    </row>
    <row r="1599" ht="14.25" customHeight="1">
      <c r="A1599" s="9" t="s">
        <v>3254</v>
      </c>
      <c r="B1599" s="9" t="s">
        <v>3253</v>
      </c>
      <c r="C1599" s="9" t="str">
        <f t="array" ref="C1599">INDEX(Funciones!$G$2:$G$372,MATCH($A1599,Funciones!$B$2:$B$372,0))</f>
        <v>Mecanizar piezas con tolerancia de ±_____ mm</v>
      </c>
      <c r="D1599" s="9" t="s">
        <v>5178</v>
      </c>
      <c r="E1599" s="9" t="s">
        <v>3970</v>
      </c>
      <c r="F1599" s="9" t="s">
        <v>5179</v>
      </c>
      <c r="G1599" s="9" t="s">
        <v>5180</v>
      </c>
      <c r="H1599" s="18" t="str">
        <f t="array" ref="H1599">_xlfn.XLOOKUP(E:E,'Calificación consecuencia'!B:B,'Calificación consecuencia'!K:K,"No encontrada",2)</f>
        <v>Media</v>
      </c>
      <c r="I1599" s="9" t="s">
        <v>425</v>
      </c>
      <c r="J1599" s="20" t="s">
        <v>116</v>
      </c>
      <c r="K1599" s="21"/>
      <c r="L1599" s="21"/>
      <c r="M1599" s="20" t="s">
        <v>116</v>
      </c>
      <c r="N1599" s="20" t="s">
        <v>116</v>
      </c>
      <c r="O1599" s="21"/>
      <c r="P1599" s="21"/>
      <c r="Q1599" s="21"/>
      <c r="R1599" s="21"/>
      <c r="S1599" s="21"/>
      <c r="T1599" s="21"/>
      <c r="U1599" s="9" t="s">
        <v>195</v>
      </c>
      <c r="V1599" s="9" t="s">
        <v>196</v>
      </c>
    </row>
    <row r="1600" ht="14.25" customHeight="1">
      <c r="A1600" s="9" t="s">
        <v>3254</v>
      </c>
      <c r="B1600" s="9" t="s">
        <v>3253</v>
      </c>
      <c r="C1600" s="9" t="str">
        <f t="array" ref="C1600">INDEX(Funciones!$G$2:$G$372,MATCH($A1600,Funciones!$B$2:$B$372,0))</f>
        <v>Mecanizar piezas con tolerancia de ±_____ mm</v>
      </c>
      <c r="D1600" s="9" t="s">
        <v>5178</v>
      </c>
      <c r="E1600" s="9" t="s">
        <v>3972</v>
      </c>
      <c r="F1600" s="9" t="s">
        <v>5181</v>
      </c>
      <c r="G1600" s="9" t="s">
        <v>5182</v>
      </c>
      <c r="H1600" s="18" t="str">
        <f t="array" ref="H1600">_xlfn.XLOOKUP(E:E,'Calificación consecuencia'!B:B,'Calificación consecuencia'!K:K,"No encontrada",2)</f>
        <v>Media</v>
      </c>
      <c r="I1600" s="9" t="s">
        <v>425</v>
      </c>
      <c r="J1600" s="20" t="s">
        <v>116</v>
      </c>
      <c r="K1600" s="21"/>
      <c r="L1600" s="21"/>
      <c r="M1600" s="20" t="s">
        <v>116</v>
      </c>
      <c r="N1600" s="20" t="s">
        <v>116</v>
      </c>
      <c r="O1600" s="21"/>
      <c r="P1600" s="21"/>
      <c r="Q1600" s="21"/>
      <c r="R1600" s="21"/>
      <c r="S1600" s="21"/>
      <c r="T1600" s="21"/>
      <c r="U1600" s="9" t="s">
        <v>195</v>
      </c>
      <c r="V1600" s="9" t="s">
        <v>196</v>
      </c>
    </row>
    <row r="1601" ht="14.25" customHeight="1">
      <c r="A1601" s="9" t="s">
        <v>3254</v>
      </c>
      <c r="B1601" s="9" t="s">
        <v>3253</v>
      </c>
      <c r="C1601" s="9" t="str">
        <f t="array" ref="C1601">INDEX(Funciones!$G$2:$G$372,MATCH($A1601,Funciones!$B$2:$B$372,0))</f>
        <v>Mecanizar piezas con tolerancia de ±_____ mm</v>
      </c>
      <c r="D1601" s="9" t="s">
        <v>5183</v>
      </c>
      <c r="E1601" s="9" t="s">
        <v>3973</v>
      </c>
      <c r="F1601" s="9" t="s">
        <v>5184</v>
      </c>
      <c r="G1601" s="9" t="s">
        <v>5185</v>
      </c>
      <c r="H1601" s="18" t="str">
        <f t="array" ref="H1601">_xlfn.XLOOKUP(E:E,'Calificación consecuencia'!B:B,'Calificación consecuencia'!K:K,"No encontrada",2)</f>
        <v>Media</v>
      </c>
      <c r="I1601" s="9" t="s">
        <v>1351</v>
      </c>
      <c r="J1601" s="20" t="s">
        <v>116</v>
      </c>
      <c r="K1601" s="21"/>
      <c r="L1601" s="21"/>
      <c r="M1601" s="20" t="s">
        <v>116</v>
      </c>
      <c r="N1601" s="20" t="s">
        <v>116</v>
      </c>
      <c r="O1601" s="21"/>
      <c r="P1601" s="21"/>
      <c r="Q1601" s="21"/>
      <c r="R1601" s="21"/>
      <c r="S1601" s="21"/>
      <c r="T1601" s="21"/>
      <c r="U1601" s="9" t="s">
        <v>195</v>
      </c>
      <c r="V1601" s="9" t="s">
        <v>196</v>
      </c>
    </row>
    <row r="1602" ht="14.25" customHeight="1">
      <c r="A1602" s="9" t="s">
        <v>3254</v>
      </c>
      <c r="B1602" s="9" t="s">
        <v>3253</v>
      </c>
      <c r="C1602" s="9" t="str">
        <f t="array" ref="C1602">INDEX(Funciones!$G$2:$G$372,MATCH($A1602,Funciones!$B$2:$B$372,0))</f>
        <v>Mecanizar piezas con tolerancia de ±_____ mm</v>
      </c>
      <c r="D1602" s="9" t="s">
        <v>5183</v>
      </c>
      <c r="E1602" s="9" t="s">
        <v>3974</v>
      </c>
      <c r="F1602" s="9" t="s">
        <v>5186</v>
      </c>
      <c r="G1602" s="9" t="s">
        <v>5187</v>
      </c>
      <c r="H1602" s="18" t="str">
        <f t="array" ref="H1602">_xlfn.XLOOKUP(E:E,'Calificación consecuencia'!B:B,'Calificación consecuencia'!K:K,"No encontrada",2)</f>
        <v>Baja</v>
      </c>
      <c r="I1602" s="9" t="s">
        <v>425</v>
      </c>
      <c r="J1602" s="20" t="s">
        <v>116</v>
      </c>
      <c r="K1602" s="21"/>
      <c r="L1602" s="21"/>
      <c r="M1602" s="20" t="s">
        <v>116</v>
      </c>
      <c r="N1602" s="20" t="s">
        <v>116</v>
      </c>
      <c r="O1602" s="21"/>
      <c r="P1602" s="21"/>
      <c r="Q1602" s="21"/>
      <c r="R1602" s="21"/>
      <c r="S1602" s="21"/>
      <c r="T1602" s="21"/>
      <c r="U1602" s="9" t="s">
        <v>195</v>
      </c>
      <c r="V1602" s="9" t="s">
        <v>196</v>
      </c>
    </row>
    <row r="1603" ht="14.25" customHeight="1">
      <c r="A1603" s="27" t="s">
        <v>3262</v>
      </c>
      <c r="B1603" s="27" t="s">
        <v>3261</v>
      </c>
      <c r="C1603" s="27" t="str">
        <f t="array" ref="C1603">INDEX(Funciones!$G$2:$G$372,MATCH($A1603,Funciones!$B$2:$B$372,0))</f>
        <v>Suministrar aire comprimido a presión de _____ bar</v>
      </c>
      <c r="D1603" s="27" t="s">
        <v>5188</v>
      </c>
      <c r="E1603" s="27" t="s">
        <v>3975</v>
      </c>
      <c r="F1603" s="27" t="s">
        <v>5189</v>
      </c>
      <c r="G1603" s="27" t="s">
        <v>5190</v>
      </c>
      <c r="H1603" s="18" t="str">
        <f t="array" ref="H1603">_xlfn.XLOOKUP(E:E,'Calificación consecuencia'!B:B,'Calificación consecuencia'!K:K,"No encontrada",2)</f>
        <v>Baja</v>
      </c>
      <c r="I1603" s="27" t="s">
        <v>1800</v>
      </c>
      <c r="J1603" s="30" t="s">
        <v>116</v>
      </c>
      <c r="K1603" s="21"/>
      <c r="L1603" s="21"/>
      <c r="M1603" s="29" t="s">
        <v>120</v>
      </c>
      <c r="N1603" s="21"/>
      <c r="O1603" s="30" t="s">
        <v>116</v>
      </c>
      <c r="P1603" s="30" t="s">
        <v>116</v>
      </c>
      <c r="Q1603" s="21"/>
      <c r="R1603" s="21"/>
      <c r="S1603" s="21"/>
      <c r="T1603" s="21"/>
      <c r="U1603" s="27" t="s">
        <v>345</v>
      </c>
      <c r="V1603" s="27" t="s">
        <v>196</v>
      </c>
    </row>
    <row r="1604" ht="14.25" customHeight="1">
      <c r="A1604" s="27" t="s">
        <v>3262</v>
      </c>
      <c r="B1604" s="27" t="s">
        <v>3261</v>
      </c>
      <c r="C1604" s="27" t="str">
        <f t="array" ref="C1604">INDEX(Funciones!$G$2:$G$372,MATCH($A1604,Funciones!$B$2:$B$372,0))</f>
        <v>Suministrar aire comprimido a presión de _____ bar</v>
      </c>
      <c r="D1604" s="27" t="s">
        <v>5188</v>
      </c>
      <c r="E1604" s="27" t="s">
        <v>3976</v>
      </c>
      <c r="F1604" s="27" t="s">
        <v>5191</v>
      </c>
      <c r="G1604" s="27" t="s">
        <v>5192</v>
      </c>
      <c r="H1604" s="18" t="str">
        <f t="array" ref="H1604">_xlfn.XLOOKUP(E:E,'Calificación consecuencia'!B:B,'Calificación consecuencia'!K:K,"No encontrada",2)</f>
        <v>Baja</v>
      </c>
      <c r="I1604" s="27" t="s">
        <v>339</v>
      </c>
      <c r="J1604" s="30" t="s">
        <v>116</v>
      </c>
      <c r="K1604" s="21"/>
      <c r="L1604" s="21"/>
      <c r="M1604" s="29" t="s">
        <v>120</v>
      </c>
      <c r="N1604" s="21"/>
      <c r="O1604" s="30" t="s">
        <v>116</v>
      </c>
      <c r="P1604" s="30" t="s">
        <v>116</v>
      </c>
      <c r="Q1604" s="21"/>
      <c r="R1604" s="21"/>
      <c r="S1604" s="21"/>
      <c r="T1604" s="21"/>
      <c r="U1604" s="27" t="s">
        <v>345</v>
      </c>
      <c r="V1604" s="27" t="s">
        <v>196</v>
      </c>
    </row>
    <row r="1605" ht="14.25" customHeight="1">
      <c r="A1605" s="27" t="s">
        <v>3262</v>
      </c>
      <c r="B1605" s="27" t="s">
        <v>3261</v>
      </c>
      <c r="C1605" s="27" t="str">
        <f t="array" ref="C1605">INDEX(Funciones!$G$2:$G$372,MATCH($A1605,Funciones!$B$2:$B$372,0))</f>
        <v>Suministrar aire comprimido a presión de _____ bar</v>
      </c>
      <c r="D1605" s="27" t="s">
        <v>5193</v>
      </c>
      <c r="E1605" s="27" t="s">
        <v>3978</v>
      </c>
      <c r="F1605" s="27" t="s">
        <v>5194</v>
      </c>
      <c r="G1605" s="27" t="s">
        <v>5195</v>
      </c>
      <c r="H1605" s="18" t="str">
        <f t="array" ref="H1605">_xlfn.XLOOKUP(E:E,'Calificación consecuencia'!B:B,'Calificación consecuencia'!K:K,"No encontrada",2)</f>
        <v>Baja</v>
      </c>
      <c r="I1605" s="27" t="s">
        <v>2106</v>
      </c>
      <c r="J1605" s="30" t="s">
        <v>116</v>
      </c>
      <c r="K1605" s="21"/>
      <c r="L1605" s="21"/>
      <c r="M1605" s="29" t="s">
        <v>120</v>
      </c>
      <c r="N1605" s="21"/>
      <c r="O1605" s="29" t="s">
        <v>120</v>
      </c>
      <c r="P1605" s="21"/>
      <c r="Q1605" s="21"/>
      <c r="R1605" s="21"/>
      <c r="S1605" s="29" t="s">
        <v>120</v>
      </c>
      <c r="T1605" s="21"/>
      <c r="U1605" s="27" t="s">
        <v>1680</v>
      </c>
      <c r="V1605" s="27" t="s">
        <v>1408</v>
      </c>
    </row>
    <row r="1606" ht="14.25" customHeight="1">
      <c r="A1606" s="27" t="s">
        <v>3262</v>
      </c>
      <c r="B1606" s="27" t="s">
        <v>3261</v>
      </c>
      <c r="C1606" s="27" t="str">
        <f t="array" ref="C1606">INDEX(Funciones!$G$2:$G$372,MATCH($A1606,Funciones!$B$2:$B$372,0))</f>
        <v>Suministrar aire comprimido a presión de _____ bar</v>
      </c>
      <c r="D1606" s="27" t="s">
        <v>5193</v>
      </c>
      <c r="E1606" s="27" t="s">
        <v>3979</v>
      </c>
      <c r="F1606" s="27" t="s">
        <v>5196</v>
      </c>
      <c r="G1606" s="27" t="s">
        <v>5197</v>
      </c>
      <c r="H1606" s="18" t="str">
        <f t="array" ref="H1606">_xlfn.XLOOKUP(E:E,'Calificación consecuencia'!B:B,'Calificación consecuencia'!K:K,"No encontrada",2)</f>
        <v>Baja</v>
      </c>
      <c r="I1606" s="27" t="s">
        <v>2106</v>
      </c>
      <c r="J1606" s="30" t="s">
        <v>116</v>
      </c>
      <c r="K1606" s="21"/>
      <c r="L1606" s="21"/>
      <c r="M1606" s="29" t="s">
        <v>120</v>
      </c>
      <c r="N1606" s="21"/>
      <c r="O1606" s="29" t="s">
        <v>120</v>
      </c>
      <c r="P1606" s="21"/>
      <c r="Q1606" s="21"/>
      <c r="R1606" s="21"/>
      <c r="S1606" s="29" t="s">
        <v>120</v>
      </c>
      <c r="T1606" s="21"/>
      <c r="U1606" s="27" t="s">
        <v>1680</v>
      </c>
      <c r="V1606" s="27" t="s">
        <v>1408</v>
      </c>
    </row>
    <row r="1607" ht="14.25" customHeight="1">
      <c r="A1607" s="9" t="s">
        <v>3269</v>
      </c>
      <c r="B1607" s="9" t="s">
        <v>3268</v>
      </c>
      <c r="C1607" s="9" t="str">
        <f t="array" ref="C1607">INDEX(Funciones!$G$2:$G$372,MATCH($A1607,Funciones!$B$2:$B$372,0))</f>
        <v>Detectar la tensión de catenaria a partir de _____ V</v>
      </c>
      <c r="D1607" s="9" t="s">
        <v>5198</v>
      </c>
      <c r="E1607" s="9" t="s">
        <v>3980</v>
      </c>
      <c r="F1607" s="9" t="s">
        <v>5199</v>
      </c>
      <c r="G1607" s="9" t="s">
        <v>5200</v>
      </c>
      <c r="H1607" s="18" t="str">
        <f t="array" ref="H1607">_xlfn.XLOOKUP(E:E,'Calificación consecuencia'!B:B,'Calificación consecuencia'!K:K,"No encontrada",2)</f>
        <v>Baja</v>
      </c>
      <c r="I1607" s="9" t="s">
        <v>425</v>
      </c>
      <c r="J1607" s="22" t="s">
        <v>120</v>
      </c>
      <c r="K1607" s="20" t="s">
        <v>116</v>
      </c>
      <c r="L1607" s="21"/>
      <c r="M1607" s="21"/>
      <c r="N1607" s="21"/>
      <c r="O1607" s="21"/>
      <c r="P1607" s="21"/>
      <c r="Q1607" s="21"/>
      <c r="R1607" s="21"/>
      <c r="S1607" s="21"/>
      <c r="T1607" s="21"/>
      <c r="U1607" s="9" t="s">
        <v>439</v>
      </c>
      <c r="V1607" s="9" t="s">
        <v>440</v>
      </c>
    </row>
    <row r="1608" ht="14.25" customHeight="1">
      <c r="A1608" s="9" t="s">
        <v>3269</v>
      </c>
      <c r="B1608" s="9" t="s">
        <v>3268</v>
      </c>
      <c r="C1608" s="9" t="str">
        <f t="array" ref="C1608">INDEX(Funciones!$G$2:$G$372,MATCH($A1608,Funciones!$B$2:$B$372,0))</f>
        <v>Detectar la tensión de catenaria a partir de _____ V</v>
      </c>
      <c r="D1608" s="9" t="s">
        <v>5198</v>
      </c>
      <c r="E1608" s="9" t="s">
        <v>3981</v>
      </c>
      <c r="F1608" s="9" t="s">
        <v>5201</v>
      </c>
      <c r="G1608" s="9" t="s">
        <v>5202</v>
      </c>
      <c r="H1608" s="18" t="str">
        <f t="array" ref="H1608">_xlfn.XLOOKUP(E:E,'Calificación consecuencia'!B:B,'Calificación consecuencia'!K:K,"No encontrada",2)</f>
        <v>Media</v>
      </c>
      <c r="I1608" s="9" t="s">
        <v>425</v>
      </c>
      <c r="J1608" s="22" t="s">
        <v>120</v>
      </c>
      <c r="K1608" s="20" t="s">
        <v>116</v>
      </c>
      <c r="L1608" s="21"/>
      <c r="M1608" s="21"/>
      <c r="N1608" s="21"/>
      <c r="O1608" s="21"/>
      <c r="P1608" s="21"/>
      <c r="Q1608" s="21"/>
      <c r="R1608" s="21"/>
      <c r="S1608" s="21"/>
      <c r="T1608" s="21"/>
      <c r="U1608" s="9" t="s">
        <v>439</v>
      </c>
      <c r="V1608" s="9" t="s">
        <v>440</v>
      </c>
    </row>
    <row r="1609" ht="14.25" customHeight="1">
      <c r="A1609" s="9" t="s">
        <v>3269</v>
      </c>
      <c r="B1609" s="9" t="s">
        <v>3268</v>
      </c>
      <c r="C1609" s="9" t="str">
        <f t="array" ref="C1609">INDEX(Funciones!$G$2:$G$372,MATCH($A1609,Funciones!$B$2:$B$372,0))</f>
        <v>Detectar la tensión de catenaria a partir de _____ V</v>
      </c>
      <c r="D1609" s="9" t="s">
        <v>5203</v>
      </c>
      <c r="E1609" s="9" t="s">
        <v>3982</v>
      </c>
      <c r="F1609" s="9" t="s">
        <v>5204</v>
      </c>
      <c r="G1609" s="9" t="s">
        <v>5205</v>
      </c>
      <c r="H1609" s="18" t="str">
        <f t="array" ref="H1609">_xlfn.XLOOKUP(E:E,'Calificación consecuencia'!B:B,'Calificación consecuencia'!K:K,"No encontrada",2)</f>
        <v>Media</v>
      </c>
      <c r="I1609" s="9" t="s">
        <v>425</v>
      </c>
      <c r="J1609" s="22" t="s">
        <v>120</v>
      </c>
      <c r="K1609" s="20" t="s">
        <v>116</v>
      </c>
      <c r="L1609" s="21"/>
      <c r="M1609" s="21"/>
      <c r="N1609" s="21"/>
      <c r="O1609" s="21"/>
      <c r="P1609" s="21"/>
      <c r="Q1609" s="21"/>
      <c r="R1609" s="21"/>
      <c r="S1609" s="21"/>
      <c r="T1609" s="21"/>
      <c r="U1609" s="9" t="s">
        <v>439</v>
      </c>
      <c r="V1609" s="9" t="s">
        <v>440</v>
      </c>
    </row>
    <row r="1610" ht="14.25" customHeight="1">
      <c r="A1610" s="9" t="s">
        <v>3269</v>
      </c>
      <c r="B1610" s="9" t="s">
        <v>3268</v>
      </c>
      <c r="C1610" s="9" t="str">
        <f t="array" ref="C1610">INDEX(Funciones!$G$2:$G$372,MATCH($A1610,Funciones!$B$2:$B$372,0))</f>
        <v>Detectar la tensión de catenaria a partir de _____ V</v>
      </c>
      <c r="D1610" s="9" t="s">
        <v>5206</v>
      </c>
      <c r="E1610" s="9" t="s">
        <v>3983</v>
      </c>
      <c r="F1610" s="9" t="s">
        <v>5207</v>
      </c>
      <c r="G1610" s="9" t="s">
        <v>5208</v>
      </c>
      <c r="H1610" s="18" t="str">
        <f t="array" ref="H1610">_xlfn.XLOOKUP(E:E,'Calificación consecuencia'!B:B,'Calificación consecuencia'!K:K,"No encontrada",2)</f>
        <v>Baja</v>
      </c>
      <c r="I1610" s="9" t="s">
        <v>2106</v>
      </c>
      <c r="J1610" s="22" t="s">
        <v>120</v>
      </c>
      <c r="K1610" s="20" t="s">
        <v>116</v>
      </c>
      <c r="L1610" s="21"/>
      <c r="M1610" s="21"/>
      <c r="N1610" s="21"/>
      <c r="O1610" s="21"/>
      <c r="P1610" s="21"/>
      <c r="Q1610" s="21"/>
      <c r="R1610" s="21"/>
      <c r="S1610" s="21"/>
      <c r="T1610" s="21"/>
      <c r="U1610" s="9" t="s">
        <v>439</v>
      </c>
      <c r="V1610" s="9" t="s">
        <v>440</v>
      </c>
    </row>
  </sheetData>
  <autoFilter ref="$A$1:$V$1610"/>
  <conditionalFormatting sqref="H2:H1610">
    <cfRule type="cellIs" dxfId="0" priority="1" operator="equal">
      <formula>"Muy alta"</formula>
    </cfRule>
  </conditionalFormatting>
  <conditionalFormatting sqref="H2:H1610">
    <cfRule type="cellIs" dxfId="1" priority="2" operator="equal">
      <formula>"Alta"</formula>
    </cfRule>
  </conditionalFormatting>
  <conditionalFormatting sqref="H2:H1610">
    <cfRule type="cellIs" dxfId="2" priority="3" operator="equal">
      <formula>"Baja"</formula>
    </cfRule>
  </conditionalFormatting>
  <conditionalFormatting sqref="H2:H1610">
    <cfRule type="cellIs" dxfId="3" priority="4" operator="equal">
      <formula>"Media"</formula>
    </cfRule>
  </conditionalFormatting>
  <conditionalFormatting sqref="H2:H161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2.0"/>
    <col customWidth="1" min="2" max="2" width="52.0"/>
    <col customWidth="1" min="3" max="3" width="14.0"/>
    <col customWidth="1" min="4" max="5" width="18.0"/>
    <col customWidth="1" min="6" max="9" width="16.0"/>
    <col customWidth="1" min="10" max="10" width="23.71"/>
    <col customWidth="1" min="11" max="11" width="18.57"/>
    <col customWidth="1" min="12" max="12" width="8.71"/>
    <col customWidth="1" min="13" max="13" width="34.0"/>
    <col customWidth="1" min="14" max="14" width="18.0"/>
    <col customWidth="1" min="15" max="26" width="8.71"/>
  </cols>
  <sheetData>
    <row r="1" ht="14.25" customHeight="1">
      <c r="C1" s="1">
        <v>0.384</v>
      </c>
      <c r="D1" s="1">
        <v>0.18</v>
      </c>
      <c r="E1" s="1">
        <v>0.24</v>
      </c>
      <c r="F1" s="1">
        <v>0.096</v>
      </c>
      <c r="G1" s="1">
        <v>0.1</v>
      </c>
    </row>
    <row r="2" ht="48.0" customHeight="1">
      <c r="A2" s="3" t="s">
        <v>1</v>
      </c>
      <c r="B2" s="3" t="s">
        <v>7</v>
      </c>
      <c r="C2" s="3" t="s">
        <v>9</v>
      </c>
      <c r="D2" s="3" t="s">
        <v>12</v>
      </c>
      <c r="E2" s="3" t="s">
        <v>14</v>
      </c>
      <c r="F2" s="3" t="s">
        <v>17</v>
      </c>
      <c r="G2" s="3" t="s">
        <v>20</v>
      </c>
      <c r="H2" s="3" t="s">
        <v>22</v>
      </c>
      <c r="I2" s="3" t="s">
        <v>25</v>
      </c>
      <c r="J2" s="3" t="s">
        <v>27</v>
      </c>
      <c r="K2" s="3" t="s">
        <v>21</v>
      </c>
      <c r="M2" s="5"/>
      <c r="N2" s="5"/>
    </row>
    <row r="3" ht="14.25" customHeight="1">
      <c r="A3" s="6" t="s">
        <v>47</v>
      </c>
      <c r="B3" s="9" t="s">
        <v>52</v>
      </c>
      <c r="C3" s="10">
        <v>2.0</v>
      </c>
      <c r="D3" s="10">
        <v>4.0</v>
      </c>
      <c r="E3" s="10">
        <v>4.0</v>
      </c>
      <c r="F3" s="10">
        <v>4.0</v>
      </c>
      <c r="G3" s="10">
        <v>1.0</v>
      </c>
      <c r="H3" s="12">
        <f t="shared" ref="H3:H1611" si="1">SUMPRODUCT(C3:G3,$C$1:$G$1)</f>
        <v>2.932</v>
      </c>
      <c r="I3" s="13">
        <v>4.0</v>
      </c>
      <c r="J3" s="14">
        <f t="shared" ref="J3:J1611" si="2">H3*I3</f>
        <v>11.728</v>
      </c>
      <c r="K3" s="15" t="str">
        <f t="shared" ref="K3:K1611" si="3">IF(J3&gt;14,"Muy Alta",IF(J3&gt;10,"Alta",IF(J3&gt;4,"Media","Baja")))</f>
        <v>Alta</v>
      </c>
      <c r="M3" s="17"/>
      <c r="N3" s="19"/>
    </row>
    <row r="4" ht="14.25" customHeight="1">
      <c r="A4" s="6" t="s">
        <v>47</v>
      </c>
      <c r="B4" s="9" t="s">
        <v>114</v>
      </c>
      <c r="C4" s="10">
        <v>2.0</v>
      </c>
      <c r="D4" s="10">
        <v>4.0</v>
      </c>
      <c r="E4" s="10">
        <v>3.0</v>
      </c>
      <c r="F4" s="10">
        <v>1.0</v>
      </c>
      <c r="G4" s="10">
        <v>1.0</v>
      </c>
      <c r="H4" s="12">
        <f t="shared" si="1"/>
        <v>2.404</v>
      </c>
      <c r="I4" s="13">
        <v>2.0</v>
      </c>
      <c r="J4" s="14">
        <f t="shared" si="2"/>
        <v>4.808</v>
      </c>
      <c r="K4" s="15" t="str">
        <f t="shared" si="3"/>
        <v>Media</v>
      </c>
      <c r="M4" s="23"/>
      <c r="N4" s="19"/>
    </row>
    <row r="5" ht="14.25" customHeight="1">
      <c r="A5" s="6" t="s">
        <v>47</v>
      </c>
      <c r="B5" s="9" t="s">
        <v>124</v>
      </c>
      <c r="C5" s="10">
        <v>2.0</v>
      </c>
      <c r="D5" s="10">
        <v>4.0</v>
      </c>
      <c r="E5" s="10">
        <v>3.0</v>
      </c>
      <c r="F5" s="10">
        <v>3.0</v>
      </c>
      <c r="G5" s="10">
        <v>1.0</v>
      </c>
      <c r="H5" s="12">
        <f t="shared" si="1"/>
        <v>2.596</v>
      </c>
      <c r="I5" s="13">
        <v>2.0</v>
      </c>
      <c r="J5" s="14">
        <f t="shared" si="2"/>
        <v>5.192</v>
      </c>
      <c r="K5" s="15" t="str">
        <f t="shared" si="3"/>
        <v>Media</v>
      </c>
      <c r="M5" s="25"/>
      <c r="N5" s="19"/>
    </row>
    <row r="6" ht="14.25" customHeight="1">
      <c r="A6" s="6" t="s">
        <v>47</v>
      </c>
      <c r="B6" s="9" t="s">
        <v>136</v>
      </c>
      <c r="C6" s="10">
        <v>2.0</v>
      </c>
      <c r="D6" s="10">
        <v>4.0</v>
      </c>
      <c r="E6" s="10">
        <v>3.0</v>
      </c>
      <c r="F6" s="10">
        <v>1.0</v>
      </c>
      <c r="G6" s="10">
        <v>1.0</v>
      </c>
      <c r="H6" s="12">
        <f t="shared" si="1"/>
        <v>2.404</v>
      </c>
      <c r="I6" s="13">
        <v>2.0</v>
      </c>
      <c r="J6" s="14">
        <f t="shared" si="2"/>
        <v>4.808</v>
      </c>
      <c r="K6" s="15" t="str">
        <f t="shared" si="3"/>
        <v>Media</v>
      </c>
      <c r="M6" s="26"/>
      <c r="N6" s="19"/>
    </row>
    <row r="7" ht="14.25" customHeight="1">
      <c r="A7" s="6" t="s">
        <v>47</v>
      </c>
      <c r="B7" s="9" t="s">
        <v>147</v>
      </c>
      <c r="C7" s="10">
        <v>2.0</v>
      </c>
      <c r="D7" s="10">
        <v>4.0</v>
      </c>
      <c r="E7" s="10">
        <v>3.0</v>
      </c>
      <c r="F7" s="10">
        <v>3.0</v>
      </c>
      <c r="G7" s="10">
        <v>1.0</v>
      </c>
      <c r="H7" s="12">
        <f t="shared" si="1"/>
        <v>2.596</v>
      </c>
      <c r="I7" s="13">
        <v>2.0</v>
      </c>
      <c r="J7" s="14">
        <f t="shared" si="2"/>
        <v>5.192</v>
      </c>
      <c r="K7" s="15" t="str">
        <f t="shared" si="3"/>
        <v>Media</v>
      </c>
    </row>
    <row r="8" ht="14.25" customHeight="1">
      <c r="A8" s="6" t="s">
        <v>47</v>
      </c>
      <c r="B8" s="9" t="s">
        <v>156</v>
      </c>
      <c r="C8" s="10">
        <v>1.0</v>
      </c>
      <c r="D8" s="10">
        <v>2.0</v>
      </c>
      <c r="E8" s="10">
        <v>3.0</v>
      </c>
      <c r="F8" s="10">
        <v>1.0</v>
      </c>
      <c r="G8" s="10">
        <v>1.0</v>
      </c>
      <c r="H8" s="12">
        <f t="shared" si="1"/>
        <v>1.66</v>
      </c>
      <c r="I8" s="13">
        <v>2.0</v>
      </c>
      <c r="J8" s="14">
        <f t="shared" si="2"/>
        <v>3.32</v>
      </c>
      <c r="K8" s="15" t="str">
        <f t="shared" si="3"/>
        <v>Baja</v>
      </c>
    </row>
    <row r="9" ht="14.25" customHeight="1">
      <c r="A9" s="6" t="s">
        <v>47</v>
      </c>
      <c r="B9" s="9" t="s">
        <v>167</v>
      </c>
      <c r="C9" s="10">
        <v>1.0</v>
      </c>
      <c r="D9" s="10">
        <v>2.0</v>
      </c>
      <c r="E9" s="10">
        <v>3.0</v>
      </c>
      <c r="F9" s="10">
        <v>1.0</v>
      </c>
      <c r="G9" s="10">
        <v>1.0</v>
      </c>
      <c r="H9" s="12">
        <f t="shared" si="1"/>
        <v>1.66</v>
      </c>
      <c r="I9" s="13">
        <v>2.0</v>
      </c>
      <c r="J9" s="14">
        <f t="shared" si="2"/>
        <v>3.32</v>
      </c>
      <c r="K9" s="17" t="str">
        <f t="shared" si="3"/>
        <v>Baja</v>
      </c>
    </row>
    <row r="10" ht="14.25" customHeight="1">
      <c r="A10" s="6" t="s">
        <v>73</v>
      </c>
      <c r="B10" s="27" t="s">
        <v>185</v>
      </c>
      <c r="C10" s="10">
        <v>4.0</v>
      </c>
      <c r="D10" s="10">
        <v>2.0</v>
      </c>
      <c r="E10" s="10">
        <v>2.0</v>
      </c>
      <c r="F10" s="10">
        <v>1.0</v>
      </c>
      <c r="G10" s="10">
        <v>2.0</v>
      </c>
      <c r="H10" s="12">
        <f t="shared" si="1"/>
        <v>2.672</v>
      </c>
      <c r="I10" s="13">
        <v>2.0</v>
      </c>
      <c r="J10" s="14">
        <f t="shared" si="2"/>
        <v>5.344</v>
      </c>
      <c r="K10" s="15" t="str">
        <f t="shared" si="3"/>
        <v>Media</v>
      </c>
    </row>
    <row r="11" ht="14.25" customHeight="1">
      <c r="A11" s="6" t="s">
        <v>73</v>
      </c>
      <c r="B11" s="27" t="s">
        <v>198</v>
      </c>
      <c r="C11" s="10">
        <v>4.0</v>
      </c>
      <c r="D11" s="10">
        <v>2.0</v>
      </c>
      <c r="E11" s="10">
        <v>2.0</v>
      </c>
      <c r="F11" s="10">
        <v>1.0</v>
      </c>
      <c r="G11" s="10">
        <v>2.0</v>
      </c>
      <c r="H11" s="12">
        <f t="shared" si="1"/>
        <v>2.672</v>
      </c>
      <c r="I11" s="13">
        <v>1.0</v>
      </c>
      <c r="J11" s="14">
        <f t="shared" si="2"/>
        <v>2.672</v>
      </c>
      <c r="K11" s="15" t="str">
        <f t="shared" si="3"/>
        <v>Baja</v>
      </c>
    </row>
    <row r="12" ht="14.25" customHeight="1">
      <c r="A12" s="6" t="s">
        <v>73</v>
      </c>
      <c r="B12" s="27" t="s">
        <v>207</v>
      </c>
      <c r="C12" s="10">
        <v>4.0</v>
      </c>
      <c r="D12" s="10">
        <v>2.0</v>
      </c>
      <c r="E12" s="10">
        <v>2.0</v>
      </c>
      <c r="F12" s="10">
        <v>1.0</v>
      </c>
      <c r="G12" s="10">
        <v>2.0</v>
      </c>
      <c r="H12" s="12">
        <f t="shared" si="1"/>
        <v>2.672</v>
      </c>
      <c r="I12" s="13">
        <v>3.0</v>
      </c>
      <c r="J12" s="14">
        <f t="shared" si="2"/>
        <v>8.016</v>
      </c>
      <c r="K12" s="15" t="str">
        <f t="shared" si="3"/>
        <v>Media</v>
      </c>
    </row>
    <row r="13" ht="14.25" customHeight="1">
      <c r="A13" s="6" t="s">
        <v>73</v>
      </c>
      <c r="B13" s="27" t="s">
        <v>220</v>
      </c>
      <c r="C13" s="10">
        <v>4.0</v>
      </c>
      <c r="D13" s="10">
        <v>2.0</v>
      </c>
      <c r="E13" s="10">
        <v>2.0</v>
      </c>
      <c r="F13" s="10">
        <v>1.0</v>
      </c>
      <c r="G13" s="10">
        <v>2.0</v>
      </c>
      <c r="H13" s="12">
        <f t="shared" si="1"/>
        <v>2.672</v>
      </c>
      <c r="I13" s="13">
        <v>2.0</v>
      </c>
      <c r="J13" s="14">
        <f t="shared" si="2"/>
        <v>5.344</v>
      </c>
      <c r="K13" s="15" t="str">
        <f t="shared" si="3"/>
        <v>Media</v>
      </c>
    </row>
    <row r="14" ht="14.25" customHeight="1">
      <c r="A14" s="6" t="s">
        <v>73</v>
      </c>
      <c r="B14" s="27" t="s">
        <v>234</v>
      </c>
      <c r="C14" s="10">
        <v>4.0</v>
      </c>
      <c r="D14" s="10">
        <v>2.0</v>
      </c>
      <c r="E14" s="10">
        <v>2.0</v>
      </c>
      <c r="F14" s="10">
        <v>1.0</v>
      </c>
      <c r="G14" s="10">
        <v>2.0</v>
      </c>
      <c r="H14" s="12">
        <f t="shared" si="1"/>
        <v>2.672</v>
      </c>
      <c r="I14" s="13">
        <v>3.0</v>
      </c>
      <c r="J14" s="14">
        <f t="shared" si="2"/>
        <v>8.016</v>
      </c>
      <c r="K14" s="15" t="str">
        <f t="shared" si="3"/>
        <v>Media</v>
      </c>
    </row>
    <row r="15" ht="14.25" customHeight="1">
      <c r="A15" s="6" t="s">
        <v>73</v>
      </c>
      <c r="B15" s="27" t="s">
        <v>242</v>
      </c>
      <c r="C15" s="10">
        <v>3.0</v>
      </c>
      <c r="D15" s="10">
        <v>1.0</v>
      </c>
      <c r="E15" s="10">
        <v>2.0</v>
      </c>
      <c r="F15" s="10">
        <v>1.0</v>
      </c>
      <c r="G15" s="10">
        <v>1.0</v>
      </c>
      <c r="H15" s="12">
        <f t="shared" si="1"/>
        <v>2.008</v>
      </c>
      <c r="I15" s="13">
        <v>3.0</v>
      </c>
      <c r="J15" s="14">
        <f t="shared" si="2"/>
        <v>6.024</v>
      </c>
      <c r="K15" s="15" t="str">
        <f t="shared" si="3"/>
        <v>Media</v>
      </c>
    </row>
    <row r="16" ht="14.25" customHeight="1">
      <c r="A16" s="6" t="s">
        <v>73</v>
      </c>
      <c r="B16" s="27" t="s">
        <v>262</v>
      </c>
      <c r="C16" s="10">
        <v>3.0</v>
      </c>
      <c r="D16" s="10">
        <v>1.0</v>
      </c>
      <c r="E16" s="10">
        <v>2.0</v>
      </c>
      <c r="F16" s="10">
        <v>1.0</v>
      </c>
      <c r="G16" s="10">
        <v>1.0</v>
      </c>
      <c r="H16" s="12">
        <f t="shared" si="1"/>
        <v>2.008</v>
      </c>
      <c r="I16" s="13">
        <v>3.0</v>
      </c>
      <c r="J16" s="14">
        <f t="shared" si="2"/>
        <v>6.024</v>
      </c>
      <c r="K16" s="15" t="str">
        <f t="shared" si="3"/>
        <v>Media</v>
      </c>
    </row>
    <row r="17" ht="14.25" customHeight="1">
      <c r="A17" s="6" t="s">
        <v>91</v>
      </c>
      <c r="B17" s="9" t="s">
        <v>275</v>
      </c>
      <c r="C17" s="10">
        <v>2.0</v>
      </c>
      <c r="D17" s="10">
        <v>4.0</v>
      </c>
      <c r="E17" s="10">
        <v>3.0</v>
      </c>
      <c r="F17" s="10">
        <v>1.0</v>
      </c>
      <c r="G17" s="10">
        <v>2.0</v>
      </c>
      <c r="H17" s="12">
        <f t="shared" si="1"/>
        <v>2.504</v>
      </c>
      <c r="I17" s="13">
        <v>3.0</v>
      </c>
      <c r="J17" s="14">
        <f t="shared" si="2"/>
        <v>7.512</v>
      </c>
      <c r="K17" s="15" t="str">
        <f t="shared" si="3"/>
        <v>Media</v>
      </c>
    </row>
    <row r="18" ht="14.25" customHeight="1">
      <c r="A18" s="6" t="s">
        <v>91</v>
      </c>
      <c r="B18" s="9" t="s">
        <v>292</v>
      </c>
      <c r="C18" s="10">
        <v>2.0</v>
      </c>
      <c r="D18" s="10">
        <v>4.0</v>
      </c>
      <c r="E18" s="10">
        <v>3.0</v>
      </c>
      <c r="F18" s="10">
        <v>2.0</v>
      </c>
      <c r="G18" s="10">
        <v>2.0</v>
      </c>
      <c r="H18" s="12">
        <f t="shared" si="1"/>
        <v>2.6</v>
      </c>
      <c r="I18" s="13">
        <v>1.0</v>
      </c>
      <c r="J18" s="14">
        <f t="shared" si="2"/>
        <v>2.6</v>
      </c>
      <c r="K18" s="15" t="str">
        <f t="shared" si="3"/>
        <v>Baja</v>
      </c>
    </row>
    <row r="19" ht="14.25" customHeight="1">
      <c r="A19" s="6" t="s">
        <v>91</v>
      </c>
      <c r="B19" s="9" t="s">
        <v>304</v>
      </c>
      <c r="C19" s="10">
        <v>1.0</v>
      </c>
      <c r="D19" s="10">
        <v>2.0</v>
      </c>
      <c r="E19" s="10">
        <v>3.0</v>
      </c>
      <c r="F19" s="10">
        <v>2.0</v>
      </c>
      <c r="G19" s="10">
        <v>1.0</v>
      </c>
      <c r="H19" s="12">
        <f t="shared" si="1"/>
        <v>1.756</v>
      </c>
      <c r="I19" s="13">
        <v>2.0</v>
      </c>
      <c r="J19" s="14">
        <f t="shared" si="2"/>
        <v>3.512</v>
      </c>
      <c r="K19" s="15" t="str">
        <f t="shared" si="3"/>
        <v>Baja</v>
      </c>
    </row>
    <row r="20" ht="14.25" customHeight="1">
      <c r="A20" s="6" t="s">
        <v>91</v>
      </c>
      <c r="B20" s="9" t="s">
        <v>326</v>
      </c>
      <c r="C20" s="10">
        <v>1.0</v>
      </c>
      <c r="D20" s="10">
        <v>2.0</v>
      </c>
      <c r="E20" s="10">
        <v>3.0</v>
      </c>
      <c r="F20" s="10">
        <v>1.0</v>
      </c>
      <c r="G20" s="10">
        <v>1.0</v>
      </c>
      <c r="H20" s="12">
        <f t="shared" si="1"/>
        <v>1.66</v>
      </c>
      <c r="I20" s="13">
        <v>2.0</v>
      </c>
      <c r="J20" s="14">
        <f t="shared" si="2"/>
        <v>3.32</v>
      </c>
      <c r="K20" s="15" t="str">
        <f t="shared" si="3"/>
        <v>Baja</v>
      </c>
    </row>
    <row r="21" ht="14.25" customHeight="1">
      <c r="A21" s="6" t="s">
        <v>91</v>
      </c>
      <c r="B21" s="9" t="s">
        <v>344</v>
      </c>
      <c r="C21" s="10">
        <v>1.0</v>
      </c>
      <c r="D21" s="10">
        <v>2.0</v>
      </c>
      <c r="E21" s="10">
        <v>2.0</v>
      </c>
      <c r="F21" s="10">
        <v>1.0</v>
      </c>
      <c r="G21" s="10">
        <v>1.0</v>
      </c>
      <c r="H21" s="12">
        <f t="shared" si="1"/>
        <v>1.42</v>
      </c>
      <c r="I21" s="13">
        <v>3.0</v>
      </c>
      <c r="J21" s="14">
        <f t="shared" si="2"/>
        <v>4.26</v>
      </c>
      <c r="K21" s="15" t="str">
        <f t="shared" si="3"/>
        <v>Media</v>
      </c>
    </row>
    <row r="22" ht="14.25" customHeight="1">
      <c r="A22" s="6" t="s">
        <v>91</v>
      </c>
      <c r="B22" s="9" t="s">
        <v>360</v>
      </c>
      <c r="C22" s="10">
        <v>1.0</v>
      </c>
      <c r="D22" s="10">
        <v>2.0</v>
      </c>
      <c r="E22" s="10">
        <v>2.0</v>
      </c>
      <c r="F22" s="10">
        <v>2.0</v>
      </c>
      <c r="G22" s="10">
        <v>1.0</v>
      </c>
      <c r="H22" s="12">
        <f t="shared" si="1"/>
        <v>1.516</v>
      </c>
      <c r="I22" s="13">
        <v>1.0</v>
      </c>
      <c r="J22" s="14">
        <f t="shared" si="2"/>
        <v>1.516</v>
      </c>
      <c r="K22" s="15" t="str">
        <f t="shared" si="3"/>
        <v>Baja</v>
      </c>
    </row>
    <row r="23" ht="14.25" customHeight="1">
      <c r="A23" s="6" t="s">
        <v>101</v>
      </c>
      <c r="B23" s="27" t="s">
        <v>383</v>
      </c>
      <c r="C23" s="10">
        <v>4.0</v>
      </c>
      <c r="D23" s="10">
        <v>4.0</v>
      </c>
      <c r="E23" s="10">
        <v>3.0</v>
      </c>
      <c r="F23" s="10">
        <v>2.0</v>
      </c>
      <c r="G23" s="10">
        <v>1.0</v>
      </c>
      <c r="H23" s="12">
        <f t="shared" si="1"/>
        <v>3.268</v>
      </c>
      <c r="I23" s="13">
        <v>3.0</v>
      </c>
      <c r="J23" s="14">
        <f t="shared" si="2"/>
        <v>9.804</v>
      </c>
      <c r="K23" s="15" t="str">
        <f t="shared" si="3"/>
        <v>Media</v>
      </c>
    </row>
    <row r="24" ht="14.25" customHeight="1">
      <c r="A24" s="6" t="s">
        <v>101</v>
      </c>
      <c r="B24" s="27" t="s">
        <v>387</v>
      </c>
      <c r="C24" s="10">
        <v>4.0</v>
      </c>
      <c r="D24" s="10">
        <v>4.0</v>
      </c>
      <c r="E24" s="10">
        <v>3.0</v>
      </c>
      <c r="F24" s="10">
        <v>1.0</v>
      </c>
      <c r="G24" s="10">
        <v>1.0</v>
      </c>
      <c r="H24" s="12">
        <f t="shared" si="1"/>
        <v>3.172</v>
      </c>
      <c r="I24" s="13">
        <v>2.0</v>
      </c>
      <c r="J24" s="14">
        <f t="shared" si="2"/>
        <v>6.344</v>
      </c>
      <c r="K24" s="15" t="str">
        <f t="shared" si="3"/>
        <v>Media</v>
      </c>
    </row>
    <row r="25" ht="14.25" customHeight="1">
      <c r="A25" s="6" t="s">
        <v>101</v>
      </c>
      <c r="B25" s="27" t="s">
        <v>398</v>
      </c>
      <c r="C25" s="10">
        <v>4.0</v>
      </c>
      <c r="D25" s="10">
        <v>4.0</v>
      </c>
      <c r="E25" s="10">
        <v>3.0</v>
      </c>
      <c r="F25" s="10">
        <v>1.0</v>
      </c>
      <c r="G25" s="10">
        <v>1.0</v>
      </c>
      <c r="H25" s="12">
        <f t="shared" si="1"/>
        <v>3.172</v>
      </c>
      <c r="I25" s="13">
        <v>2.0</v>
      </c>
      <c r="J25" s="14">
        <f t="shared" si="2"/>
        <v>6.344</v>
      </c>
      <c r="K25" s="15" t="str">
        <f t="shared" si="3"/>
        <v>Media</v>
      </c>
    </row>
    <row r="26" ht="14.25" customHeight="1">
      <c r="A26" s="6" t="s">
        <v>101</v>
      </c>
      <c r="B26" s="27" t="s">
        <v>412</v>
      </c>
      <c r="C26" s="10">
        <v>3.0</v>
      </c>
      <c r="D26" s="10">
        <v>2.0</v>
      </c>
      <c r="E26" s="10">
        <v>3.0</v>
      </c>
      <c r="F26" s="10">
        <v>1.0</v>
      </c>
      <c r="G26" s="10">
        <v>1.0</v>
      </c>
      <c r="H26" s="12">
        <f t="shared" si="1"/>
        <v>2.428</v>
      </c>
      <c r="I26" s="13">
        <v>2.0</v>
      </c>
      <c r="J26" s="14">
        <f t="shared" si="2"/>
        <v>4.856</v>
      </c>
      <c r="K26" s="15" t="str">
        <f t="shared" si="3"/>
        <v>Media</v>
      </c>
    </row>
    <row r="27" ht="14.25" customHeight="1">
      <c r="A27" s="6" t="s">
        <v>101</v>
      </c>
      <c r="B27" s="27" t="s">
        <v>424</v>
      </c>
      <c r="C27" s="10">
        <v>3.0</v>
      </c>
      <c r="D27" s="10">
        <v>2.0</v>
      </c>
      <c r="E27" s="10">
        <v>2.0</v>
      </c>
      <c r="F27" s="10">
        <v>2.0</v>
      </c>
      <c r="G27" s="10">
        <v>1.0</v>
      </c>
      <c r="H27" s="12">
        <f t="shared" si="1"/>
        <v>2.284</v>
      </c>
      <c r="I27" s="13">
        <v>2.0</v>
      </c>
      <c r="J27" s="14">
        <f t="shared" si="2"/>
        <v>4.568</v>
      </c>
      <c r="K27" s="15" t="str">
        <f t="shared" si="3"/>
        <v>Media</v>
      </c>
    </row>
    <row r="28" ht="14.25" customHeight="1">
      <c r="A28" s="6" t="s">
        <v>101</v>
      </c>
      <c r="B28" s="27" t="s">
        <v>434</v>
      </c>
      <c r="C28" s="10">
        <v>3.0</v>
      </c>
      <c r="D28" s="10">
        <v>2.0</v>
      </c>
      <c r="E28" s="10">
        <v>2.0</v>
      </c>
      <c r="F28" s="10">
        <v>1.0</v>
      </c>
      <c r="G28" s="10">
        <v>1.0</v>
      </c>
      <c r="H28" s="12">
        <f t="shared" si="1"/>
        <v>2.188</v>
      </c>
      <c r="I28" s="13">
        <v>3.0</v>
      </c>
      <c r="J28" s="14">
        <f t="shared" si="2"/>
        <v>6.564</v>
      </c>
      <c r="K28" s="15" t="str">
        <f t="shared" si="3"/>
        <v>Media</v>
      </c>
    </row>
    <row r="29" ht="14.25" customHeight="1">
      <c r="A29" s="6" t="s">
        <v>101</v>
      </c>
      <c r="B29" s="27" t="s">
        <v>449</v>
      </c>
      <c r="C29" s="10">
        <v>3.0</v>
      </c>
      <c r="D29" s="10">
        <v>2.0</v>
      </c>
      <c r="E29" s="10">
        <v>2.0</v>
      </c>
      <c r="F29" s="10">
        <v>1.0</v>
      </c>
      <c r="G29" s="10">
        <v>1.0</v>
      </c>
      <c r="H29" s="12">
        <f t="shared" si="1"/>
        <v>2.188</v>
      </c>
      <c r="I29" s="13">
        <v>2.0</v>
      </c>
      <c r="J29" s="14">
        <f t="shared" si="2"/>
        <v>4.376</v>
      </c>
      <c r="K29" s="15" t="str">
        <f t="shared" si="3"/>
        <v>Media</v>
      </c>
    </row>
    <row r="30" ht="14.25" customHeight="1">
      <c r="A30" s="6" t="s">
        <v>101</v>
      </c>
      <c r="B30" s="27" t="s">
        <v>463</v>
      </c>
      <c r="C30" s="10">
        <v>3.0</v>
      </c>
      <c r="D30" s="10">
        <v>2.0</v>
      </c>
      <c r="E30" s="10">
        <v>2.0</v>
      </c>
      <c r="F30" s="10">
        <v>2.0</v>
      </c>
      <c r="G30" s="10">
        <v>1.0</v>
      </c>
      <c r="H30" s="12">
        <f t="shared" si="1"/>
        <v>2.284</v>
      </c>
      <c r="I30" s="13">
        <v>3.0</v>
      </c>
      <c r="J30" s="14">
        <f t="shared" si="2"/>
        <v>6.852</v>
      </c>
      <c r="K30" s="15" t="str">
        <f t="shared" si="3"/>
        <v>Media</v>
      </c>
    </row>
    <row r="31" ht="14.25" customHeight="1">
      <c r="A31" s="6" t="s">
        <v>90</v>
      </c>
      <c r="B31" s="9" t="s">
        <v>474</v>
      </c>
      <c r="C31" s="10">
        <v>4.0</v>
      </c>
      <c r="D31" s="10">
        <v>4.0</v>
      </c>
      <c r="E31" s="10">
        <v>3.0</v>
      </c>
      <c r="F31" s="10">
        <v>1.0</v>
      </c>
      <c r="G31" s="10">
        <v>1.0</v>
      </c>
      <c r="H31" s="12">
        <f t="shared" si="1"/>
        <v>3.172</v>
      </c>
      <c r="I31" s="13">
        <v>3.0</v>
      </c>
      <c r="J31" s="14">
        <f t="shared" si="2"/>
        <v>9.516</v>
      </c>
      <c r="K31" s="15" t="str">
        <f t="shared" si="3"/>
        <v>Media</v>
      </c>
    </row>
    <row r="32" ht="14.25" customHeight="1">
      <c r="A32" s="6" t="s">
        <v>90</v>
      </c>
      <c r="B32" s="9" t="s">
        <v>479</v>
      </c>
      <c r="C32" s="10">
        <v>4.0</v>
      </c>
      <c r="D32" s="10">
        <v>4.0</v>
      </c>
      <c r="E32" s="10">
        <v>3.0</v>
      </c>
      <c r="F32" s="10">
        <v>1.0</v>
      </c>
      <c r="G32" s="10">
        <v>1.0</v>
      </c>
      <c r="H32" s="12">
        <f t="shared" si="1"/>
        <v>3.172</v>
      </c>
      <c r="I32" s="13">
        <v>2.0</v>
      </c>
      <c r="J32" s="14">
        <f t="shared" si="2"/>
        <v>6.344</v>
      </c>
      <c r="K32" s="15" t="str">
        <f t="shared" si="3"/>
        <v>Media</v>
      </c>
    </row>
    <row r="33" ht="14.25" customHeight="1">
      <c r="A33" s="6" t="s">
        <v>90</v>
      </c>
      <c r="B33" s="9" t="s">
        <v>491</v>
      </c>
      <c r="C33" s="10">
        <v>4.0</v>
      </c>
      <c r="D33" s="10">
        <v>4.0</v>
      </c>
      <c r="E33" s="10">
        <v>3.0</v>
      </c>
      <c r="F33" s="10">
        <v>1.0</v>
      </c>
      <c r="G33" s="10">
        <v>1.0</v>
      </c>
      <c r="H33" s="12">
        <f t="shared" si="1"/>
        <v>3.172</v>
      </c>
      <c r="I33" s="13">
        <v>2.0</v>
      </c>
      <c r="J33" s="14">
        <f t="shared" si="2"/>
        <v>6.344</v>
      </c>
      <c r="K33" s="15" t="str">
        <f t="shared" si="3"/>
        <v>Media</v>
      </c>
    </row>
    <row r="34" ht="14.25" customHeight="1">
      <c r="A34" s="6" t="s">
        <v>90</v>
      </c>
      <c r="B34" s="9" t="s">
        <v>504</v>
      </c>
      <c r="C34" s="10">
        <v>4.0</v>
      </c>
      <c r="D34" s="10">
        <v>4.0</v>
      </c>
      <c r="E34" s="10">
        <v>3.0</v>
      </c>
      <c r="F34" s="10">
        <v>1.0</v>
      </c>
      <c r="G34" s="10">
        <v>1.0</v>
      </c>
      <c r="H34" s="12">
        <f t="shared" si="1"/>
        <v>3.172</v>
      </c>
      <c r="I34" s="13">
        <v>2.0</v>
      </c>
      <c r="J34" s="14">
        <f t="shared" si="2"/>
        <v>6.344</v>
      </c>
      <c r="K34" s="15" t="str">
        <f t="shared" si="3"/>
        <v>Media</v>
      </c>
    </row>
    <row r="35" ht="14.25" customHeight="1">
      <c r="A35" s="6" t="s">
        <v>90</v>
      </c>
      <c r="B35" s="9" t="s">
        <v>519</v>
      </c>
      <c r="C35" s="10">
        <v>4.0</v>
      </c>
      <c r="D35" s="10">
        <v>4.0</v>
      </c>
      <c r="E35" s="10">
        <v>3.0</v>
      </c>
      <c r="F35" s="10">
        <v>1.0</v>
      </c>
      <c r="G35" s="10">
        <v>1.0</v>
      </c>
      <c r="H35" s="12">
        <f t="shared" si="1"/>
        <v>3.172</v>
      </c>
      <c r="I35" s="13">
        <v>3.0</v>
      </c>
      <c r="J35" s="14">
        <f t="shared" si="2"/>
        <v>9.516</v>
      </c>
      <c r="K35" s="15" t="str">
        <f t="shared" si="3"/>
        <v>Media</v>
      </c>
    </row>
    <row r="36" ht="14.25" customHeight="1">
      <c r="A36" s="6" t="s">
        <v>90</v>
      </c>
      <c r="B36" s="9" t="s">
        <v>412</v>
      </c>
      <c r="C36" s="10">
        <v>3.0</v>
      </c>
      <c r="D36" s="10">
        <v>2.0</v>
      </c>
      <c r="E36" s="10">
        <v>3.0</v>
      </c>
      <c r="F36" s="10">
        <v>1.0</v>
      </c>
      <c r="G36" s="10">
        <v>1.0</v>
      </c>
      <c r="H36" s="12">
        <f t="shared" si="1"/>
        <v>2.428</v>
      </c>
      <c r="I36" s="13">
        <v>2.0</v>
      </c>
      <c r="J36" s="14">
        <f t="shared" si="2"/>
        <v>4.856</v>
      </c>
      <c r="K36" s="15" t="str">
        <f t="shared" si="3"/>
        <v>Media</v>
      </c>
    </row>
    <row r="37" ht="14.25" customHeight="1">
      <c r="A37" s="6" t="s">
        <v>90</v>
      </c>
      <c r="B37" s="9" t="s">
        <v>545</v>
      </c>
      <c r="C37" s="10">
        <v>3.0</v>
      </c>
      <c r="D37" s="10">
        <v>2.0</v>
      </c>
      <c r="E37" s="10">
        <v>2.0</v>
      </c>
      <c r="F37" s="10">
        <v>1.0</v>
      </c>
      <c r="G37" s="10">
        <v>1.0</v>
      </c>
      <c r="H37" s="12">
        <f t="shared" si="1"/>
        <v>2.188</v>
      </c>
      <c r="I37" s="13">
        <v>3.0</v>
      </c>
      <c r="J37" s="14">
        <f t="shared" si="2"/>
        <v>6.564</v>
      </c>
      <c r="K37" s="15" t="str">
        <f t="shared" si="3"/>
        <v>Media</v>
      </c>
    </row>
    <row r="38" ht="14.25" customHeight="1">
      <c r="A38" s="6" t="s">
        <v>118</v>
      </c>
      <c r="B38" s="27" t="s">
        <v>556</v>
      </c>
      <c r="C38" s="10">
        <v>3.0</v>
      </c>
      <c r="D38" s="10">
        <v>2.0</v>
      </c>
      <c r="E38" s="10">
        <v>3.0</v>
      </c>
      <c r="F38" s="10">
        <v>1.0</v>
      </c>
      <c r="G38" s="10">
        <v>1.0</v>
      </c>
      <c r="H38" s="12">
        <f t="shared" si="1"/>
        <v>2.428</v>
      </c>
      <c r="I38" s="13">
        <v>1.0</v>
      </c>
      <c r="J38" s="14">
        <f t="shared" si="2"/>
        <v>2.428</v>
      </c>
      <c r="K38" s="15" t="str">
        <f t="shared" si="3"/>
        <v>Baja</v>
      </c>
    </row>
    <row r="39" ht="14.25" customHeight="1">
      <c r="A39" s="6" t="s">
        <v>118</v>
      </c>
      <c r="B39" s="27" t="s">
        <v>568</v>
      </c>
      <c r="C39" s="10">
        <v>3.0</v>
      </c>
      <c r="D39" s="10">
        <v>2.0</v>
      </c>
      <c r="E39" s="10">
        <v>3.0</v>
      </c>
      <c r="F39" s="10">
        <v>2.0</v>
      </c>
      <c r="G39" s="10">
        <v>1.0</v>
      </c>
      <c r="H39" s="12">
        <f t="shared" si="1"/>
        <v>2.524</v>
      </c>
      <c r="I39" s="13">
        <v>2.0</v>
      </c>
      <c r="J39" s="14">
        <f t="shared" si="2"/>
        <v>5.048</v>
      </c>
      <c r="K39" s="15" t="str">
        <f t="shared" si="3"/>
        <v>Media</v>
      </c>
    </row>
    <row r="40" ht="14.25" customHeight="1">
      <c r="A40" s="6" t="s">
        <v>118</v>
      </c>
      <c r="B40" s="27" t="s">
        <v>580</v>
      </c>
      <c r="C40" s="10">
        <v>3.0</v>
      </c>
      <c r="D40" s="10">
        <v>2.0</v>
      </c>
      <c r="E40" s="10">
        <v>2.0</v>
      </c>
      <c r="F40" s="10">
        <v>1.0</v>
      </c>
      <c r="G40" s="10">
        <v>1.0</v>
      </c>
      <c r="H40" s="12">
        <f t="shared" si="1"/>
        <v>2.188</v>
      </c>
      <c r="I40" s="13">
        <v>3.0</v>
      </c>
      <c r="J40" s="14">
        <f t="shared" si="2"/>
        <v>6.564</v>
      </c>
      <c r="K40" s="15" t="str">
        <f t="shared" si="3"/>
        <v>Media</v>
      </c>
    </row>
    <row r="41" ht="14.25" customHeight="1">
      <c r="A41" s="6" t="s">
        <v>118</v>
      </c>
      <c r="B41" s="27" t="s">
        <v>590</v>
      </c>
      <c r="C41" s="10">
        <v>2.0</v>
      </c>
      <c r="D41" s="10">
        <v>1.0</v>
      </c>
      <c r="E41" s="10">
        <v>3.0</v>
      </c>
      <c r="F41" s="10">
        <v>1.0</v>
      </c>
      <c r="G41" s="10">
        <v>1.0</v>
      </c>
      <c r="H41" s="12">
        <f t="shared" si="1"/>
        <v>1.864</v>
      </c>
      <c r="I41" s="13">
        <v>2.0</v>
      </c>
      <c r="J41" s="14">
        <f t="shared" si="2"/>
        <v>3.728</v>
      </c>
      <c r="K41" s="15" t="str">
        <f t="shared" si="3"/>
        <v>Baja</v>
      </c>
    </row>
    <row r="42" ht="14.25" customHeight="1">
      <c r="A42" s="6" t="s">
        <v>118</v>
      </c>
      <c r="B42" s="27" t="s">
        <v>599</v>
      </c>
      <c r="C42" s="10">
        <v>2.0</v>
      </c>
      <c r="D42" s="10">
        <v>1.0</v>
      </c>
      <c r="E42" s="10">
        <v>3.0</v>
      </c>
      <c r="F42" s="10">
        <v>1.0</v>
      </c>
      <c r="G42" s="10">
        <v>1.0</v>
      </c>
      <c r="H42" s="12">
        <f t="shared" si="1"/>
        <v>1.864</v>
      </c>
      <c r="I42" s="13">
        <v>1.0</v>
      </c>
      <c r="J42" s="14">
        <f t="shared" si="2"/>
        <v>1.864</v>
      </c>
      <c r="K42" s="15" t="str">
        <f t="shared" si="3"/>
        <v>Baja</v>
      </c>
    </row>
    <row r="43" ht="14.25" customHeight="1">
      <c r="A43" s="6" t="s">
        <v>131</v>
      </c>
      <c r="B43" s="9" t="s">
        <v>608</v>
      </c>
      <c r="C43" s="10">
        <v>1.0</v>
      </c>
      <c r="D43" s="10">
        <v>4.0</v>
      </c>
      <c r="E43" s="10">
        <v>3.0</v>
      </c>
      <c r="F43" s="10">
        <v>3.0</v>
      </c>
      <c r="G43" s="10">
        <v>1.0</v>
      </c>
      <c r="H43" s="12">
        <f t="shared" si="1"/>
        <v>2.212</v>
      </c>
      <c r="I43" s="13">
        <v>2.0</v>
      </c>
      <c r="J43" s="14">
        <f t="shared" si="2"/>
        <v>4.424</v>
      </c>
      <c r="K43" s="15" t="str">
        <f t="shared" si="3"/>
        <v>Media</v>
      </c>
    </row>
    <row r="44" ht="14.25" customHeight="1">
      <c r="A44" s="6" t="s">
        <v>131</v>
      </c>
      <c r="B44" s="9" t="s">
        <v>614</v>
      </c>
      <c r="C44" s="10">
        <v>1.0</v>
      </c>
      <c r="D44" s="10">
        <v>4.0</v>
      </c>
      <c r="E44" s="10">
        <v>3.0</v>
      </c>
      <c r="F44" s="10">
        <v>4.0</v>
      </c>
      <c r="G44" s="10">
        <v>1.0</v>
      </c>
      <c r="H44" s="12">
        <f t="shared" si="1"/>
        <v>2.308</v>
      </c>
      <c r="I44" s="13">
        <v>2.0</v>
      </c>
      <c r="J44" s="14">
        <f t="shared" si="2"/>
        <v>4.616</v>
      </c>
      <c r="K44" s="15" t="str">
        <f t="shared" si="3"/>
        <v>Media</v>
      </c>
    </row>
    <row r="45" ht="14.25" customHeight="1">
      <c r="A45" s="6" t="s">
        <v>131</v>
      </c>
      <c r="B45" s="9" t="s">
        <v>623</v>
      </c>
      <c r="C45" s="10">
        <v>1.0</v>
      </c>
      <c r="D45" s="10">
        <v>2.0</v>
      </c>
      <c r="E45" s="10">
        <v>3.0</v>
      </c>
      <c r="F45" s="10">
        <v>4.0</v>
      </c>
      <c r="G45" s="10">
        <v>1.0</v>
      </c>
      <c r="H45" s="12">
        <f t="shared" si="1"/>
        <v>1.948</v>
      </c>
      <c r="I45" s="13">
        <v>2.0</v>
      </c>
      <c r="J45" s="14">
        <f t="shared" si="2"/>
        <v>3.896</v>
      </c>
      <c r="K45" s="15" t="str">
        <f t="shared" si="3"/>
        <v>Baja</v>
      </c>
    </row>
    <row r="46" ht="14.25" customHeight="1">
      <c r="A46" s="6" t="s">
        <v>131</v>
      </c>
      <c r="B46" s="9" t="s">
        <v>632</v>
      </c>
      <c r="C46" s="10">
        <v>1.0</v>
      </c>
      <c r="D46" s="10">
        <v>2.0</v>
      </c>
      <c r="E46" s="10">
        <v>2.0</v>
      </c>
      <c r="F46" s="10">
        <v>3.0</v>
      </c>
      <c r="G46" s="10">
        <v>1.0</v>
      </c>
      <c r="H46" s="12">
        <f t="shared" si="1"/>
        <v>1.612</v>
      </c>
      <c r="I46" s="13">
        <v>2.0</v>
      </c>
      <c r="J46" s="14">
        <f t="shared" si="2"/>
        <v>3.224</v>
      </c>
      <c r="K46" s="15" t="str">
        <f t="shared" si="3"/>
        <v>Baja</v>
      </c>
    </row>
    <row r="47" ht="14.25" customHeight="1">
      <c r="A47" s="6" t="s">
        <v>131</v>
      </c>
      <c r="B47" s="9" t="s">
        <v>635</v>
      </c>
      <c r="C47" s="10">
        <v>1.0</v>
      </c>
      <c r="D47" s="10">
        <v>2.0</v>
      </c>
      <c r="E47" s="10">
        <v>2.0</v>
      </c>
      <c r="F47" s="10">
        <v>3.0</v>
      </c>
      <c r="G47" s="10">
        <v>1.0</v>
      </c>
      <c r="H47" s="12">
        <f t="shared" si="1"/>
        <v>1.612</v>
      </c>
      <c r="I47" s="13">
        <v>2.0</v>
      </c>
      <c r="J47" s="14">
        <f t="shared" si="2"/>
        <v>3.224</v>
      </c>
      <c r="K47" s="15" t="str">
        <f t="shared" si="3"/>
        <v>Baja</v>
      </c>
    </row>
    <row r="48" ht="14.25" customHeight="1">
      <c r="A48" s="6" t="s">
        <v>131</v>
      </c>
      <c r="B48" s="9" t="s">
        <v>640</v>
      </c>
      <c r="C48" s="10">
        <v>1.0</v>
      </c>
      <c r="D48" s="10">
        <v>2.0</v>
      </c>
      <c r="E48" s="10">
        <v>2.0</v>
      </c>
      <c r="F48" s="10">
        <v>1.0</v>
      </c>
      <c r="G48" s="10">
        <v>1.0</v>
      </c>
      <c r="H48" s="12">
        <f t="shared" si="1"/>
        <v>1.42</v>
      </c>
      <c r="I48" s="13">
        <v>3.0</v>
      </c>
      <c r="J48" s="14">
        <f t="shared" si="2"/>
        <v>4.26</v>
      </c>
      <c r="K48" s="15" t="str">
        <f t="shared" si="3"/>
        <v>Media</v>
      </c>
    </row>
    <row r="49" ht="14.25" customHeight="1">
      <c r="A49" s="6" t="s">
        <v>142</v>
      </c>
      <c r="B49" s="27" t="s">
        <v>646</v>
      </c>
      <c r="C49" s="10">
        <v>1.0</v>
      </c>
      <c r="D49" s="10">
        <v>4.0</v>
      </c>
      <c r="E49" s="10">
        <v>3.0</v>
      </c>
      <c r="F49" s="10">
        <v>3.0</v>
      </c>
      <c r="G49" s="10">
        <v>1.0</v>
      </c>
      <c r="H49" s="12">
        <f t="shared" si="1"/>
        <v>2.212</v>
      </c>
      <c r="I49" s="13">
        <v>2.0</v>
      </c>
      <c r="J49" s="14">
        <f t="shared" si="2"/>
        <v>4.424</v>
      </c>
      <c r="K49" s="15" t="str">
        <f t="shared" si="3"/>
        <v>Media</v>
      </c>
    </row>
    <row r="50" ht="14.25" customHeight="1">
      <c r="A50" s="6" t="s">
        <v>142</v>
      </c>
      <c r="B50" s="27" t="s">
        <v>652</v>
      </c>
      <c r="C50" s="10">
        <v>1.0</v>
      </c>
      <c r="D50" s="10">
        <v>4.0</v>
      </c>
      <c r="E50" s="10">
        <v>3.0</v>
      </c>
      <c r="F50" s="10">
        <v>2.0</v>
      </c>
      <c r="G50" s="10">
        <v>1.0</v>
      </c>
      <c r="H50" s="12">
        <f t="shared" si="1"/>
        <v>2.116</v>
      </c>
      <c r="I50" s="13">
        <v>1.0</v>
      </c>
      <c r="J50" s="14">
        <f t="shared" si="2"/>
        <v>2.116</v>
      </c>
      <c r="K50" s="15" t="str">
        <f t="shared" si="3"/>
        <v>Baja</v>
      </c>
    </row>
    <row r="51" ht="14.25" customHeight="1">
      <c r="A51" s="6" t="s">
        <v>142</v>
      </c>
      <c r="B51" s="27" t="s">
        <v>623</v>
      </c>
      <c r="C51" s="10">
        <v>1.0</v>
      </c>
      <c r="D51" s="10">
        <v>2.0</v>
      </c>
      <c r="E51" s="10">
        <v>3.0</v>
      </c>
      <c r="F51" s="10">
        <v>4.0</v>
      </c>
      <c r="G51" s="10">
        <v>1.0</v>
      </c>
      <c r="H51" s="12">
        <f t="shared" si="1"/>
        <v>1.948</v>
      </c>
      <c r="I51" s="13">
        <v>2.0</v>
      </c>
      <c r="J51" s="14">
        <f t="shared" si="2"/>
        <v>3.896</v>
      </c>
      <c r="K51" s="15" t="str">
        <f t="shared" si="3"/>
        <v>Baja</v>
      </c>
    </row>
    <row r="52" ht="14.25" customHeight="1">
      <c r="A52" s="6" t="s">
        <v>142</v>
      </c>
      <c r="B52" s="27" t="s">
        <v>668</v>
      </c>
      <c r="C52" s="10">
        <v>1.0</v>
      </c>
      <c r="D52" s="10">
        <v>2.0</v>
      </c>
      <c r="E52" s="10">
        <v>3.0</v>
      </c>
      <c r="F52" s="10">
        <v>2.0</v>
      </c>
      <c r="G52" s="10">
        <v>1.0</v>
      </c>
      <c r="H52" s="12">
        <f t="shared" si="1"/>
        <v>1.756</v>
      </c>
      <c r="I52" s="13">
        <v>3.0</v>
      </c>
      <c r="J52" s="14">
        <f t="shared" si="2"/>
        <v>5.268</v>
      </c>
      <c r="K52" s="15" t="str">
        <f t="shared" si="3"/>
        <v>Media</v>
      </c>
    </row>
    <row r="53" ht="14.25" customHeight="1">
      <c r="A53" s="6" t="s">
        <v>142</v>
      </c>
      <c r="B53" s="27" t="s">
        <v>678</v>
      </c>
      <c r="C53" s="10">
        <v>1.0</v>
      </c>
      <c r="D53" s="10">
        <v>2.0</v>
      </c>
      <c r="E53" s="10">
        <v>2.0</v>
      </c>
      <c r="F53" s="10">
        <v>1.0</v>
      </c>
      <c r="G53" s="10">
        <v>1.0</v>
      </c>
      <c r="H53" s="12">
        <f t="shared" si="1"/>
        <v>1.42</v>
      </c>
      <c r="I53" s="13">
        <v>2.0</v>
      </c>
      <c r="J53" s="14">
        <f t="shared" si="2"/>
        <v>2.84</v>
      </c>
      <c r="K53" s="15" t="str">
        <f t="shared" si="3"/>
        <v>Baja</v>
      </c>
    </row>
    <row r="54" ht="14.25" customHeight="1">
      <c r="A54" s="6" t="s">
        <v>142</v>
      </c>
      <c r="B54" s="27" t="s">
        <v>685</v>
      </c>
      <c r="C54" s="10">
        <v>1.0</v>
      </c>
      <c r="D54" s="10">
        <v>2.0</v>
      </c>
      <c r="E54" s="10">
        <v>2.0</v>
      </c>
      <c r="F54" s="10">
        <v>1.0</v>
      </c>
      <c r="G54" s="10">
        <v>1.0</v>
      </c>
      <c r="H54" s="12">
        <f t="shared" si="1"/>
        <v>1.42</v>
      </c>
      <c r="I54" s="13">
        <v>2.0</v>
      </c>
      <c r="J54" s="14">
        <f t="shared" si="2"/>
        <v>2.84</v>
      </c>
      <c r="K54" s="15" t="str">
        <f t="shared" si="3"/>
        <v>Baja</v>
      </c>
    </row>
    <row r="55" ht="14.25" customHeight="1">
      <c r="A55" s="6" t="s">
        <v>142</v>
      </c>
      <c r="B55" s="27" t="s">
        <v>691</v>
      </c>
      <c r="C55" s="10">
        <v>1.0</v>
      </c>
      <c r="D55" s="10">
        <v>2.0</v>
      </c>
      <c r="E55" s="10">
        <v>3.0</v>
      </c>
      <c r="F55" s="10">
        <v>1.0</v>
      </c>
      <c r="G55" s="10">
        <v>1.0</v>
      </c>
      <c r="H55" s="12">
        <f t="shared" si="1"/>
        <v>1.66</v>
      </c>
      <c r="I55" s="13">
        <v>3.0</v>
      </c>
      <c r="J55" s="14">
        <f t="shared" si="2"/>
        <v>4.98</v>
      </c>
      <c r="K55" s="15" t="str">
        <f t="shared" si="3"/>
        <v>Media</v>
      </c>
    </row>
    <row r="56" ht="14.25" customHeight="1">
      <c r="A56" s="6" t="s">
        <v>142</v>
      </c>
      <c r="B56" s="27" t="s">
        <v>694</v>
      </c>
      <c r="C56" s="10">
        <v>1.0</v>
      </c>
      <c r="D56" s="10">
        <v>2.0</v>
      </c>
      <c r="E56" s="10">
        <v>2.0</v>
      </c>
      <c r="F56" s="10">
        <v>2.0</v>
      </c>
      <c r="G56" s="10">
        <v>1.0</v>
      </c>
      <c r="H56" s="12">
        <f t="shared" si="1"/>
        <v>1.516</v>
      </c>
      <c r="I56" s="13">
        <v>1.0</v>
      </c>
      <c r="J56" s="14">
        <f t="shared" si="2"/>
        <v>1.516</v>
      </c>
      <c r="K56" s="15" t="str">
        <f t="shared" si="3"/>
        <v>Baja</v>
      </c>
    </row>
    <row r="57" ht="14.25" customHeight="1">
      <c r="A57" s="6" t="s">
        <v>151</v>
      </c>
      <c r="B57" s="9" t="s">
        <v>698</v>
      </c>
      <c r="C57" s="10">
        <v>2.0</v>
      </c>
      <c r="D57" s="10">
        <v>4.0</v>
      </c>
      <c r="E57" s="10">
        <v>3.0</v>
      </c>
      <c r="F57" s="10">
        <v>1.0</v>
      </c>
      <c r="G57" s="10">
        <v>1.0</v>
      </c>
      <c r="H57" s="12">
        <f t="shared" si="1"/>
        <v>2.404</v>
      </c>
      <c r="I57" s="13">
        <v>3.0</v>
      </c>
      <c r="J57" s="14">
        <f t="shared" si="2"/>
        <v>7.212</v>
      </c>
      <c r="K57" s="15" t="str">
        <f t="shared" si="3"/>
        <v>Media</v>
      </c>
    </row>
    <row r="58" ht="14.25" customHeight="1">
      <c r="A58" s="6" t="s">
        <v>151</v>
      </c>
      <c r="B58" s="9" t="s">
        <v>707</v>
      </c>
      <c r="C58" s="10">
        <v>2.0</v>
      </c>
      <c r="D58" s="10">
        <v>4.0</v>
      </c>
      <c r="E58" s="10">
        <v>3.0</v>
      </c>
      <c r="F58" s="10">
        <v>3.0</v>
      </c>
      <c r="G58" s="10">
        <v>1.0</v>
      </c>
      <c r="H58" s="12">
        <f t="shared" si="1"/>
        <v>2.596</v>
      </c>
      <c r="I58" s="13">
        <v>2.0</v>
      </c>
      <c r="J58" s="14">
        <f t="shared" si="2"/>
        <v>5.192</v>
      </c>
      <c r="K58" s="15" t="str">
        <f t="shared" si="3"/>
        <v>Media</v>
      </c>
    </row>
    <row r="59" ht="14.25" customHeight="1">
      <c r="A59" s="6" t="s">
        <v>151</v>
      </c>
      <c r="B59" s="9" t="s">
        <v>727</v>
      </c>
      <c r="C59" s="10">
        <v>1.0</v>
      </c>
      <c r="D59" s="10">
        <v>2.0</v>
      </c>
      <c r="E59" s="10">
        <v>3.0</v>
      </c>
      <c r="F59" s="10">
        <v>3.0</v>
      </c>
      <c r="G59" s="10">
        <v>1.0</v>
      </c>
      <c r="H59" s="12">
        <f t="shared" si="1"/>
        <v>1.852</v>
      </c>
      <c r="I59" s="13">
        <v>2.0</v>
      </c>
      <c r="J59" s="14">
        <f t="shared" si="2"/>
        <v>3.704</v>
      </c>
      <c r="K59" s="15" t="str">
        <f t="shared" si="3"/>
        <v>Baja</v>
      </c>
    </row>
    <row r="60" ht="14.25" customHeight="1">
      <c r="A60" s="6" t="s">
        <v>151</v>
      </c>
      <c r="B60" s="9" t="s">
        <v>734</v>
      </c>
      <c r="C60" s="10">
        <v>1.0</v>
      </c>
      <c r="D60" s="10">
        <v>2.0</v>
      </c>
      <c r="E60" s="10">
        <v>2.0</v>
      </c>
      <c r="F60" s="10">
        <v>1.0</v>
      </c>
      <c r="G60" s="10">
        <v>1.0</v>
      </c>
      <c r="H60" s="12">
        <f t="shared" si="1"/>
        <v>1.42</v>
      </c>
      <c r="I60" s="13">
        <v>3.0</v>
      </c>
      <c r="J60" s="14">
        <f t="shared" si="2"/>
        <v>4.26</v>
      </c>
      <c r="K60" s="15" t="str">
        <f t="shared" si="3"/>
        <v>Media</v>
      </c>
    </row>
    <row r="61" ht="14.25" customHeight="1">
      <c r="A61" s="6" t="s">
        <v>151</v>
      </c>
      <c r="B61" s="9" t="s">
        <v>746</v>
      </c>
      <c r="C61" s="10">
        <v>1.0</v>
      </c>
      <c r="D61" s="10">
        <v>2.0</v>
      </c>
      <c r="E61" s="10">
        <v>2.0</v>
      </c>
      <c r="F61" s="10">
        <v>1.0</v>
      </c>
      <c r="G61" s="10">
        <v>1.0</v>
      </c>
      <c r="H61" s="12">
        <f t="shared" si="1"/>
        <v>1.42</v>
      </c>
      <c r="I61" s="13">
        <v>2.0</v>
      </c>
      <c r="J61" s="14">
        <f t="shared" si="2"/>
        <v>2.84</v>
      </c>
      <c r="K61" s="15" t="str">
        <f t="shared" si="3"/>
        <v>Baja</v>
      </c>
    </row>
    <row r="62" ht="14.25" customHeight="1">
      <c r="A62" s="6" t="s">
        <v>151</v>
      </c>
      <c r="B62" s="9" t="s">
        <v>752</v>
      </c>
      <c r="C62" s="10">
        <v>1.0</v>
      </c>
      <c r="D62" s="10">
        <v>2.0</v>
      </c>
      <c r="E62" s="10">
        <v>2.0</v>
      </c>
      <c r="F62" s="10">
        <v>3.0</v>
      </c>
      <c r="G62" s="10">
        <v>1.0</v>
      </c>
      <c r="H62" s="12">
        <f t="shared" si="1"/>
        <v>1.612</v>
      </c>
      <c r="I62" s="13">
        <v>2.0</v>
      </c>
      <c r="J62" s="14">
        <f t="shared" si="2"/>
        <v>3.224</v>
      </c>
      <c r="K62" s="15" t="str">
        <f t="shared" si="3"/>
        <v>Baja</v>
      </c>
    </row>
    <row r="63" ht="14.25" customHeight="1">
      <c r="A63" s="6" t="s">
        <v>151</v>
      </c>
      <c r="B63" s="9" t="s">
        <v>757</v>
      </c>
      <c r="C63" s="10">
        <v>1.0</v>
      </c>
      <c r="D63" s="10">
        <v>2.0</v>
      </c>
      <c r="E63" s="10">
        <v>2.0</v>
      </c>
      <c r="F63" s="10">
        <v>1.0</v>
      </c>
      <c r="G63" s="10">
        <v>1.0</v>
      </c>
      <c r="H63" s="12">
        <f t="shared" si="1"/>
        <v>1.42</v>
      </c>
      <c r="I63" s="13">
        <v>2.0</v>
      </c>
      <c r="J63" s="14">
        <f t="shared" si="2"/>
        <v>2.84</v>
      </c>
      <c r="K63" s="15" t="str">
        <f t="shared" si="3"/>
        <v>Baja</v>
      </c>
    </row>
    <row r="64" ht="14.25" customHeight="1">
      <c r="A64" s="6" t="s">
        <v>151</v>
      </c>
      <c r="B64" s="9" t="s">
        <v>764</v>
      </c>
      <c r="C64" s="10">
        <v>1.0</v>
      </c>
      <c r="D64" s="10">
        <v>2.0</v>
      </c>
      <c r="E64" s="10">
        <v>2.0</v>
      </c>
      <c r="F64" s="10">
        <v>1.0</v>
      </c>
      <c r="G64" s="10">
        <v>1.0</v>
      </c>
      <c r="H64" s="12">
        <f t="shared" si="1"/>
        <v>1.42</v>
      </c>
      <c r="I64" s="13">
        <v>3.0</v>
      </c>
      <c r="J64" s="14">
        <f t="shared" si="2"/>
        <v>4.26</v>
      </c>
      <c r="K64" s="15" t="str">
        <f t="shared" si="3"/>
        <v>Media</v>
      </c>
    </row>
    <row r="65" ht="14.25" customHeight="1">
      <c r="A65" s="6" t="s">
        <v>151</v>
      </c>
      <c r="B65" s="9" t="s">
        <v>770</v>
      </c>
      <c r="C65" s="10">
        <v>1.0</v>
      </c>
      <c r="D65" s="10">
        <v>2.0</v>
      </c>
      <c r="E65" s="10">
        <v>2.0</v>
      </c>
      <c r="F65" s="10">
        <v>1.0</v>
      </c>
      <c r="G65" s="10">
        <v>1.0</v>
      </c>
      <c r="H65" s="12">
        <f t="shared" si="1"/>
        <v>1.42</v>
      </c>
      <c r="I65" s="13">
        <v>3.0</v>
      </c>
      <c r="J65" s="14">
        <f t="shared" si="2"/>
        <v>4.26</v>
      </c>
      <c r="K65" s="15" t="str">
        <f t="shared" si="3"/>
        <v>Media</v>
      </c>
    </row>
    <row r="66" ht="14.25" customHeight="1">
      <c r="A66" s="6" t="s">
        <v>163</v>
      </c>
      <c r="B66" s="27" t="s">
        <v>777</v>
      </c>
      <c r="C66" s="10">
        <v>2.0</v>
      </c>
      <c r="D66" s="10">
        <v>4.0</v>
      </c>
      <c r="E66" s="10">
        <v>3.0</v>
      </c>
      <c r="F66" s="10">
        <v>1.0</v>
      </c>
      <c r="G66" s="10">
        <v>1.0</v>
      </c>
      <c r="H66" s="12">
        <f t="shared" si="1"/>
        <v>2.404</v>
      </c>
      <c r="I66" s="13">
        <v>2.0</v>
      </c>
      <c r="J66" s="14">
        <f t="shared" si="2"/>
        <v>4.808</v>
      </c>
      <c r="K66" s="15" t="str">
        <f t="shared" si="3"/>
        <v>Media</v>
      </c>
    </row>
    <row r="67" ht="14.25" customHeight="1">
      <c r="A67" s="6" t="s">
        <v>163</v>
      </c>
      <c r="B67" s="27" t="s">
        <v>782</v>
      </c>
      <c r="C67" s="10">
        <v>2.0</v>
      </c>
      <c r="D67" s="10">
        <v>4.0</v>
      </c>
      <c r="E67" s="10">
        <v>3.0</v>
      </c>
      <c r="F67" s="10">
        <v>1.0</v>
      </c>
      <c r="G67" s="10">
        <v>1.0</v>
      </c>
      <c r="H67" s="12">
        <f t="shared" si="1"/>
        <v>2.404</v>
      </c>
      <c r="I67" s="13">
        <v>2.0</v>
      </c>
      <c r="J67" s="14">
        <f t="shared" si="2"/>
        <v>4.808</v>
      </c>
      <c r="K67" s="15" t="str">
        <f t="shared" si="3"/>
        <v>Media</v>
      </c>
    </row>
    <row r="68" ht="14.25" customHeight="1">
      <c r="A68" s="6" t="s">
        <v>163</v>
      </c>
      <c r="B68" s="27" t="s">
        <v>789</v>
      </c>
      <c r="C68" s="10">
        <v>1.0</v>
      </c>
      <c r="D68" s="10">
        <v>2.0</v>
      </c>
      <c r="E68" s="10">
        <v>2.0</v>
      </c>
      <c r="F68" s="10">
        <v>1.0</v>
      </c>
      <c r="G68" s="10">
        <v>1.0</v>
      </c>
      <c r="H68" s="12">
        <f t="shared" si="1"/>
        <v>1.42</v>
      </c>
      <c r="I68" s="13">
        <v>3.0</v>
      </c>
      <c r="J68" s="14">
        <f t="shared" si="2"/>
        <v>4.26</v>
      </c>
      <c r="K68" s="15" t="str">
        <f t="shared" si="3"/>
        <v>Media</v>
      </c>
    </row>
    <row r="69" ht="14.25" customHeight="1">
      <c r="A69" s="6" t="s">
        <v>163</v>
      </c>
      <c r="B69" s="27" t="s">
        <v>797</v>
      </c>
      <c r="C69" s="10">
        <v>1.0</v>
      </c>
      <c r="D69" s="10">
        <v>2.0</v>
      </c>
      <c r="E69" s="10">
        <v>2.0</v>
      </c>
      <c r="F69" s="10">
        <v>1.0</v>
      </c>
      <c r="G69" s="10">
        <v>1.0</v>
      </c>
      <c r="H69" s="12">
        <f t="shared" si="1"/>
        <v>1.42</v>
      </c>
      <c r="I69" s="13">
        <v>2.0</v>
      </c>
      <c r="J69" s="14">
        <f t="shared" si="2"/>
        <v>2.84</v>
      </c>
      <c r="K69" s="15" t="str">
        <f t="shared" si="3"/>
        <v>Baja</v>
      </c>
    </row>
    <row r="70" ht="14.25" customHeight="1">
      <c r="A70" s="6" t="s">
        <v>163</v>
      </c>
      <c r="B70" s="27" t="s">
        <v>808</v>
      </c>
      <c r="C70" s="10">
        <v>1.0</v>
      </c>
      <c r="D70" s="10">
        <v>2.0</v>
      </c>
      <c r="E70" s="10">
        <v>2.0</v>
      </c>
      <c r="F70" s="10">
        <v>1.0</v>
      </c>
      <c r="G70" s="10">
        <v>1.0</v>
      </c>
      <c r="H70" s="12">
        <f t="shared" si="1"/>
        <v>1.42</v>
      </c>
      <c r="I70" s="13">
        <v>2.0</v>
      </c>
      <c r="J70" s="14">
        <f t="shared" si="2"/>
        <v>2.84</v>
      </c>
      <c r="K70" s="15" t="str">
        <f t="shared" si="3"/>
        <v>Baja</v>
      </c>
    </row>
    <row r="71" ht="14.25" customHeight="1">
      <c r="A71" s="6" t="s">
        <v>163</v>
      </c>
      <c r="B71" s="27" t="s">
        <v>813</v>
      </c>
      <c r="C71" s="10">
        <v>1.0</v>
      </c>
      <c r="D71" s="10">
        <v>2.0</v>
      </c>
      <c r="E71" s="10">
        <v>2.0</v>
      </c>
      <c r="F71" s="10">
        <v>1.0</v>
      </c>
      <c r="G71" s="10">
        <v>1.0</v>
      </c>
      <c r="H71" s="12">
        <f t="shared" si="1"/>
        <v>1.42</v>
      </c>
      <c r="I71" s="13">
        <v>2.0</v>
      </c>
      <c r="J71" s="14">
        <f t="shared" si="2"/>
        <v>2.84</v>
      </c>
      <c r="K71" s="15" t="str">
        <f t="shared" si="3"/>
        <v>Baja</v>
      </c>
    </row>
    <row r="72" ht="14.25" customHeight="1">
      <c r="A72" s="6" t="s">
        <v>163</v>
      </c>
      <c r="B72" s="27" t="s">
        <v>816</v>
      </c>
      <c r="C72" s="10">
        <v>1.0</v>
      </c>
      <c r="D72" s="10">
        <v>2.0</v>
      </c>
      <c r="E72" s="10">
        <v>2.0</v>
      </c>
      <c r="F72" s="10">
        <v>1.0</v>
      </c>
      <c r="G72" s="10">
        <v>1.0</v>
      </c>
      <c r="H72" s="12">
        <f t="shared" si="1"/>
        <v>1.42</v>
      </c>
      <c r="I72" s="13">
        <v>2.0</v>
      </c>
      <c r="J72" s="14">
        <f t="shared" si="2"/>
        <v>2.84</v>
      </c>
      <c r="K72" s="15" t="str">
        <f t="shared" si="3"/>
        <v>Baja</v>
      </c>
    </row>
    <row r="73" ht="14.25" customHeight="1">
      <c r="A73" s="6" t="s">
        <v>176</v>
      </c>
      <c r="B73" s="9" t="s">
        <v>820</v>
      </c>
      <c r="C73" s="10">
        <v>2.0</v>
      </c>
      <c r="D73" s="10">
        <v>1.0</v>
      </c>
      <c r="E73" s="10">
        <v>2.0</v>
      </c>
      <c r="F73" s="10">
        <v>1.0</v>
      </c>
      <c r="G73" s="10">
        <v>1.0</v>
      </c>
      <c r="H73" s="12">
        <f t="shared" si="1"/>
        <v>1.624</v>
      </c>
      <c r="I73" s="13">
        <v>3.0</v>
      </c>
      <c r="J73" s="14">
        <f t="shared" si="2"/>
        <v>4.872</v>
      </c>
      <c r="K73" s="15" t="str">
        <f t="shared" si="3"/>
        <v>Media</v>
      </c>
    </row>
    <row r="74" ht="14.25" customHeight="1">
      <c r="A74" s="6" t="s">
        <v>176</v>
      </c>
      <c r="B74" s="9" t="s">
        <v>825</v>
      </c>
      <c r="C74" s="10">
        <v>2.0</v>
      </c>
      <c r="D74" s="10">
        <v>1.0</v>
      </c>
      <c r="E74" s="10">
        <v>2.0</v>
      </c>
      <c r="F74" s="10">
        <v>2.0</v>
      </c>
      <c r="G74" s="10">
        <v>1.0</v>
      </c>
      <c r="H74" s="12">
        <f t="shared" si="1"/>
        <v>1.72</v>
      </c>
      <c r="I74" s="13">
        <v>3.0</v>
      </c>
      <c r="J74" s="14">
        <f t="shared" si="2"/>
        <v>5.16</v>
      </c>
      <c r="K74" s="15" t="str">
        <f t="shared" si="3"/>
        <v>Media</v>
      </c>
    </row>
    <row r="75" ht="14.25" customHeight="1">
      <c r="A75" s="6" t="s">
        <v>176</v>
      </c>
      <c r="B75" s="9" t="s">
        <v>827</v>
      </c>
      <c r="C75" s="10">
        <v>2.0</v>
      </c>
      <c r="D75" s="10">
        <v>1.0</v>
      </c>
      <c r="E75" s="10">
        <v>2.0</v>
      </c>
      <c r="F75" s="10">
        <v>2.0</v>
      </c>
      <c r="G75" s="10">
        <v>1.0</v>
      </c>
      <c r="H75" s="12">
        <f t="shared" si="1"/>
        <v>1.72</v>
      </c>
      <c r="I75" s="13">
        <v>3.0</v>
      </c>
      <c r="J75" s="14">
        <f t="shared" si="2"/>
        <v>5.16</v>
      </c>
      <c r="K75" s="15" t="str">
        <f t="shared" si="3"/>
        <v>Media</v>
      </c>
    </row>
    <row r="76" ht="14.25" customHeight="1">
      <c r="A76" s="6" t="s">
        <v>176</v>
      </c>
      <c r="B76" s="9" t="s">
        <v>836</v>
      </c>
      <c r="C76" s="10">
        <v>1.0</v>
      </c>
      <c r="D76" s="10">
        <v>1.0</v>
      </c>
      <c r="E76" s="10">
        <v>2.0</v>
      </c>
      <c r="F76" s="10">
        <v>1.0</v>
      </c>
      <c r="G76" s="10">
        <v>1.0</v>
      </c>
      <c r="H76" s="12">
        <f t="shared" si="1"/>
        <v>1.24</v>
      </c>
      <c r="I76" s="13">
        <v>2.0</v>
      </c>
      <c r="J76" s="14">
        <f t="shared" si="2"/>
        <v>2.48</v>
      </c>
      <c r="K76" s="15" t="str">
        <f t="shared" si="3"/>
        <v>Baja</v>
      </c>
    </row>
    <row r="77" ht="14.25" customHeight="1">
      <c r="A77" s="6" t="s">
        <v>176</v>
      </c>
      <c r="B77" s="9" t="s">
        <v>842</v>
      </c>
      <c r="C77" s="10">
        <v>1.0</v>
      </c>
      <c r="D77" s="10">
        <v>1.0</v>
      </c>
      <c r="E77" s="10">
        <v>2.0</v>
      </c>
      <c r="F77" s="10">
        <v>1.0</v>
      </c>
      <c r="G77" s="10">
        <v>1.0</v>
      </c>
      <c r="H77" s="12">
        <f t="shared" si="1"/>
        <v>1.24</v>
      </c>
      <c r="I77" s="13">
        <v>3.0</v>
      </c>
      <c r="J77" s="14">
        <f t="shared" si="2"/>
        <v>3.72</v>
      </c>
      <c r="K77" s="15" t="str">
        <f t="shared" si="3"/>
        <v>Baja</v>
      </c>
    </row>
    <row r="78" ht="14.25" customHeight="1">
      <c r="A78" s="6" t="s">
        <v>176</v>
      </c>
      <c r="B78" s="9" t="s">
        <v>848</v>
      </c>
      <c r="C78" s="10">
        <v>1.0</v>
      </c>
      <c r="D78" s="10">
        <v>1.0</v>
      </c>
      <c r="E78" s="10">
        <v>2.0</v>
      </c>
      <c r="F78" s="10">
        <v>1.0</v>
      </c>
      <c r="G78" s="10">
        <v>1.0</v>
      </c>
      <c r="H78" s="12">
        <f t="shared" si="1"/>
        <v>1.24</v>
      </c>
      <c r="I78" s="13">
        <v>3.0</v>
      </c>
      <c r="J78" s="14">
        <f t="shared" si="2"/>
        <v>3.72</v>
      </c>
      <c r="K78" s="15" t="str">
        <f t="shared" si="3"/>
        <v>Baja</v>
      </c>
    </row>
    <row r="79" ht="14.25" customHeight="1">
      <c r="A79" s="6" t="s">
        <v>191</v>
      </c>
      <c r="B79" s="27" t="s">
        <v>854</v>
      </c>
      <c r="C79" s="10">
        <v>1.0</v>
      </c>
      <c r="D79" s="10">
        <v>1.0</v>
      </c>
      <c r="E79" s="10">
        <v>3.0</v>
      </c>
      <c r="F79" s="10">
        <v>2.0</v>
      </c>
      <c r="G79" s="10">
        <v>1.0</v>
      </c>
      <c r="H79" s="12">
        <f t="shared" si="1"/>
        <v>1.576</v>
      </c>
      <c r="I79" s="13">
        <v>3.0</v>
      </c>
      <c r="J79" s="14">
        <f t="shared" si="2"/>
        <v>4.728</v>
      </c>
      <c r="K79" s="15" t="str">
        <f t="shared" si="3"/>
        <v>Media</v>
      </c>
    </row>
    <row r="80" ht="14.25" customHeight="1">
      <c r="A80" s="6" t="s">
        <v>191</v>
      </c>
      <c r="B80" s="27" t="s">
        <v>855</v>
      </c>
      <c r="C80" s="10">
        <v>1.0</v>
      </c>
      <c r="D80" s="10">
        <v>1.0</v>
      </c>
      <c r="E80" s="10">
        <v>3.0</v>
      </c>
      <c r="F80" s="10">
        <v>2.0</v>
      </c>
      <c r="G80" s="10">
        <v>1.0</v>
      </c>
      <c r="H80" s="12">
        <f t="shared" si="1"/>
        <v>1.576</v>
      </c>
      <c r="I80" s="13">
        <v>2.0</v>
      </c>
      <c r="J80" s="14">
        <f t="shared" si="2"/>
        <v>3.152</v>
      </c>
      <c r="K80" s="15" t="str">
        <f t="shared" si="3"/>
        <v>Baja</v>
      </c>
    </row>
    <row r="81" ht="14.25" customHeight="1">
      <c r="A81" s="6" t="s">
        <v>191</v>
      </c>
      <c r="B81" s="27" t="s">
        <v>865</v>
      </c>
      <c r="C81" s="10">
        <v>1.0</v>
      </c>
      <c r="D81" s="10">
        <v>1.0</v>
      </c>
      <c r="E81" s="10">
        <v>2.0</v>
      </c>
      <c r="F81" s="10">
        <v>1.0</v>
      </c>
      <c r="G81" s="10">
        <v>1.0</v>
      </c>
      <c r="H81" s="12">
        <f t="shared" si="1"/>
        <v>1.24</v>
      </c>
      <c r="I81" s="13">
        <v>3.0</v>
      </c>
      <c r="J81" s="14">
        <f t="shared" si="2"/>
        <v>3.72</v>
      </c>
      <c r="K81" s="15" t="str">
        <f t="shared" si="3"/>
        <v>Baja</v>
      </c>
    </row>
    <row r="82" ht="14.25" customHeight="1">
      <c r="A82" s="6" t="s">
        <v>191</v>
      </c>
      <c r="B82" s="27" t="s">
        <v>874</v>
      </c>
      <c r="C82" s="10">
        <v>1.0</v>
      </c>
      <c r="D82" s="10">
        <v>1.0</v>
      </c>
      <c r="E82" s="10">
        <v>3.0</v>
      </c>
      <c r="F82" s="10">
        <v>2.0</v>
      </c>
      <c r="G82" s="10">
        <v>1.0</v>
      </c>
      <c r="H82" s="12">
        <f t="shared" si="1"/>
        <v>1.576</v>
      </c>
      <c r="I82" s="13">
        <v>2.0</v>
      </c>
      <c r="J82" s="14">
        <f t="shared" si="2"/>
        <v>3.152</v>
      </c>
      <c r="K82" s="15" t="str">
        <f t="shared" si="3"/>
        <v>Baja</v>
      </c>
    </row>
    <row r="83" ht="14.25" customHeight="1">
      <c r="A83" s="6" t="s">
        <v>191</v>
      </c>
      <c r="B83" s="27" t="s">
        <v>882</v>
      </c>
      <c r="C83" s="10">
        <v>1.0</v>
      </c>
      <c r="D83" s="10">
        <v>1.0</v>
      </c>
      <c r="E83" s="10">
        <v>2.0</v>
      </c>
      <c r="F83" s="10">
        <v>1.0</v>
      </c>
      <c r="G83" s="10">
        <v>1.0</v>
      </c>
      <c r="H83" s="12">
        <f t="shared" si="1"/>
        <v>1.24</v>
      </c>
      <c r="I83" s="13">
        <v>3.0</v>
      </c>
      <c r="J83" s="14">
        <f t="shared" si="2"/>
        <v>3.72</v>
      </c>
      <c r="K83" s="15" t="str">
        <f t="shared" si="3"/>
        <v>Baja</v>
      </c>
    </row>
    <row r="84" ht="14.25" customHeight="1">
      <c r="A84" s="6" t="s">
        <v>191</v>
      </c>
      <c r="B84" s="27" t="s">
        <v>887</v>
      </c>
      <c r="C84" s="10">
        <v>1.0</v>
      </c>
      <c r="D84" s="10">
        <v>1.0</v>
      </c>
      <c r="E84" s="10">
        <v>2.0</v>
      </c>
      <c r="F84" s="10">
        <v>1.0</v>
      </c>
      <c r="G84" s="10">
        <v>1.0</v>
      </c>
      <c r="H84" s="12">
        <f t="shared" si="1"/>
        <v>1.24</v>
      </c>
      <c r="I84" s="13">
        <v>3.0</v>
      </c>
      <c r="J84" s="14">
        <f t="shared" si="2"/>
        <v>3.72</v>
      </c>
      <c r="K84" s="15" t="str">
        <f t="shared" si="3"/>
        <v>Baja</v>
      </c>
    </row>
    <row r="85" ht="14.25" customHeight="1">
      <c r="A85" s="6" t="s">
        <v>191</v>
      </c>
      <c r="B85" s="27" t="s">
        <v>898</v>
      </c>
      <c r="C85" s="10">
        <v>1.0</v>
      </c>
      <c r="D85" s="10">
        <v>1.0</v>
      </c>
      <c r="E85" s="10">
        <v>3.0</v>
      </c>
      <c r="F85" s="10">
        <v>2.0</v>
      </c>
      <c r="G85" s="10">
        <v>1.0</v>
      </c>
      <c r="H85" s="12">
        <f t="shared" si="1"/>
        <v>1.576</v>
      </c>
      <c r="I85" s="13">
        <v>3.0</v>
      </c>
      <c r="J85" s="14">
        <f t="shared" si="2"/>
        <v>4.728</v>
      </c>
      <c r="K85" s="15" t="str">
        <f t="shared" si="3"/>
        <v>Media</v>
      </c>
    </row>
    <row r="86" ht="14.25" customHeight="1">
      <c r="A86" s="6" t="s">
        <v>191</v>
      </c>
      <c r="B86" s="27" t="s">
        <v>902</v>
      </c>
      <c r="C86" s="10">
        <v>1.0</v>
      </c>
      <c r="D86" s="10">
        <v>1.0</v>
      </c>
      <c r="E86" s="10">
        <v>2.0</v>
      </c>
      <c r="F86" s="10">
        <v>1.0</v>
      </c>
      <c r="G86" s="10">
        <v>1.0</v>
      </c>
      <c r="H86" s="12">
        <f t="shared" si="1"/>
        <v>1.24</v>
      </c>
      <c r="I86" s="13">
        <v>3.0</v>
      </c>
      <c r="J86" s="14">
        <f t="shared" si="2"/>
        <v>3.72</v>
      </c>
      <c r="K86" s="15" t="str">
        <f t="shared" si="3"/>
        <v>Baja</v>
      </c>
    </row>
    <row r="87" ht="14.25" customHeight="1">
      <c r="A87" s="6" t="s">
        <v>162</v>
      </c>
      <c r="B87" s="9" t="s">
        <v>910</v>
      </c>
      <c r="C87" s="10">
        <v>1.0</v>
      </c>
      <c r="D87" s="10">
        <v>1.0</v>
      </c>
      <c r="E87" s="10">
        <v>2.0</v>
      </c>
      <c r="F87" s="10">
        <v>1.0</v>
      </c>
      <c r="G87" s="10">
        <v>1.0</v>
      </c>
      <c r="H87" s="12">
        <f t="shared" si="1"/>
        <v>1.24</v>
      </c>
      <c r="I87" s="13">
        <v>1.0</v>
      </c>
      <c r="J87" s="14">
        <f t="shared" si="2"/>
        <v>1.24</v>
      </c>
      <c r="K87" s="15" t="str">
        <f t="shared" si="3"/>
        <v>Baja</v>
      </c>
    </row>
    <row r="88" ht="14.25" customHeight="1">
      <c r="A88" s="6" t="s">
        <v>162</v>
      </c>
      <c r="B88" s="9" t="s">
        <v>854</v>
      </c>
      <c r="C88" s="10">
        <v>1.0</v>
      </c>
      <c r="D88" s="10">
        <v>1.0</v>
      </c>
      <c r="E88" s="10">
        <v>3.0</v>
      </c>
      <c r="F88" s="10">
        <v>2.0</v>
      </c>
      <c r="G88" s="10">
        <v>1.0</v>
      </c>
      <c r="H88" s="12">
        <f t="shared" si="1"/>
        <v>1.576</v>
      </c>
      <c r="I88" s="13">
        <v>3.0</v>
      </c>
      <c r="J88" s="14">
        <f t="shared" si="2"/>
        <v>4.728</v>
      </c>
      <c r="K88" s="15" t="str">
        <f t="shared" si="3"/>
        <v>Media</v>
      </c>
    </row>
    <row r="89" ht="14.25" customHeight="1">
      <c r="A89" s="6" t="s">
        <v>162</v>
      </c>
      <c r="B89" s="9" t="s">
        <v>930</v>
      </c>
      <c r="C89" s="10">
        <v>1.0</v>
      </c>
      <c r="D89" s="10">
        <v>1.0</v>
      </c>
      <c r="E89" s="10">
        <v>2.0</v>
      </c>
      <c r="F89" s="10">
        <v>1.0</v>
      </c>
      <c r="G89" s="10">
        <v>1.0</v>
      </c>
      <c r="H89" s="12">
        <f t="shared" si="1"/>
        <v>1.24</v>
      </c>
      <c r="I89" s="13">
        <v>1.0</v>
      </c>
      <c r="J89" s="14">
        <f t="shared" si="2"/>
        <v>1.24</v>
      </c>
      <c r="K89" s="15" t="str">
        <f t="shared" si="3"/>
        <v>Baja</v>
      </c>
    </row>
    <row r="90" ht="14.25" customHeight="1">
      <c r="A90" s="6" t="s">
        <v>162</v>
      </c>
      <c r="B90" s="9" t="s">
        <v>874</v>
      </c>
      <c r="C90" s="10">
        <v>1.0</v>
      </c>
      <c r="D90" s="10">
        <v>1.0</v>
      </c>
      <c r="E90" s="10">
        <v>3.0</v>
      </c>
      <c r="F90" s="10">
        <v>2.0</v>
      </c>
      <c r="G90" s="10">
        <v>1.0</v>
      </c>
      <c r="H90" s="12">
        <f t="shared" si="1"/>
        <v>1.576</v>
      </c>
      <c r="I90" s="13">
        <v>2.0</v>
      </c>
      <c r="J90" s="14">
        <f t="shared" si="2"/>
        <v>3.152</v>
      </c>
      <c r="K90" s="15" t="str">
        <f t="shared" si="3"/>
        <v>Baja</v>
      </c>
    </row>
    <row r="91" ht="14.25" customHeight="1">
      <c r="A91" s="6" t="s">
        <v>162</v>
      </c>
      <c r="B91" s="9" t="s">
        <v>948</v>
      </c>
      <c r="C91" s="10">
        <v>1.0</v>
      </c>
      <c r="D91" s="10">
        <v>1.0</v>
      </c>
      <c r="E91" s="10">
        <v>2.0</v>
      </c>
      <c r="F91" s="10">
        <v>1.0</v>
      </c>
      <c r="G91" s="10">
        <v>1.0</v>
      </c>
      <c r="H91" s="12">
        <f t="shared" si="1"/>
        <v>1.24</v>
      </c>
      <c r="I91" s="13">
        <v>3.0</v>
      </c>
      <c r="J91" s="14">
        <f t="shared" si="2"/>
        <v>3.72</v>
      </c>
      <c r="K91" s="15" t="str">
        <f t="shared" si="3"/>
        <v>Baja</v>
      </c>
    </row>
    <row r="92" ht="14.25" customHeight="1">
      <c r="A92" s="6" t="s">
        <v>162</v>
      </c>
      <c r="B92" s="9" t="s">
        <v>955</v>
      </c>
      <c r="C92" s="10">
        <v>1.0</v>
      </c>
      <c r="D92" s="10">
        <v>1.0</v>
      </c>
      <c r="E92" s="10">
        <v>2.0</v>
      </c>
      <c r="F92" s="10">
        <v>1.0</v>
      </c>
      <c r="G92" s="10">
        <v>1.0</v>
      </c>
      <c r="H92" s="12">
        <f t="shared" si="1"/>
        <v>1.24</v>
      </c>
      <c r="I92" s="13">
        <v>2.0</v>
      </c>
      <c r="J92" s="14">
        <f t="shared" si="2"/>
        <v>2.48</v>
      </c>
      <c r="K92" s="15" t="str">
        <f t="shared" si="3"/>
        <v>Baja</v>
      </c>
    </row>
    <row r="93" ht="14.25" customHeight="1">
      <c r="A93" s="6" t="s">
        <v>162</v>
      </c>
      <c r="B93" s="9" t="s">
        <v>966</v>
      </c>
      <c r="C93" s="10">
        <v>1.0</v>
      </c>
      <c r="D93" s="10">
        <v>1.0</v>
      </c>
      <c r="E93" s="10">
        <v>2.0</v>
      </c>
      <c r="F93" s="10">
        <v>1.0</v>
      </c>
      <c r="G93" s="10">
        <v>1.0</v>
      </c>
      <c r="H93" s="12">
        <f t="shared" si="1"/>
        <v>1.24</v>
      </c>
      <c r="I93" s="13">
        <v>3.0</v>
      </c>
      <c r="J93" s="14">
        <f t="shared" si="2"/>
        <v>3.72</v>
      </c>
      <c r="K93" s="15" t="str">
        <f t="shared" si="3"/>
        <v>Baja</v>
      </c>
    </row>
    <row r="94" ht="14.25" customHeight="1">
      <c r="A94" s="6" t="s">
        <v>210</v>
      </c>
      <c r="B94" s="27" t="s">
        <v>971</v>
      </c>
      <c r="C94" s="10">
        <v>2.0</v>
      </c>
      <c r="D94" s="10">
        <v>1.0</v>
      </c>
      <c r="E94" s="10">
        <v>3.0</v>
      </c>
      <c r="F94" s="10">
        <v>2.0</v>
      </c>
      <c r="G94" s="10">
        <v>1.0</v>
      </c>
      <c r="H94" s="12">
        <f t="shared" si="1"/>
        <v>1.96</v>
      </c>
      <c r="I94" s="13">
        <v>2.0</v>
      </c>
      <c r="J94" s="14">
        <f t="shared" si="2"/>
        <v>3.92</v>
      </c>
      <c r="K94" s="15" t="str">
        <f t="shared" si="3"/>
        <v>Baja</v>
      </c>
    </row>
    <row r="95" ht="14.25" customHeight="1">
      <c r="A95" s="6" t="s">
        <v>210</v>
      </c>
      <c r="B95" s="27" t="s">
        <v>974</v>
      </c>
      <c r="C95" s="10">
        <v>2.0</v>
      </c>
      <c r="D95" s="10">
        <v>1.0</v>
      </c>
      <c r="E95" s="10">
        <v>3.0</v>
      </c>
      <c r="F95" s="10">
        <v>2.0</v>
      </c>
      <c r="G95" s="10">
        <v>1.0</v>
      </c>
      <c r="H95" s="12">
        <f t="shared" si="1"/>
        <v>1.96</v>
      </c>
      <c r="I95" s="13">
        <v>1.0</v>
      </c>
      <c r="J95" s="14">
        <f t="shared" si="2"/>
        <v>1.96</v>
      </c>
      <c r="K95" s="15" t="str">
        <f t="shared" si="3"/>
        <v>Baja</v>
      </c>
    </row>
    <row r="96" ht="14.25" customHeight="1">
      <c r="A96" s="6" t="s">
        <v>210</v>
      </c>
      <c r="B96" s="27" t="s">
        <v>976</v>
      </c>
      <c r="C96" s="10">
        <v>2.0</v>
      </c>
      <c r="D96" s="10">
        <v>1.0</v>
      </c>
      <c r="E96" s="10">
        <v>2.0</v>
      </c>
      <c r="F96" s="10">
        <v>1.0</v>
      </c>
      <c r="G96" s="10">
        <v>1.0</v>
      </c>
      <c r="H96" s="12">
        <f t="shared" si="1"/>
        <v>1.624</v>
      </c>
      <c r="I96" s="13">
        <v>2.0</v>
      </c>
      <c r="J96" s="14">
        <f t="shared" si="2"/>
        <v>3.248</v>
      </c>
      <c r="K96" s="15" t="str">
        <f t="shared" si="3"/>
        <v>Baja</v>
      </c>
    </row>
    <row r="97" ht="14.25" customHeight="1">
      <c r="A97" s="6" t="s">
        <v>210</v>
      </c>
      <c r="B97" s="27" t="s">
        <v>982</v>
      </c>
      <c r="C97" s="10">
        <v>1.0</v>
      </c>
      <c r="D97" s="10">
        <v>1.0</v>
      </c>
      <c r="E97" s="10">
        <v>2.0</v>
      </c>
      <c r="F97" s="10">
        <v>2.0</v>
      </c>
      <c r="G97" s="10">
        <v>1.0</v>
      </c>
      <c r="H97" s="12">
        <f t="shared" si="1"/>
        <v>1.336</v>
      </c>
      <c r="I97" s="13">
        <v>2.0</v>
      </c>
      <c r="J97" s="14">
        <f t="shared" si="2"/>
        <v>2.672</v>
      </c>
      <c r="K97" s="15" t="str">
        <f t="shared" si="3"/>
        <v>Baja</v>
      </c>
    </row>
    <row r="98" ht="14.25" customHeight="1">
      <c r="A98" s="6" t="s">
        <v>210</v>
      </c>
      <c r="B98" s="27" t="s">
        <v>990</v>
      </c>
      <c r="C98" s="10">
        <v>1.0</v>
      </c>
      <c r="D98" s="10">
        <v>1.0</v>
      </c>
      <c r="E98" s="10">
        <v>2.0</v>
      </c>
      <c r="F98" s="10">
        <v>2.0</v>
      </c>
      <c r="G98" s="10">
        <v>1.0</v>
      </c>
      <c r="H98" s="12">
        <f t="shared" si="1"/>
        <v>1.336</v>
      </c>
      <c r="I98" s="13">
        <v>3.0</v>
      </c>
      <c r="J98" s="14">
        <f t="shared" si="2"/>
        <v>4.008</v>
      </c>
      <c r="K98" s="15" t="str">
        <f t="shared" si="3"/>
        <v>Media</v>
      </c>
    </row>
    <row r="99" ht="14.25" customHeight="1">
      <c r="A99" s="6" t="s">
        <v>222</v>
      </c>
      <c r="B99" s="9" t="s">
        <v>999</v>
      </c>
      <c r="C99" s="10">
        <v>2.0</v>
      </c>
      <c r="D99" s="10">
        <v>2.0</v>
      </c>
      <c r="E99" s="10">
        <v>3.0</v>
      </c>
      <c r="F99" s="10">
        <v>3.0</v>
      </c>
      <c r="G99" s="10">
        <v>1.0</v>
      </c>
      <c r="H99" s="12">
        <f t="shared" si="1"/>
        <v>2.236</v>
      </c>
      <c r="I99" s="13">
        <v>2.0</v>
      </c>
      <c r="J99" s="14">
        <f t="shared" si="2"/>
        <v>4.472</v>
      </c>
      <c r="K99" s="15" t="str">
        <f t="shared" si="3"/>
        <v>Media</v>
      </c>
    </row>
    <row r="100" ht="14.25" customHeight="1">
      <c r="A100" s="6" t="s">
        <v>222</v>
      </c>
      <c r="B100" s="9" t="s">
        <v>1005</v>
      </c>
      <c r="C100" s="10">
        <v>2.0</v>
      </c>
      <c r="D100" s="10">
        <v>2.0</v>
      </c>
      <c r="E100" s="10">
        <v>2.0</v>
      </c>
      <c r="F100" s="10">
        <v>3.0</v>
      </c>
      <c r="G100" s="10">
        <v>1.0</v>
      </c>
      <c r="H100" s="12">
        <f t="shared" si="1"/>
        <v>1.996</v>
      </c>
      <c r="I100" s="13">
        <v>1.0</v>
      </c>
      <c r="J100" s="14">
        <f t="shared" si="2"/>
        <v>1.996</v>
      </c>
      <c r="K100" s="15" t="str">
        <f t="shared" si="3"/>
        <v>Baja</v>
      </c>
    </row>
    <row r="101" ht="14.25" customHeight="1">
      <c r="A101" s="6" t="s">
        <v>222</v>
      </c>
      <c r="B101" s="9" t="s">
        <v>1017</v>
      </c>
      <c r="C101" s="10">
        <v>2.0</v>
      </c>
      <c r="D101" s="10">
        <v>2.0</v>
      </c>
      <c r="E101" s="10">
        <v>3.0</v>
      </c>
      <c r="F101" s="10">
        <v>3.0</v>
      </c>
      <c r="G101" s="10">
        <v>1.0</v>
      </c>
      <c r="H101" s="12">
        <f t="shared" si="1"/>
        <v>2.236</v>
      </c>
      <c r="I101" s="13">
        <v>2.0</v>
      </c>
      <c r="J101" s="14">
        <f t="shared" si="2"/>
        <v>4.472</v>
      </c>
      <c r="K101" s="15" t="str">
        <f t="shared" si="3"/>
        <v>Media</v>
      </c>
    </row>
    <row r="102" ht="14.25" customHeight="1">
      <c r="A102" s="6" t="s">
        <v>222</v>
      </c>
      <c r="B102" s="9" t="s">
        <v>727</v>
      </c>
      <c r="C102" s="10">
        <v>1.0</v>
      </c>
      <c r="D102" s="10">
        <v>1.0</v>
      </c>
      <c r="E102" s="10">
        <v>3.0</v>
      </c>
      <c r="F102" s="10">
        <v>3.0</v>
      </c>
      <c r="G102" s="10">
        <v>1.0</v>
      </c>
      <c r="H102" s="12">
        <f t="shared" si="1"/>
        <v>1.672</v>
      </c>
      <c r="I102" s="13">
        <v>2.0</v>
      </c>
      <c r="J102" s="14">
        <f t="shared" si="2"/>
        <v>3.344</v>
      </c>
      <c r="K102" s="15" t="str">
        <f t="shared" si="3"/>
        <v>Baja</v>
      </c>
    </row>
    <row r="103" ht="14.25" customHeight="1">
      <c r="A103" s="6" t="s">
        <v>222</v>
      </c>
      <c r="B103" s="9" t="s">
        <v>1031</v>
      </c>
      <c r="C103" s="10">
        <v>1.0</v>
      </c>
      <c r="D103" s="10">
        <v>1.0</v>
      </c>
      <c r="E103" s="10">
        <v>2.0</v>
      </c>
      <c r="F103" s="10">
        <v>1.0</v>
      </c>
      <c r="G103" s="10">
        <v>1.0</v>
      </c>
      <c r="H103" s="12">
        <f t="shared" si="1"/>
        <v>1.24</v>
      </c>
      <c r="I103" s="13">
        <v>3.0</v>
      </c>
      <c r="J103" s="14">
        <f t="shared" si="2"/>
        <v>3.72</v>
      </c>
      <c r="K103" s="15" t="str">
        <f t="shared" si="3"/>
        <v>Baja</v>
      </c>
    </row>
    <row r="104" ht="14.25" customHeight="1">
      <c r="A104" s="6" t="s">
        <v>222</v>
      </c>
      <c r="B104" s="9" t="s">
        <v>1036</v>
      </c>
      <c r="C104" s="10">
        <v>1.0</v>
      </c>
      <c r="D104" s="10">
        <v>1.0</v>
      </c>
      <c r="E104" s="10">
        <v>3.0</v>
      </c>
      <c r="F104" s="10">
        <v>1.0</v>
      </c>
      <c r="G104" s="10">
        <v>1.0</v>
      </c>
      <c r="H104" s="12">
        <f t="shared" si="1"/>
        <v>1.48</v>
      </c>
      <c r="I104" s="13">
        <v>2.0</v>
      </c>
      <c r="J104" s="14">
        <f t="shared" si="2"/>
        <v>2.96</v>
      </c>
      <c r="K104" s="15" t="str">
        <f t="shared" si="3"/>
        <v>Baja</v>
      </c>
    </row>
    <row r="105" ht="14.25" customHeight="1">
      <c r="A105" s="6" t="s">
        <v>222</v>
      </c>
      <c r="B105" s="9" t="s">
        <v>1041</v>
      </c>
      <c r="C105" s="10">
        <v>1.0</v>
      </c>
      <c r="D105" s="10">
        <v>1.0</v>
      </c>
      <c r="E105" s="10">
        <v>2.0</v>
      </c>
      <c r="F105" s="10">
        <v>1.0</v>
      </c>
      <c r="G105" s="10">
        <v>1.0</v>
      </c>
      <c r="H105" s="12">
        <f t="shared" si="1"/>
        <v>1.24</v>
      </c>
      <c r="I105" s="13">
        <v>2.0</v>
      </c>
      <c r="J105" s="14">
        <f t="shared" si="2"/>
        <v>2.48</v>
      </c>
      <c r="K105" s="15" t="str">
        <f t="shared" si="3"/>
        <v>Baja</v>
      </c>
    </row>
    <row r="106" ht="14.25" customHeight="1">
      <c r="A106" s="6" t="s">
        <v>222</v>
      </c>
      <c r="B106" s="9" t="s">
        <v>1047</v>
      </c>
      <c r="C106" s="10">
        <v>1.0</v>
      </c>
      <c r="D106" s="10">
        <v>1.0</v>
      </c>
      <c r="E106" s="10">
        <v>2.0</v>
      </c>
      <c r="F106" s="10">
        <v>1.0</v>
      </c>
      <c r="G106" s="10">
        <v>1.0</v>
      </c>
      <c r="H106" s="12">
        <f t="shared" si="1"/>
        <v>1.24</v>
      </c>
      <c r="I106" s="13">
        <v>3.0</v>
      </c>
      <c r="J106" s="14">
        <f t="shared" si="2"/>
        <v>3.72</v>
      </c>
      <c r="K106" s="15" t="str">
        <f t="shared" si="3"/>
        <v>Baja</v>
      </c>
    </row>
    <row r="107" ht="14.25" customHeight="1">
      <c r="A107" s="6" t="s">
        <v>231</v>
      </c>
      <c r="B107" s="27" t="s">
        <v>1052</v>
      </c>
      <c r="C107" s="10">
        <v>1.0</v>
      </c>
      <c r="D107" s="10">
        <v>1.0</v>
      </c>
      <c r="E107" s="10">
        <v>3.0</v>
      </c>
      <c r="F107" s="10">
        <v>3.0</v>
      </c>
      <c r="G107" s="10">
        <v>1.0</v>
      </c>
      <c r="H107" s="12">
        <f t="shared" si="1"/>
        <v>1.672</v>
      </c>
      <c r="I107" s="13">
        <v>2.0</v>
      </c>
      <c r="J107" s="14">
        <f t="shared" si="2"/>
        <v>3.344</v>
      </c>
      <c r="K107" s="15" t="str">
        <f t="shared" si="3"/>
        <v>Baja</v>
      </c>
    </row>
    <row r="108" ht="14.25" customHeight="1">
      <c r="A108" s="6" t="s">
        <v>231</v>
      </c>
      <c r="B108" s="27" t="s">
        <v>1056</v>
      </c>
      <c r="C108" s="10">
        <v>1.0</v>
      </c>
      <c r="D108" s="10">
        <v>1.0</v>
      </c>
      <c r="E108" s="10">
        <v>3.0</v>
      </c>
      <c r="F108" s="10">
        <v>3.0</v>
      </c>
      <c r="G108" s="10">
        <v>1.0</v>
      </c>
      <c r="H108" s="12">
        <f t="shared" si="1"/>
        <v>1.672</v>
      </c>
      <c r="I108" s="13">
        <v>2.0</v>
      </c>
      <c r="J108" s="14">
        <f t="shared" si="2"/>
        <v>3.344</v>
      </c>
      <c r="K108" s="15" t="str">
        <f t="shared" si="3"/>
        <v>Baja</v>
      </c>
    </row>
    <row r="109" ht="14.25" customHeight="1">
      <c r="A109" s="6" t="s">
        <v>231</v>
      </c>
      <c r="B109" s="27" t="s">
        <v>1067</v>
      </c>
      <c r="C109" s="10">
        <v>1.0</v>
      </c>
      <c r="D109" s="10">
        <v>1.0</v>
      </c>
      <c r="E109" s="10">
        <v>2.0</v>
      </c>
      <c r="F109" s="10">
        <v>1.0</v>
      </c>
      <c r="G109" s="10">
        <v>1.0</v>
      </c>
      <c r="H109" s="12">
        <f t="shared" si="1"/>
        <v>1.24</v>
      </c>
      <c r="I109" s="13">
        <v>3.0</v>
      </c>
      <c r="J109" s="14">
        <f t="shared" si="2"/>
        <v>3.72</v>
      </c>
      <c r="K109" s="15" t="str">
        <f t="shared" si="3"/>
        <v>Baja</v>
      </c>
    </row>
    <row r="110" ht="14.25" customHeight="1">
      <c r="A110" s="6" t="s">
        <v>231</v>
      </c>
      <c r="B110" s="27" t="s">
        <v>1079</v>
      </c>
      <c r="C110" s="10">
        <v>1.0</v>
      </c>
      <c r="D110" s="10">
        <v>1.0</v>
      </c>
      <c r="E110" s="10">
        <v>3.0</v>
      </c>
      <c r="F110" s="10">
        <v>3.0</v>
      </c>
      <c r="G110" s="10">
        <v>1.0</v>
      </c>
      <c r="H110" s="12">
        <f t="shared" si="1"/>
        <v>1.672</v>
      </c>
      <c r="I110" s="13">
        <v>2.0</v>
      </c>
      <c r="J110" s="14">
        <f t="shared" si="2"/>
        <v>3.344</v>
      </c>
      <c r="K110" s="15" t="str">
        <f t="shared" si="3"/>
        <v>Baja</v>
      </c>
    </row>
    <row r="111" ht="14.25" customHeight="1">
      <c r="A111" s="6" t="s">
        <v>238</v>
      </c>
      <c r="B111" s="9" t="s">
        <v>1085</v>
      </c>
      <c r="C111" s="10">
        <v>1.0</v>
      </c>
      <c r="D111" s="10">
        <v>1.0</v>
      </c>
      <c r="E111" s="10">
        <v>3.0</v>
      </c>
      <c r="F111" s="10">
        <v>2.0</v>
      </c>
      <c r="G111" s="10">
        <v>1.0</v>
      </c>
      <c r="H111" s="12">
        <f t="shared" si="1"/>
        <v>1.576</v>
      </c>
      <c r="I111" s="13">
        <v>1.0</v>
      </c>
      <c r="J111" s="14">
        <f t="shared" si="2"/>
        <v>1.576</v>
      </c>
      <c r="K111" s="15" t="str">
        <f t="shared" si="3"/>
        <v>Baja</v>
      </c>
    </row>
    <row r="112" ht="14.25" customHeight="1">
      <c r="A112" s="6" t="s">
        <v>238</v>
      </c>
      <c r="B112" s="9" t="s">
        <v>1092</v>
      </c>
      <c r="C112" s="10">
        <v>1.0</v>
      </c>
      <c r="D112" s="10">
        <v>1.0</v>
      </c>
      <c r="E112" s="10">
        <v>3.0</v>
      </c>
      <c r="F112" s="10">
        <v>2.0</v>
      </c>
      <c r="G112" s="10">
        <v>1.0</v>
      </c>
      <c r="H112" s="12">
        <f t="shared" si="1"/>
        <v>1.576</v>
      </c>
      <c r="I112" s="13">
        <v>3.0</v>
      </c>
      <c r="J112" s="14">
        <f t="shared" si="2"/>
        <v>4.728</v>
      </c>
      <c r="K112" s="15" t="str">
        <f t="shared" si="3"/>
        <v>Media</v>
      </c>
    </row>
    <row r="113" ht="14.25" customHeight="1">
      <c r="A113" s="6" t="s">
        <v>238</v>
      </c>
      <c r="B113" s="9" t="s">
        <v>1098</v>
      </c>
      <c r="C113" s="10">
        <v>1.0</v>
      </c>
      <c r="D113" s="10">
        <v>1.0</v>
      </c>
      <c r="E113" s="10">
        <v>2.0</v>
      </c>
      <c r="F113" s="10">
        <v>1.0</v>
      </c>
      <c r="G113" s="10">
        <v>1.0</v>
      </c>
      <c r="H113" s="12">
        <f t="shared" si="1"/>
        <v>1.24</v>
      </c>
      <c r="I113" s="13">
        <v>3.0</v>
      </c>
      <c r="J113" s="14">
        <f t="shared" si="2"/>
        <v>3.72</v>
      </c>
      <c r="K113" s="15" t="str">
        <f t="shared" si="3"/>
        <v>Baja</v>
      </c>
    </row>
    <row r="114" ht="14.25" customHeight="1">
      <c r="A114" s="6" t="s">
        <v>238</v>
      </c>
      <c r="B114" s="9" t="s">
        <v>1102</v>
      </c>
      <c r="C114" s="10">
        <v>1.0</v>
      </c>
      <c r="D114" s="10">
        <v>1.0</v>
      </c>
      <c r="E114" s="10">
        <v>2.0</v>
      </c>
      <c r="F114" s="10">
        <v>1.0</v>
      </c>
      <c r="G114" s="10">
        <v>1.0</v>
      </c>
      <c r="H114" s="12">
        <f t="shared" si="1"/>
        <v>1.24</v>
      </c>
      <c r="I114" s="13">
        <v>2.0</v>
      </c>
      <c r="J114" s="14">
        <f t="shared" si="2"/>
        <v>2.48</v>
      </c>
      <c r="K114" s="15" t="str">
        <f t="shared" si="3"/>
        <v>Baja</v>
      </c>
    </row>
    <row r="115" ht="14.25" customHeight="1">
      <c r="A115" s="6" t="s">
        <v>251</v>
      </c>
      <c r="B115" s="27" t="s">
        <v>1108</v>
      </c>
      <c r="C115" s="10">
        <v>3.0</v>
      </c>
      <c r="D115" s="10">
        <v>3.0</v>
      </c>
      <c r="E115" s="10">
        <v>3.0</v>
      </c>
      <c r="F115" s="10">
        <v>1.0</v>
      </c>
      <c r="G115" s="10">
        <v>2.0</v>
      </c>
      <c r="H115" s="12">
        <f t="shared" si="1"/>
        <v>2.708</v>
      </c>
      <c r="I115" s="13">
        <v>1.0</v>
      </c>
      <c r="J115" s="14">
        <f t="shared" si="2"/>
        <v>2.708</v>
      </c>
      <c r="K115" s="15" t="str">
        <f t="shared" si="3"/>
        <v>Baja</v>
      </c>
    </row>
    <row r="116" ht="14.25" customHeight="1">
      <c r="A116" s="6" t="s">
        <v>251</v>
      </c>
      <c r="B116" s="27" t="s">
        <v>1113</v>
      </c>
      <c r="C116" s="10">
        <v>3.0</v>
      </c>
      <c r="D116" s="10">
        <v>3.0</v>
      </c>
      <c r="E116" s="10">
        <v>3.0</v>
      </c>
      <c r="F116" s="10">
        <v>4.0</v>
      </c>
      <c r="G116" s="10">
        <v>2.0</v>
      </c>
      <c r="H116" s="12">
        <f t="shared" si="1"/>
        <v>2.996</v>
      </c>
      <c r="I116" s="13">
        <v>1.0</v>
      </c>
      <c r="J116" s="14">
        <f t="shared" si="2"/>
        <v>2.996</v>
      </c>
      <c r="K116" s="15" t="str">
        <f t="shared" si="3"/>
        <v>Baja</v>
      </c>
    </row>
    <row r="117" ht="14.25" customHeight="1">
      <c r="A117" s="6" t="s">
        <v>251</v>
      </c>
      <c r="B117" s="27" t="s">
        <v>1119</v>
      </c>
      <c r="C117" s="10">
        <v>2.0</v>
      </c>
      <c r="D117" s="10">
        <v>2.0</v>
      </c>
      <c r="E117" s="10">
        <v>3.0</v>
      </c>
      <c r="F117" s="10">
        <v>1.0</v>
      </c>
      <c r="G117" s="10">
        <v>1.0</v>
      </c>
      <c r="H117" s="12">
        <f t="shared" si="1"/>
        <v>2.044</v>
      </c>
      <c r="I117" s="13">
        <v>3.0</v>
      </c>
      <c r="J117" s="14">
        <f t="shared" si="2"/>
        <v>6.132</v>
      </c>
      <c r="K117" s="15" t="str">
        <f t="shared" si="3"/>
        <v>Media</v>
      </c>
    </row>
    <row r="118" ht="14.25" customHeight="1">
      <c r="A118" s="6" t="s">
        <v>251</v>
      </c>
      <c r="B118" s="27" t="s">
        <v>1124</v>
      </c>
      <c r="C118" s="10">
        <v>2.0</v>
      </c>
      <c r="D118" s="10">
        <v>2.0</v>
      </c>
      <c r="E118" s="10">
        <v>3.0</v>
      </c>
      <c r="F118" s="10">
        <v>1.0</v>
      </c>
      <c r="G118" s="10">
        <v>1.0</v>
      </c>
      <c r="H118" s="12">
        <f t="shared" si="1"/>
        <v>2.044</v>
      </c>
      <c r="I118" s="13">
        <v>1.0</v>
      </c>
      <c r="J118" s="14">
        <f t="shared" si="2"/>
        <v>2.044</v>
      </c>
      <c r="K118" s="15" t="str">
        <f t="shared" si="3"/>
        <v>Baja</v>
      </c>
    </row>
    <row r="119" ht="14.25" customHeight="1">
      <c r="A119" s="6" t="s">
        <v>264</v>
      </c>
      <c r="B119" s="9" t="s">
        <v>1127</v>
      </c>
      <c r="C119" s="10">
        <v>3.0</v>
      </c>
      <c r="D119" s="10">
        <v>3.0</v>
      </c>
      <c r="E119" s="10">
        <v>3.0</v>
      </c>
      <c r="F119" s="10">
        <v>3.0</v>
      </c>
      <c r="G119" s="10">
        <v>2.0</v>
      </c>
      <c r="H119" s="12">
        <f t="shared" si="1"/>
        <v>2.9</v>
      </c>
      <c r="I119" s="13">
        <v>1.0</v>
      </c>
      <c r="J119" s="14">
        <f t="shared" si="2"/>
        <v>2.9</v>
      </c>
      <c r="K119" s="15" t="str">
        <f t="shared" si="3"/>
        <v>Baja</v>
      </c>
    </row>
    <row r="120" ht="14.25" customHeight="1">
      <c r="A120" s="6" t="s">
        <v>264</v>
      </c>
      <c r="B120" s="9" t="s">
        <v>1134</v>
      </c>
      <c r="C120" s="10">
        <v>2.0</v>
      </c>
      <c r="D120" s="10">
        <v>2.0</v>
      </c>
      <c r="E120" s="10">
        <v>3.0</v>
      </c>
      <c r="F120" s="10">
        <v>3.0</v>
      </c>
      <c r="G120" s="10">
        <v>1.0</v>
      </c>
      <c r="H120" s="12">
        <f t="shared" si="1"/>
        <v>2.236</v>
      </c>
      <c r="I120" s="13">
        <v>3.0</v>
      </c>
      <c r="J120" s="14">
        <f t="shared" si="2"/>
        <v>6.708</v>
      </c>
      <c r="K120" s="15" t="str">
        <f t="shared" si="3"/>
        <v>Media</v>
      </c>
    </row>
    <row r="121" ht="14.25" customHeight="1">
      <c r="A121" s="6" t="s">
        <v>264</v>
      </c>
      <c r="B121" s="9" t="s">
        <v>1141</v>
      </c>
      <c r="C121" s="10">
        <v>2.0</v>
      </c>
      <c r="D121" s="10">
        <v>2.0</v>
      </c>
      <c r="E121" s="10">
        <v>2.0</v>
      </c>
      <c r="F121" s="10">
        <v>1.0</v>
      </c>
      <c r="G121" s="10">
        <v>1.0</v>
      </c>
      <c r="H121" s="12">
        <f t="shared" si="1"/>
        <v>1.804</v>
      </c>
      <c r="I121" s="13">
        <v>3.0</v>
      </c>
      <c r="J121" s="14">
        <f t="shared" si="2"/>
        <v>5.412</v>
      </c>
      <c r="K121" s="15" t="str">
        <f t="shared" si="3"/>
        <v>Media</v>
      </c>
    </row>
    <row r="122" ht="14.25" customHeight="1">
      <c r="A122" s="6" t="s">
        <v>264</v>
      </c>
      <c r="B122" s="9" t="s">
        <v>1147</v>
      </c>
      <c r="C122" s="10">
        <v>2.0</v>
      </c>
      <c r="D122" s="10">
        <v>2.0</v>
      </c>
      <c r="E122" s="10">
        <v>3.0</v>
      </c>
      <c r="F122" s="10">
        <v>3.0</v>
      </c>
      <c r="G122" s="10">
        <v>1.0</v>
      </c>
      <c r="H122" s="12">
        <f t="shared" si="1"/>
        <v>2.236</v>
      </c>
      <c r="I122" s="13">
        <v>3.0</v>
      </c>
      <c r="J122" s="14">
        <f t="shared" si="2"/>
        <v>6.708</v>
      </c>
      <c r="K122" s="15" t="str">
        <f t="shared" si="3"/>
        <v>Media</v>
      </c>
    </row>
    <row r="123" ht="14.25" customHeight="1">
      <c r="A123" s="6" t="s">
        <v>274</v>
      </c>
      <c r="B123" s="27" t="s">
        <v>1157</v>
      </c>
      <c r="C123" s="10">
        <v>1.0</v>
      </c>
      <c r="D123" s="10">
        <v>1.0</v>
      </c>
      <c r="E123" s="10">
        <v>3.0</v>
      </c>
      <c r="F123" s="10">
        <v>1.0</v>
      </c>
      <c r="G123" s="10">
        <v>1.0</v>
      </c>
      <c r="H123" s="12">
        <f t="shared" si="1"/>
        <v>1.48</v>
      </c>
      <c r="I123" s="13">
        <v>2.0</v>
      </c>
      <c r="J123" s="14">
        <f t="shared" si="2"/>
        <v>2.96</v>
      </c>
      <c r="K123" s="15" t="str">
        <f t="shared" si="3"/>
        <v>Baja</v>
      </c>
    </row>
    <row r="124" ht="14.25" customHeight="1">
      <c r="A124" s="6" t="s">
        <v>274</v>
      </c>
      <c r="B124" s="27" t="s">
        <v>1167</v>
      </c>
      <c r="C124" s="10">
        <v>1.0</v>
      </c>
      <c r="D124" s="10">
        <v>1.0</v>
      </c>
      <c r="E124" s="10">
        <v>2.0</v>
      </c>
      <c r="F124" s="10">
        <v>1.0</v>
      </c>
      <c r="G124" s="10">
        <v>1.0</v>
      </c>
      <c r="H124" s="12">
        <f t="shared" si="1"/>
        <v>1.24</v>
      </c>
      <c r="I124" s="13">
        <v>1.0</v>
      </c>
      <c r="J124" s="14">
        <f t="shared" si="2"/>
        <v>1.24</v>
      </c>
      <c r="K124" s="15" t="str">
        <f t="shared" si="3"/>
        <v>Baja</v>
      </c>
    </row>
    <row r="125" ht="14.25" customHeight="1">
      <c r="A125" s="6" t="s">
        <v>274</v>
      </c>
      <c r="B125" s="27" t="s">
        <v>1176</v>
      </c>
      <c r="C125" s="10">
        <v>1.0</v>
      </c>
      <c r="D125" s="10">
        <v>1.0</v>
      </c>
      <c r="E125" s="10">
        <v>2.0</v>
      </c>
      <c r="F125" s="10">
        <v>1.0</v>
      </c>
      <c r="G125" s="10">
        <v>1.0</v>
      </c>
      <c r="H125" s="12">
        <f t="shared" si="1"/>
        <v>1.24</v>
      </c>
      <c r="I125" s="13">
        <v>3.0</v>
      </c>
      <c r="J125" s="14">
        <f t="shared" si="2"/>
        <v>3.72</v>
      </c>
      <c r="K125" s="15" t="str">
        <f t="shared" si="3"/>
        <v>Baja</v>
      </c>
    </row>
    <row r="126" ht="14.25" customHeight="1">
      <c r="A126" s="6" t="s">
        <v>274</v>
      </c>
      <c r="B126" s="27" t="s">
        <v>1184</v>
      </c>
      <c r="C126" s="10">
        <v>1.0</v>
      </c>
      <c r="D126" s="10">
        <v>1.0</v>
      </c>
      <c r="E126" s="10">
        <v>2.0</v>
      </c>
      <c r="F126" s="10">
        <v>1.0</v>
      </c>
      <c r="G126" s="10">
        <v>1.0</v>
      </c>
      <c r="H126" s="12">
        <f t="shared" si="1"/>
        <v>1.24</v>
      </c>
      <c r="I126" s="13">
        <v>2.0</v>
      </c>
      <c r="J126" s="14">
        <f t="shared" si="2"/>
        <v>2.48</v>
      </c>
      <c r="K126" s="15" t="str">
        <f t="shared" si="3"/>
        <v>Baja</v>
      </c>
    </row>
    <row r="127" ht="14.25" customHeight="1">
      <c r="A127" s="6" t="s">
        <v>288</v>
      </c>
      <c r="B127" s="9" t="s">
        <v>1191</v>
      </c>
      <c r="C127" s="10">
        <v>1.0</v>
      </c>
      <c r="D127" s="10">
        <v>2.0</v>
      </c>
      <c r="E127" s="10">
        <v>2.0</v>
      </c>
      <c r="F127" s="10">
        <v>1.0</v>
      </c>
      <c r="G127" s="10">
        <v>1.0</v>
      </c>
      <c r="H127" s="12">
        <f t="shared" si="1"/>
        <v>1.42</v>
      </c>
      <c r="I127" s="13">
        <v>3.0</v>
      </c>
      <c r="J127" s="14">
        <f t="shared" si="2"/>
        <v>4.26</v>
      </c>
      <c r="K127" s="15" t="str">
        <f t="shared" si="3"/>
        <v>Media</v>
      </c>
    </row>
    <row r="128" ht="14.25" customHeight="1">
      <c r="A128" s="6" t="s">
        <v>288</v>
      </c>
      <c r="B128" s="9" t="s">
        <v>1195</v>
      </c>
      <c r="C128" s="10">
        <v>1.0</v>
      </c>
      <c r="D128" s="10">
        <v>2.0</v>
      </c>
      <c r="E128" s="10">
        <v>2.0</v>
      </c>
      <c r="F128" s="10">
        <v>1.0</v>
      </c>
      <c r="G128" s="10">
        <v>1.0</v>
      </c>
      <c r="H128" s="12">
        <f t="shared" si="1"/>
        <v>1.42</v>
      </c>
      <c r="I128" s="13">
        <v>2.0</v>
      </c>
      <c r="J128" s="14">
        <f t="shared" si="2"/>
        <v>2.84</v>
      </c>
      <c r="K128" s="15" t="str">
        <f t="shared" si="3"/>
        <v>Baja</v>
      </c>
    </row>
    <row r="129" ht="14.25" customHeight="1">
      <c r="A129" s="6" t="s">
        <v>288</v>
      </c>
      <c r="B129" s="9" t="s">
        <v>1204</v>
      </c>
      <c r="C129" s="10">
        <v>1.0</v>
      </c>
      <c r="D129" s="10">
        <v>2.0</v>
      </c>
      <c r="E129" s="10">
        <v>2.0</v>
      </c>
      <c r="F129" s="10">
        <v>1.0</v>
      </c>
      <c r="G129" s="10">
        <v>1.0</v>
      </c>
      <c r="H129" s="12">
        <f t="shared" si="1"/>
        <v>1.42</v>
      </c>
      <c r="I129" s="13">
        <v>1.0</v>
      </c>
      <c r="J129" s="14">
        <f t="shared" si="2"/>
        <v>1.42</v>
      </c>
      <c r="K129" s="15" t="str">
        <f t="shared" si="3"/>
        <v>Baja</v>
      </c>
    </row>
    <row r="130" ht="14.25" customHeight="1">
      <c r="A130" s="6" t="s">
        <v>288</v>
      </c>
      <c r="B130" s="9" t="s">
        <v>1210</v>
      </c>
      <c r="C130" s="10">
        <v>1.0</v>
      </c>
      <c r="D130" s="10">
        <v>2.0</v>
      </c>
      <c r="E130" s="10">
        <v>2.0</v>
      </c>
      <c r="F130" s="10">
        <v>1.0</v>
      </c>
      <c r="G130" s="10">
        <v>1.0</v>
      </c>
      <c r="H130" s="12">
        <f t="shared" si="1"/>
        <v>1.42</v>
      </c>
      <c r="I130" s="13">
        <v>3.0</v>
      </c>
      <c r="J130" s="14">
        <f t="shared" si="2"/>
        <v>4.26</v>
      </c>
      <c r="K130" s="15" t="str">
        <f t="shared" si="3"/>
        <v>Media</v>
      </c>
    </row>
    <row r="131" ht="14.25" customHeight="1">
      <c r="A131" s="6" t="s">
        <v>288</v>
      </c>
      <c r="B131" s="9" t="s">
        <v>1219</v>
      </c>
      <c r="C131" s="10">
        <v>1.0</v>
      </c>
      <c r="D131" s="10">
        <v>2.0</v>
      </c>
      <c r="E131" s="10">
        <v>2.0</v>
      </c>
      <c r="F131" s="10">
        <v>1.0</v>
      </c>
      <c r="G131" s="10">
        <v>1.0</v>
      </c>
      <c r="H131" s="12">
        <f t="shared" si="1"/>
        <v>1.42</v>
      </c>
      <c r="I131" s="13">
        <v>3.0</v>
      </c>
      <c r="J131" s="14">
        <f t="shared" si="2"/>
        <v>4.26</v>
      </c>
      <c r="K131" s="15" t="str">
        <f t="shared" si="3"/>
        <v>Media</v>
      </c>
    </row>
    <row r="132" ht="14.25" customHeight="1">
      <c r="A132" s="6" t="s">
        <v>288</v>
      </c>
      <c r="B132" s="9" t="s">
        <v>1228</v>
      </c>
      <c r="C132" s="10">
        <v>1.0</v>
      </c>
      <c r="D132" s="10">
        <v>1.0</v>
      </c>
      <c r="E132" s="10">
        <v>2.0</v>
      </c>
      <c r="F132" s="10">
        <v>1.0</v>
      </c>
      <c r="G132" s="10">
        <v>1.0</v>
      </c>
      <c r="H132" s="12">
        <f t="shared" si="1"/>
        <v>1.24</v>
      </c>
      <c r="I132" s="13">
        <v>2.0</v>
      </c>
      <c r="J132" s="14">
        <f t="shared" si="2"/>
        <v>2.48</v>
      </c>
      <c r="K132" s="15" t="str">
        <f t="shared" si="3"/>
        <v>Baja</v>
      </c>
    </row>
    <row r="133" ht="14.25" customHeight="1">
      <c r="A133" s="6" t="s">
        <v>288</v>
      </c>
      <c r="B133" s="9" t="s">
        <v>1233</v>
      </c>
      <c r="C133" s="10">
        <v>1.0</v>
      </c>
      <c r="D133" s="10">
        <v>1.0</v>
      </c>
      <c r="E133" s="10">
        <v>2.0</v>
      </c>
      <c r="F133" s="10">
        <v>1.0</v>
      </c>
      <c r="G133" s="10">
        <v>1.0</v>
      </c>
      <c r="H133" s="12">
        <f t="shared" si="1"/>
        <v>1.24</v>
      </c>
      <c r="I133" s="13">
        <v>3.0</v>
      </c>
      <c r="J133" s="14">
        <f t="shared" si="2"/>
        <v>3.72</v>
      </c>
      <c r="K133" s="15" t="str">
        <f t="shared" si="3"/>
        <v>Baja</v>
      </c>
    </row>
    <row r="134" ht="14.25" customHeight="1">
      <c r="A134" s="6" t="s">
        <v>299</v>
      </c>
      <c r="B134" s="27" t="s">
        <v>1191</v>
      </c>
      <c r="C134" s="10">
        <v>1.0</v>
      </c>
      <c r="D134" s="10">
        <v>2.0</v>
      </c>
      <c r="E134" s="10">
        <v>2.0</v>
      </c>
      <c r="F134" s="10">
        <v>1.0</v>
      </c>
      <c r="G134" s="10">
        <v>1.0</v>
      </c>
      <c r="H134" s="12">
        <f t="shared" si="1"/>
        <v>1.42</v>
      </c>
      <c r="I134" s="13">
        <v>3.0</v>
      </c>
      <c r="J134" s="14">
        <f t="shared" si="2"/>
        <v>4.26</v>
      </c>
      <c r="K134" s="15" t="str">
        <f t="shared" si="3"/>
        <v>Media</v>
      </c>
    </row>
    <row r="135" ht="14.25" customHeight="1">
      <c r="A135" s="6" t="s">
        <v>299</v>
      </c>
      <c r="B135" s="27" t="s">
        <v>1204</v>
      </c>
      <c r="C135" s="10">
        <v>1.0</v>
      </c>
      <c r="D135" s="10">
        <v>2.0</v>
      </c>
      <c r="E135" s="10">
        <v>2.0</v>
      </c>
      <c r="F135" s="10">
        <v>1.0</v>
      </c>
      <c r="G135" s="10">
        <v>1.0</v>
      </c>
      <c r="H135" s="12">
        <f t="shared" si="1"/>
        <v>1.42</v>
      </c>
      <c r="I135" s="13">
        <v>1.0</v>
      </c>
      <c r="J135" s="14">
        <f t="shared" si="2"/>
        <v>1.42</v>
      </c>
      <c r="K135" s="15" t="str">
        <f t="shared" si="3"/>
        <v>Baja</v>
      </c>
    </row>
    <row r="136" ht="14.25" customHeight="1">
      <c r="A136" s="6" t="s">
        <v>299</v>
      </c>
      <c r="B136" s="27" t="s">
        <v>1228</v>
      </c>
      <c r="C136" s="10">
        <v>1.0</v>
      </c>
      <c r="D136" s="10">
        <v>1.0</v>
      </c>
      <c r="E136" s="10">
        <v>2.0</v>
      </c>
      <c r="F136" s="10">
        <v>1.0</v>
      </c>
      <c r="G136" s="10">
        <v>1.0</v>
      </c>
      <c r="H136" s="12">
        <f t="shared" si="1"/>
        <v>1.24</v>
      </c>
      <c r="I136" s="13">
        <v>2.0</v>
      </c>
      <c r="J136" s="14">
        <f t="shared" si="2"/>
        <v>2.48</v>
      </c>
      <c r="K136" s="15" t="str">
        <f t="shared" si="3"/>
        <v>Baja</v>
      </c>
    </row>
    <row r="137" ht="14.25" customHeight="1">
      <c r="A137" s="6" t="s">
        <v>307</v>
      </c>
      <c r="B137" s="9" t="s">
        <v>1246</v>
      </c>
      <c r="C137" s="10">
        <v>3.0</v>
      </c>
      <c r="D137" s="10">
        <v>2.0</v>
      </c>
      <c r="E137" s="10">
        <v>3.0</v>
      </c>
      <c r="F137" s="10">
        <v>1.0</v>
      </c>
      <c r="G137" s="10">
        <v>1.0</v>
      </c>
      <c r="H137" s="12">
        <f t="shared" si="1"/>
        <v>2.428</v>
      </c>
      <c r="I137" s="13">
        <v>3.0</v>
      </c>
      <c r="J137" s="14">
        <f t="shared" si="2"/>
        <v>7.284</v>
      </c>
      <c r="K137" s="15" t="str">
        <f t="shared" si="3"/>
        <v>Media</v>
      </c>
    </row>
    <row r="138" ht="14.25" customHeight="1">
      <c r="A138" s="6" t="s">
        <v>307</v>
      </c>
      <c r="B138" s="9" t="s">
        <v>1248</v>
      </c>
      <c r="C138" s="10">
        <v>3.0</v>
      </c>
      <c r="D138" s="10">
        <v>2.0</v>
      </c>
      <c r="E138" s="10">
        <v>2.0</v>
      </c>
      <c r="F138" s="10">
        <v>2.0</v>
      </c>
      <c r="G138" s="10">
        <v>1.0</v>
      </c>
      <c r="H138" s="12">
        <f t="shared" si="1"/>
        <v>2.284</v>
      </c>
      <c r="I138" s="13">
        <v>2.0</v>
      </c>
      <c r="J138" s="14">
        <f t="shared" si="2"/>
        <v>4.568</v>
      </c>
      <c r="K138" s="15" t="str">
        <f t="shared" si="3"/>
        <v>Media</v>
      </c>
    </row>
    <row r="139" ht="14.25" customHeight="1">
      <c r="A139" s="6" t="s">
        <v>307</v>
      </c>
      <c r="B139" s="9" t="s">
        <v>1255</v>
      </c>
      <c r="C139" s="10">
        <v>2.0</v>
      </c>
      <c r="D139" s="10">
        <v>1.0</v>
      </c>
      <c r="E139" s="10">
        <v>2.0</v>
      </c>
      <c r="F139" s="10">
        <v>1.0</v>
      </c>
      <c r="G139" s="10">
        <v>1.0</v>
      </c>
      <c r="H139" s="12">
        <f t="shared" si="1"/>
        <v>1.624</v>
      </c>
      <c r="I139" s="13">
        <v>2.0</v>
      </c>
      <c r="J139" s="14">
        <f t="shared" si="2"/>
        <v>3.248</v>
      </c>
      <c r="K139" s="15" t="str">
        <f t="shared" si="3"/>
        <v>Baja</v>
      </c>
    </row>
    <row r="140" ht="14.25" customHeight="1">
      <c r="A140" s="6" t="s">
        <v>307</v>
      </c>
      <c r="B140" s="9" t="s">
        <v>1259</v>
      </c>
      <c r="C140" s="10">
        <v>2.0</v>
      </c>
      <c r="D140" s="10">
        <v>1.0</v>
      </c>
      <c r="E140" s="10">
        <v>2.0</v>
      </c>
      <c r="F140" s="10">
        <v>2.0</v>
      </c>
      <c r="G140" s="10">
        <v>1.0</v>
      </c>
      <c r="H140" s="12">
        <f t="shared" si="1"/>
        <v>1.72</v>
      </c>
      <c r="I140" s="13">
        <v>2.0</v>
      </c>
      <c r="J140" s="14">
        <f t="shared" si="2"/>
        <v>3.44</v>
      </c>
      <c r="K140" s="15" t="str">
        <f t="shared" si="3"/>
        <v>Baja</v>
      </c>
    </row>
    <row r="141" ht="14.25" customHeight="1">
      <c r="A141" s="6" t="s">
        <v>307</v>
      </c>
      <c r="B141" s="9" t="s">
        <v>1265</v>
      </c>
      <c r="C141" s="10">
        <v>2.0</v>
      </c>
      <c r="D141" s="10">
        <v>1.0</v>
      </c>
      <c r="E141" s="10">
        <v>2.0</v>
      </c>
      <c r="F141" s="10">
        <v>1.0</v>
      </c>
      <c r="G141" s="10">
        <v>1.0</v>
      </c>
      <c r="H141" s="12">
        <f t="shared" si="1"/>
        <v>1.624</v>
      </c>
      <c r="I141" s="13">
        <v>3.0</v>
      </c>
      <c r="J141" s="14">
        <f t="shared" si="2"/>
        <v>4.872</v>
      </c>
      <c r="K141" s="15" t="str">
        <f t="shared" si="3"/>
        <v>Media</v>
      </c>
    </row>
    <row r="142" ht="14.25" customHeight="1">
      <c r="A142" s="6" t="s">
        <v>307</v>
      </c>
      <c r="B142" s="9" t="s">
        <v>1275</v>
      </c>
      <c r="C142" s="10">
        <v>2.0</v>
      </c>
      <c r="D142" s="10">
        <v>1.0</v>
      </c>
      <c r="E142" s="10">
        <v>2.0</v>
      </c>
      <c r="F142" s="10">
        <v>1.0</v>
      </c>
      <c r="G142" s="10">
        <v>1.0</v>
      </c>
      <c r="H142" s="12">
        <f t="shared" si="1"/>
        <v>1.624</v>
      </c>
      <c r="I142" s="13">
        <v>2.0</v>
      </c>
      <c r="J142" s="14">
        <f t="shared" si="2"/>
        <v>3.248</v>
      </c>
      <c r="K142" s="15" t="str">
        <f t="shared" si="3"/>
        <v>Baja</v>
      </c>
    </row>
    <row r="143" ht="14.25" customHeight="1">
      <c r="A143" s="6" t="s">
        <v>320</v>
      </c>
      <c r="B143" s="27" t="s">
        <v>1284</v>
      </c>
      <c r="C143" s="10">
        <v>1.0</v>
      </c>
      <c r="D143" s="10">
        <v>1.0</v>
      </c>
      <c r="E143" s="10">
        <v>3.0</v>
      </c>
      <c r="F143" s="10">
        <v>2.0</v>
      </c>
      <c r="G143" s="10">
        <v>1.0</v>
      </c>
      <c r="H143" s="12">
        <f t="shared" si="1"/>
        <v>1.576</v>
      </c>
      <c r="I143" s="13">
        <v>3.0</v>
      </c>
      <c r="J143" s="14">
        <f t="shared" si="2"/>
        <v>4.728</v>
      </c>
      <c r="K143" s="15" t="str">
        <f t="shared" si="3"/>
        <v>Media</v>
      </c>
    </row>
    <row r="144" ht="14.25" customHeight="1">
      <c r="A144" s="6" t="s">
        <v>320</v>
      </c>
      <c r="B144" s="27" t="s">
        <v>1286</v>
      </c>
      <c r="C144" s="10">
        <v>1.0</v>
      </c>
      <c r="D144" s="10">
        <v>1.0</v>
      </c>
      <c r="E144" s="10">
        <v>2.0</v>
      </c>
      <c r="F144" s="10">
        <v>1.0</v>
      </c>
      <c r="G144" s="10">
        <v>1.0</v>
      </c>
      <c r="H144" s="12">
        <f t="shared" si="1"/>
        <v>1.24</v>
      </c>
      <c r="I144" s="13">
        <v>3.0</v>
      </c>
      <c r="J144" s="14">
        <f t="shared" si="2"/>
        <v>3.72</v>
      </c>
      <c r="K144" s="15" t="str">
        <f t="shared" si="3"/>
        <v>Baja</v>
      </c>
    </row>
    <row r="145" ht="14.25" customHeight="1">
      <c r="A145" s="6" t="s">
        <v>320</v>
      </c>
      <c r="B145" s="27" t="s">
        <v>1289</v>
      </c>
      <c r="C145" s="10">
        <v>1.0</v>
      </c>
      <c r="D145" s="10">
        <v>1.0</v>
      </c>
      <c r="E145" s="10">
        <v>2.0</v>
      </c>
      <c r="F145" s="10">
        <v>1.0</v>
      </c>
      <c r="G145" s="10">
        <v>1.0</v>
      </c>
      <c r="H145" s="12">
        <f t="shared" si="1"/>
        <v>1.24</v>
      </c>
      <c r="I145" s="13">
        <v>3.0</v>
      </c>
      <c r="J145" s="14">
        <f t="shared" si="2"/>
        <v>3.72</v>
      </c>
      <c r="K145" s="15" t="str">
        <f t="shared" si="3"/>
        <v>Baja</v>
      </c>
    </row>
    <row r="146" ht="14.25" customHeight="1">
      <c r="A146" s="6" t="s">
        <v>320</v>
      </c>
      <c r="B146" s="27" t="s">
        <v>1292</v>
      </c>
      <c r="C146" s="10">
        <v>1.0</v>
      </c>
      <c r="D146" s="10">
        <v>1.0</v>
      </c>
      <c r="E146" s="10">
        <v>3.0</v>
      </c>
      <c r="F146" s="10">
        <v>2.0</v>
      </c>
      <c r="G146" s="10">
        <v>1.0</v>
      </c>
      <c r="H146" s="12">
        <f t="shared" si="1"/>
        <v>1.576</v>
      </c>
      <c r="I146" s="13">
        <v>2.0</v>
      </c>
      <c r="J146" s="14">
        <f t="shared" si="2"/>
        <v>3.152</v>
      </c>
      <c r="K146" s="15" t="str">
        <f t="shared" si="3"/>
        <v>Baja</v>
      </c>
    </row>
    <row r="147" ht="14.25" customHeight="1">
      <c r="A147" s="6" t="s">
        <v>320</v>
      </c>
      <c r="B147" s="27" t="s">
        <v>1299</v>
      </c>
      <c r="C147" s="10">
        <v>1.0</v>
      </c>
      <c r="D147" s="10">
        <v>1.0</v>
      </c>
      <c r="E147" s="10">
        <v>2.0</v>
      </c>
      <c r="F147" s="10">
        <v>1.0</v>
      </c>
      <c r="G147" s="10">
        <v>1.0</v>
      </c>
      <c r="H147" s="12">
        <f t="shared" si="1"/>
        <v>1.24</v>
      </c>
      <c r="I147" s="13">
        <v>3.0</v>
      </c>
      <c r="J147" s="14">
        <f t="shared" si="2"/>
        <v>3.72</v>
      </c>
      <c r="K147" s="15" t="str">
        <f t="shared" si="3"/>
        <v>Baja</v>
      </c>
    </row>
    <row r="148" ht="14.25" customHeight="1">
      <c r="A148" s="6" t="s">
        <v>334</v>
      </c>
      <c r="B148" s="9" t="s">
        <v>1305</v>
      </c>
      <c r="C148" s="10">
        <v>1.0</v>
      </c>
      <c r="D148" s="10">
        <v>1.0</v>
      </c>
      <c r="E148" s="10">
        <v>3.0</v>
      </c>
      <c r="F148" s="10">
        <v>3.0</v>
      </c>
      <c r="G148" s="10">
        <v>1.0</v>
      </c>
      <c r="H148" s="12">
        <f t="shared" si="1"/>
        <v>1.672</v>
      </c>
      <c r="I148" s="13">
        <v>1.0</v>
      </c>
      <c r="J148" s="14">
        <f t="shared" si="2"/>
        <v>1.672</v>
      </c>
      <c r="K148" s="15" t="str">
        <f t="shared" si="3"/>
        <v>Baja</v>
      </c>
    </row>
    <row r="149" ht="14.25" customHeight="1">
      <c r="A149" s="6" t="s">
        <v>334</v>
      </c>
      <c r="B149" s="9" t="s">
        <v>1311</v>
      </c>
      <c r="C149" s="10">
        <v>1.0</v>
      </c>
      <c r="D149" s="10">
        <v>1.0</v>
      </c>
      <c r="E149" s="10">
        <v>3.0</v>
      </c>
      <c r="F149" s="10">
        <v>2.0</v>
      </c>
      <c r="G149" s="10">
        <v>1.0</v>
      </c>
      <c r="H149" s="12">
        <f t="shared" si="1"/>
        <v>1.576</v>
      </c>
      <c r="I149" s="13">
        <v>1.0</v>
      </c>
      <c r="J149" s="14">
        <f t="shared" si="2"/>
        <v>1.576</v>
      </c>
      <c r="K149" s="15" t="str">
        <f t="shared" si="3"/>
        <v>Baja</v>
      </c>
    </row>
    <row r="150" ht="14.25" customHeight="1">
      <c r="A150" s="6" t="s">
        <v>334</v>
      </c>
      <c r="B150" s="9" t="s">
        <v>1315</v>
      </c>
      <c r="C150" s="10">
        <v>1.0</v>
      </c>
      <c r="D150" s="10">
        <v>1.0</v>
      </c>
      <c r="E150" s="10">
        <v>3.0</v>
      </c>
      <c r="F150" s="10">
        <v>2.0</v>
      </c>
      <c r="G150" s="10">
        <v>1.0</v>
      </c>
      <c r="H150" s="12">
        <f t="shared" si="1"/>
        <v>1.576</v>
      </c>
      <c r="I150" s="13">
        <v>2.0</v>
      </c>
      <c r="J150" s="14">
        <f t="shared" si="2"/>
        <v>3.152</v>
      </c>
      <c r="K150" s="15" t="str">
        <f t="shared" si="3"/>
        <v>Baja</v>
      </c>
    </row>
    <row r="151" ht="14.25" customHeight="1">
      <c r="A151" s="6" t="s">
        <v>334</v>
      </c>
      <c r="B151" s="9" t="s">
        <v>1325</v>
      </c>
      <c r="C151" s="10">
        <v>1.0</v>
      </c>
      <c r="D151" s="10">
        <v>1.0</v>
      </c>
      <c r="E151" s="10">
        <v>3.0</v>
      </c>
      <c r="F151" s="10">
        <v>2.0</v>
      </c>
      <c r="G151" s="10">
        <v>1.0</v>
      </c>
      <c r="H151" s="12">
        <f t="shared" si="1"/>
        <v>1.576</v>
      </c>
      <c r="I151" s="13">
        <v>2.0</v>
      </c>
      <c r="J151" s="14">
        <f t="shared" si="2"/>
        <v>3.152</v>
      </c>
      <c r="K151" s="15" t="str">
        <f t="shared" si="3"/>
        <v>Baja</v>
      </c>
    </row>
    <row r="152" ht="14.25" customHeight="1">
      <c r="A152" s="6" t="s">
        <v>334</v>
      </c>
      <c r="B152" s="9" t="s">
        <v>1333</v>
      </c>
      <c r="C152" s="10">
        <v>1.0</v>
      </c>
      <c r="D152" s="10">
        <v>1.0</v>
      </c>
      <c r="E152" s="10">
        <v>3.0</v>
      </c>
      <c r="F152" s="10">
        <v>2.0</v>
      </c>
      <c r="G152" s="10">
        <v>1.0</v>
      </c>
      <c r="H152" s="12">
        <f t="shared" si="1"/>
        <v>1.576</v>
      </c>
      <c r="I152" s="13">
        <v>1.0</v>
      </c>
      <c r="J152" s="14">
        <f t="shared" si="2"/>
        <v>1.576</v>
      </c>
      <c r="K152" s="15" t="str">
        <f t="shared" si="3"/>
        <v>Baja</v>
      </c>
    </row>
    <row r="153" ht="14.25" customHeight="1">
      <c r="A153" s="6" t="s">
        <v>229</v>
      </c>
      <c r="B153" s="27" t="s">
        <v>1339</v>
      </c>
      <c r="C153" s="10">
        <v>1.0</v>
      </c>
      <c r="D153" s="10">
        <v>1.0</v>
      </c>
      <c r="E153" s="10">
        <v>3.0</v>
      </c>
      <c r="F153" s="10">
        <v>2.0</v>
      </c>
      <c r="G153" s="10">
        <v>1.0</v>
      </c>
      <c r="H153" s="12">
        <f t="shared" si="1"/>
        <v>1.576</v>
      </c>
      <c r="I153" s="13">
        <v>3.0</v>
      </c>
      <c r="J153" s="14">
        <f t="shared" si="2"/>
        <v>4.728</v>
      </c>
      <c r="K153" s="15" t="str">
        <f t="shared" si="3"/>
        <v>Media</v>
      </c>
    </row>
    <row r="154" ht="14.25" customHeight="1">
      <c r="A154" s="6" t="s">
        <v>229</v>
      </c>
      <c r="B154" s="27" t="s">
        <v>1341</v>
      </c>
      <c r="C154" s="10">
        <v>1.0</v>
      </c>
      <c r="D154" s="10">
        <v>1.0</v>
      </c>
      <c r="E154" s="10">
        <v>3.0</v>
      </c>
      <c r="F154" s="10">
        <v>3.0</v>
      </c>
      <c r="G154" s="10">
        <v>1.0</v>
      </c>
      <c r="H154" s="12">
        <f t="shared" si="1"/>
        <v>1.672</v>
      </c>
      <c r="I154" s="13">
        <v>3.0</v>
      </c>
      <c r="J154" s="14">
        <f t="shared" si="2"/>
        <v>5.016</v>
      </c>
      <c r="K154" s="15" t="str">
        <f t="shared" si="3"/>
        <v>Media</v>
      </c>
    </row>
    <row r="155" ht="14.25" customHeight="1">
      <c r="A155" s="6" t="s">
        <v>229</v>
      </c>
      <c r="B155" s="27" t="s">
        <v>1345</v>
      </c>
      <c r="C155" s="10">
        <v>1.0</v>
      </c>
      <c r="D155" s="10">
        <v>1.0</v>
      </c>
      <c r="E155" s="10">
        <v>2.0</v>
      </c>
      <c r="F155" s="10">
        <v>1.0</v>
      </c>
      <c r="G155" s="10">
        <v>1.0</v>
      </c>
      <c r="H155" s="12">
        <f t="shared" si="1"/>
        <v>1.24</v>
      </c>
      <c r="I155" s="13">
        <v>3.0</v>
      </c>
      <c r="J155" s="14">
        <f t="shared" si="2"/>
        <v>3.72</v>
      </c>
      <c r="K155" s="15" t="str">
        <f t="shared" si="3"/>
        <v>Baja</v>
      </c>
    </row>
    <row r="156" ht="14.25" customHeight="1">
      <c r="A156" s="6" t="s">
        <v>229</v>
      </c>
      <c r="B156" s="27" t="s">
        <v>1350</v>
      </c>
      <c r="C156" s="10">
        <v>1.0</v>
      </c>
      <c r="D156" s="10">
        <v>1.0</v>
      </c>
      <c r="E156" s="10">
        <v>2.0</v>
      </c>
      <c r="F156" s="10">
        <v>1.0</v>
      </c>
      <c r="G156" s="10">
        <v>1.0</v>
      </c>
      <c r="H156" s="12">
        <f t="shared" si="1"/>
        <v>1.24</v>
      </c>
      <c r="I156" s="13">
        <v>3.0</v>
      </c>
      <c r="J156" s="14">
        <f t="shared" si="2"/>
        <v>3.72</v>
      </c>
      <c r="K156" s="15" t="str">
        <f t="shared" si="3"/>
        <v>Baja</v>
      </c>
    </row>
    <row r="157" ht="14.25" customHeight="1">
      <c r="A157" s="6" t="s">
        <v>229</v>
      </c>
      <c r="B157" s="27" t="s">
        <v>1355</v>
      </c>
      <c r="C157" s="10">
        <v>1.0</v>
      </c>
      <c r="D157" s="10">
        <v>1.0</v>
      </c>
      <c r="E157" s="10">
        <v>3.0</v>
      </c>
      <c r="F157" s="10">
        <v>1.0</v>
      </c>
      <c r="G157" s="10">
        <v>1.0</v>
      </c>
      <c r="H157" s="12">
        <f t="shared" si="1"/>
        <v>1.48</v>
      </c>
      <c r="I157" s="13">
        <v>3.0</v>
      </c>
      <c r="J157" s="14">
        <f t="shared" si="2"/>
        <v>4.44</v>
      </c>
      <c r="K157" s="15" t="str">
        <f t="shared" si="3"/>
        <v>Media</v>
      </c>
    </row>
    <row r="158" ht="14.25" customHeight="1">
      <c r="A158" s="6" t="s">
        <v>229</v>
      </c>
      <c r="B158" s="27" t="s">
        <v>1359</v>
      </c>
      <c r="C158" s="10">
        <v>1.0</v>
      </c>
      <c r="D158" s="10">
        <v>1.0</v>
      </c>
      <c r="E158" s="10">
        <v>3.0</v>
      </c>
      <c r="F158" s="10">
        <v>2.0</v>
      </c>
      <c r="G158" s="10">
        <v>1.0</v>
      </c>
      <c r="H158" s="12">
        <f t="shared" si="1"/>
        <v>1.576</v>
      </c>
      <c r="I158" s="13">
        <v>2.0</v>
      </c>
      <c r="J158" s="14">
        <f t="shared" si="2"/>
        <v>3.152</v>
      </c>
      <c r="K158" s="15" t="str">
        <f t="shared" si="3"/>
        <v>Baja</v>
      </c>
    </row>
    <row r="159" ht="14.25" customHeight="1">
      <c r="A159" s="6" t="s">
        <v>229</v>
      </c>
      <c r="B159" s="27" t="s">
        <v>1362</v>
      </c>
      <c r="C159" s="10">
        <v>1.0</v>
      </c>
      <c r="D159" s="10">
        <v>1.0</v>
      </c>
      <c r="E159" s="10">
        <v>2.0</v>
      </c>
      <c r="F159" s="10">
        <v>1.0</v>
      </c>
      <c r="G159" s="10">
        <v>1.0</v>
      </c>
      <c r="H159" s="12">
        <f t="shared" si="1"/>
        <v>1.24</v>
      </c>
      <c r="I159" s="13">
        <v>3.0</v>
      </c>
      <c r="J159" s="14">
        <f t="shared" si="2"/>
        <v>3.72</v>
      </c>
      <c r="K159" s="15" t="str">
        <f t="shared" si="3"/>
        <v>Baja</v>
      </c>
    </row>
    <row r="160" ht="14.25" customHeight="1">
      <c r="A160" s="6" t="s">
        <v>361</v>
      </c>
      <c r="B160" s="9" t="s">
        <v>1367</v>
      </c>
      <c r="C160" s="10">
        <v>2.0</v>
      </c>
      <c r="D160" s="10">
        <v>1.0</v>
      </c>
      <c r="E160" s="10">
        <v>3.0</v>
      </c>
      <c r="F160" s="10">
        <v>2.0</v>
      </c>
      <c r="G160" s="10">
        <v>1.0</v>
      </c>
      <c r="H160" s="12">
        <f t="shared" si="1"/>
        <v>1.96</v>
      </c>
      <c r="I160" s="13">
        <v>2.0</v>
      </c>
      <c r="J160" s="14">
        <f t="shared" si="2"/>
        <v>3.92</v>
      </c>
      <c r="K160" s="15" t="str">
        <f t="shared" si="3"/>
        <v>Baja</v>
      </c>
    </row>
    <row r="161" ht="14.25" customHeight="1">
      <c r="A161" s="6" t="s">
        <v>361</v>
      </c>
      <c r="B161" s="9" t="s">
        <v>1371</v>
      </c>
      <c r="C161" s="10">
        <v>1.0</v>
      </c>
      <c r="D161" s="10">
        <v>1.0</v>
      </c>
      <c r="E161" s="10">
        <v>3.0</v>
      </c>
      <c r="F161" s="10">
        <v>2.0</v>
      </c>
      <c r="G161" s="10">
        <v>1.0</v>
      </c>
      <c r="H161" s="12">
        <f t="shared" si="1"/>
        <v>1.576</v>
      </c>
      <c r="I161" s="13">
        <v>2.0</v>
      </c>
      <c r="J161" s="14">
        <f t="shared" si="2"/>
        <v>3.152</v>
      </c>
      <c r="K161" s="15" t="str">
        <f t="shared" si="3"/>
        <v>Baja</v>
      </c>
    </row>
    <row r="162" ht="14.25" customHeight="1">
      <c r="A162" s="6" t="s">
        <v>361</v>
      </c>
      <c r="B162" s="9" t="s">
        <v>1375</v>
      </c>
      <c r="C162" s="10">
        <v>1.0</v>
      </c>
      <c r="D162" s="10">
        <v>1.0</v>
      </c>
      <c r="E162" s="10">
        <v>2.0</v>
      </c>
      <c r="F162" s="10">
        <v>1.0</v>
      </c>
      <c r="G162" s="10">
        <v>1.0</v>
      </c>
      <c r="H162" s="12">
        <f t="shared" si="1"/>
        <v>1.24</v>
      </c>
      <c r="I162" s="13">
        <v>3.0</v>
      </c>
      <c r="J162" s="14">
        <f t="shared" si="2"/>
        <v>3.72</v>
      </c>
      <c r="K162" s="15" t="str">
        <f t="shared" si="3"/>
        <v>Baja</v>
      </c>
    </row>
    <row r="163" ht="14.25" customHeight="1">
      <c r="A163" s="6" t="s">
        <v>361</v>
      </c>
      <c r="B163" s="9" t="s">
        <v>1381</v>
      </c>
      <c r="C163" s="10">
        <v>1.0</v>
      </c>
      <c r="D163" s="10">
        <v>1.0</v>
      </c>
      <c r="E163" s="10">
        <v>3.0</v>
      </c>
      <c r="F163" s="10">
        <v>2.0</v>
      </c>
      <c r="G163" s="10">
        <v>1.0</v>
      </c>
      <c r="H163" s="12">
        <f t="shared" si="1"/>
        <v>1.576</v>
      </c>
      <c r="I163" s="13">
        <v>3.0</v>
      </c>
      <c r="J163" s="14">
        <f t="shared" si="2"/>
        <v>4.728</v>
      </c>
      <c r="K163" s="15" t="str">
        <f t="shared" si="3"/>
        <v>Media</v>
      </c>
    </row>
    <row r="164" ht="14.25" customHeight="1">
      <c r="A164" s="6" t="s">
        <v>373</v>
      </c>
      <c r="B164" s="27" t="s">
        <v>999</v>
      </c>
      <c r="C164" s="10">
        <v>2.0</v>
      </c>
      <c r="D164" s="10">
        <v>2.0</v>
      </c>
      <c r="E164" s="10">
        <v>3.0</v>
      </c>
      <c r="F164" s="10">
        <v>3.0</v>
      </c>
      <c r="G164" s="10">
        <v>1.0</v>
      </c>
      <c r="H164" s="12">
        <f t="shared" si="1"/>
        <v>2.236</v>
      </c>
      <c r="I164" s="13">
        <v>2.0</v>
      </c>
      <c r="J164" s="14">
        <f t="shared" si="2"/>
        <v>4.472</v>
      </c>
      <c r="K164" s="15" t="str">
        <f t="shared" si="3"/>
        <v>Media</v>
      </c>
    </row>
    <row r="165" ht="14.25" customHeight="1">
      <c r="A165" s="6" t="s">
        <v>373</v>
      </c>
      <c r="B165" s="27" t="s">
        <v>1005</v>
      </c>
      <c r="C165" s="10">
        <v>2.0</v>
      </c>
      <c r="D165" s="10">
        <v>2.0</v>
      </c>
      <c r="E165" s="10">
        <v>2.0</v>
      </c>
      <c r="F165" s="10">
        <v>3.0</v>
      </c>
      <c r="G165" s="10">
        <v>1.0</v>
      </c>
      <c r="H165" s="12">
        <f t="shared" si="1"/>
        <v>1.996</v>
      </c>
      <c r="I165" s="13">
        <v>1.0</v>
      </c>
      <c r="J165" s="14">
        <f t="shared" si="2"/>
        <v>1.996</v>
      </c>
      <c r="K165" s="15" t="str">
        <f t="shared" si="3"/>
        <v>Baja</v>
      </c>
    </row>
    <row r="166" ht="14.25" customHeight="1">
      <c r="A166" s="6" t="s">
        <v>373</v>
      </c>
      <c r="B166" s="27" t="s">
        <v>1017</v>
      </c>
      <c r="C166" s="10">
        <v>2.0</v>
      </c>
      <c r="D166" s="10">
        <v>2.0</v>
      </c>
      <c r="E166" s="10">
        <v>3.0</v>
      </c>
      <c r="F166" s="10">
        <v>3.0</v>
      </c>
      <c r="G166" s="10">
        <v>1.0</v>
      </c>
      <c r="H166" s="12">
        <f t="shared" si="1"/>
        <v>2.236</v>
      </c>
      <c r="I166" s="13">
        <v>2.0</v>
      </c>
      <c r="J166" s="14">
        <f t="shared" si="2"/>
        <v>4.472</v>
      </c>
      <c r="K166" s="15" t="str">
        <f t="shared" si="3"/>
        <v>Media</v>
      </c>
    </row>
    <row r="167" ht="14.25" customHeight="1">
      <c r="A167" s="6" t="s">
        <v>373</v>
      </c>
      <c r="B167" s="27" t="s">
        <v>727</v>
      </c>
      <c r="C167" s="10">
        <v>1.0</v>
      </c>
      <c r="D167" s="10">
        <v>1.0</v>
      </c>
      <c r="E167" s="10">
        <v>3.0</v>
      </c>
      <c r="F167" s="10">
        <v>3.0</v>
      </c>
      <c r="G167" s="10">
        <v>1.0</v>
      </c>
      <c r="H167" s="12">
        <f t="shared" si="1"/>
        <v>1.672</v>
      </c>
      <c r="I167" s="13">
        <v>2.0</v>
      </c>
      <c r="J167" s="14">
        <f t="shared" si="2"/>
        <v>3.344</v>
      </c>
      <c r="K167" s="15" t="str">
        <f t="shared" si="3"/>
        <v>Baja</v>
      </c>
    </row>
    <row r="168" ht="14.25" customHeight="1">
      <c r="A168" s="6" t="s">
        <v>373</v>
      </c>
      <c r="B168" s="27" t="s">
        <v>1036</v>
      </c>
      <c r="C168" s="10">
        <v>1.0</v>
      </c>
      <c r="D168" s="10">
        <v>1.0</v>
      </c>
      <c r="E168" s="10">
        <v>3.0</v>
      </c>
      <c r="F168" s="10">
        <v>1.0</v>
      </c>
      <c r="G168" s="10">
        <v>1.0</v>
      </c>
      <c r="H168" s="12">
        <f t="shared" si="1"/>
        <v>1.48</v>
      </c>
      <c r="I168" s="13">
        <v>2.0</v>
      </c>
      <c r="J168" s="14">
        <f t="shared" si="2"/>
        <v>2.96</v>
      </c>
      <c r="K168" s="15" t="str">
        <f t="shared" si="3"/>
        <v>Baja</v>
      </c>
    </row>
    <row r="169" ht="14.25" customHeight="1">
      <c r="A169" s="6" t="s">
        <v>373</v>
      </c>
      <c r="B169" s="27" t="s">
        <v>1421</v>
      </c>
      <c r="C169" s="10">
        <v>1.0</v>
      </c>
      <c r="D169" s="10">
        <v>1.0</v>
      </c>
      <c r="E169" s="10">
        <v>2.0</v>
      </c>
      <c r="F169" s="10">
        <v>1.0</v>
      </c>
      <c r="G169" s="10">
        <v>1.0</v>
      </c>
      <c r="H169" s="12">
        <f t="shared" si="1"/>
        <v>1.24</v>
      </c>
      <c r="I169" s="13">
        <v>2.0</v>
      </c>
      <c r="J169" s="14">
        <f t="shared" si="2"/>
        <v>2.48</v>
      </c>
      <c r="K169" s="15" t="str">
        <f t="shared" si="3"/>
        <v>Baja</v>
      </c>
    </row>
    <row r="170" ht="14.25" customHeight="1">
      <c r="A170" s="6" t="s">
        <v>373</v>
      </c>
      <c r="B170" s="27" t="s">
        <v>1426</v>
      </c>
      <c r="C170" s="10">
        <v>1.0</v>
      </c>
      <c r="D170" s="10">
        <v>1.0</v>
      </c>
      <c r="E170" s="10">
        <v>2.0</v>
      </c>
      <c r="F170" s="10">
        <v>1.0</v>
      </c>
      <c r="G170" s="10">
        <v>1.0</v>
      </c>
      <c r="H170" s="12">
        <f t="shared" si="1"/>
        <v>1.24</v>
      </c>
      <c r="I170" s="13">
        <v>3.0</v>
      </c>
      <c r="J170" s="14">
        <f t="shared" si="2"/>
        <v>3.72</v>
      </c>
      <c r="K170" s="15" t="str">
        <f t="shared" si="3"/>
        <v>Baja</v>
      </c>
    </row>
    <row r="171" ht="14.25" customHeight="1">
      <c r="A171" s="6" t="s">
        <v>380</v>
      </c>
      <c r="B171" s="9" t="s">
        <v>999</v>
      </c>
      <c r="C171" s="10">
        <v>2.0</v>
      </c>
      <c r="D171" s="10">
        <v>2.0</v>
      </c>
      <c r="E171" s="10">
        <v>3.0</v>
      </c>
      <c r="F171" s="10">
        <v>3.0</v>
      </c>
      <c r="G171" s="10">
        <v>1.0</v>
      </c>
      <c r="H171" s="12">
        <f t="shared" si="1"/>
        <v>2.236</v>
      </c>
      <c r="I171" s="13">
        <v>2.0</v>
      </c>
      <c r="J171" s="14">
        <f t="shared" si="2"/>
        <v>4.472</v>
      </c>
      <c r="K171" s="15" t="str">
        <f t="shared" si="3"/>
        <v>Media</v>
      </c>
    </row>
    <row r="172" ht="14.25" customHeight="1">
      <c r="A172" s="6" t="s">
        <v>380</v>
      </c>
      <c r="B172" s="9" t="s">
        <v>1005</v>
      </c>
      <c r="C172" s="10">
        <v>2.0</v>
      </c>
      <c r="D172" s="10">
        <v>2.0</v>
      </c>
      <c r="E172" s="10">
        <v>2.0</v>
      </c>
      <c r="F172" s="10">
        <v>3.0</v>
      </c>
      <c r="G172" s="10">
        <v>1.0</v>
      </c>
      <c r="H172" s="12">
        <f t="shared" si="1"/>
        <v>1.996</v>
      </c>
      <c r="I172" s="13">
        <v>1.0</v>
      </c>
      <c r="J172" s="14">
        <f t="shared" si="2"/>
        <v>1.996</v>
      </c>
      <c r="K172" s="15" t="str">
        <f t="shared" si="3"/>
        <v>Baja</v>
      </c>
    </row>
    <row r="173" ht="14.25" customHeight="1">
      <c r="A173" s="6" t="s">
        <v>380</v>
      </c>
      <c r="B173" s="9" t="s">
        <v>1017</v>
      </c>
      <c r="C173" s="10">
        <v>2.0</v>
      </c>
      <c r="D173" s="10">
        <v>2.0</v>
      </c>
      <c r="E173" s="10">
        <v>3.0</v>
      </c>
      <c r="F173" s="10">
        <v>3.0</v>
      </c>
      <c r="G173" s="10">
        <v>1.0</v>
      </c>
      <c r="H173" s="12">
        <f t="shared" si="1"/>
        <v>2.236</v>
      </c>
      <c r="I173" s="13">
        <v>2.0</v>
      </c>
      <c r="J173" s="14">
        <f t="shared" si="2"/>
        <v>4.472</v>
      </c>
      <c r="K173" s="15" t="str">
        <f t="shared" si="3"/>
        <v>Media</v>
      </c>
    </row>
    <row r="174" ht="14.25" customHeight="1">
      <c r="A174" s="6" t="s">
        <v>380</v>
      </c>
      <c r="B174" s="9" t="s">
        <v>727</v>
      </c>
      <c r="C174" s="10">
        <v>1.0</v>
      </c>
      <c r="D174" s="10">
        <v>1.0</v>
      </c>
      <c r="E174" s="10">
        <v>3.0</v>
      </c>
      <c r="F174" s="10">
        <v>3.0</v>
      </c>
      <c r="G174" s="10">
        <v>1.0</v>
      </c>
      <c r="H174" s="12">
        <f t="shared" si="1"/>
        <v>1.672</v>
      </c>
      <c r="I174" s="13">
        <v>2.0</v>
      </c>
      <c r="J174" s="14">
        <f t="shared" si="2"/>
        <v>3.344</v>
      </c>
      <c r="K174" s="15" t="str">
        <f t="shared" si="3"/>
        <v>Baja</v>
      </c>
    </row>
    <row r="175" ht="14.25" customHeight="1">
      <c r="A175" s="6" t="s">
        <v>380</v>
      </c>
      <c r="B175" s="9" t="s">
        <v>1031</v>
      </c>
      <c r="C175" s="10">
        <v>1.0</v>
      </c>
      <c r="D175" s="10">
        <v>1.0</v>
      </c>
      <c r="E175" s="10">
        <v>2.0</v>
      </c>
      <c r="F175" s="10">
        <v>1.0</v>
      </c>
      <c r="G175" s="10">
        <v>1.0</v>
      </c>
      <c r="H175" s="12">
        <f t="shared" si="1"/>
        <v>1.24</v>
      </c>
      <c r="I175" s="13">
        <v>3.0</v>
      </c>
      <c r="J175" s="14">
        <f t="shared" si="2"/>
        <v>3.72</v>
      </c>
      <c r="K175" s="15" t="str">
        <f t="shared" si="3"/>
        <v>Baja</v>
      </c>
    </row>
    <row r="176" ht="14.25" customHeight="1">
      <c r="A176" s="6" t="s">
        <v>380</v>
      </c>
      <c r="B176" s="9" t="s">
        <v>1036</v>
      </c>
      <c r="C176" s="10">
        <v>1.0</v>
      </c>
      <c r="D176" s="10">
        <v>1.0</v>
      </c>
      <c r="E176" s="10">
        <v>3.0</v>
      </c>
      <c r="F176" s="10">
        <v>1.0</v>
      </c>
      <c r="G176" s="10">
        <v>1.0</v>
      </c>
      <c r="H176" s="12">
        <f t="shared" si="1"/>
        <v>1.48</v>
      </c>
      <c r="I176" s="13">
        <v>2.0</v>
      </c>
      <c r="J176" s="14">
        <f t="shared" si="2"/>
        <v>2.96</v>
      </c>
      <c r="K176" s="15" t="str">
        <f t="shared" si="3"/>
        <v>Baja</v>
      </c>
    </row>
    <row r="177" ht="14.25" customHeight="1">
      <c r="A177" s="6" t="s">
        <v>380</v>
      </c>
      <c r="B177" s="9" t="s">
        <v>1041</v>
      </c>
      <c r="C177" s="10">
        <v>1.0</v>
      </c>
      <c r="D177" s="10">
        <v>1.0</v>
      </c>
      <c r="E177" s="10">
        <v>2.0</v>
      </c>
      <c r="F177" s="10">
        <v>1.0</v>
      </c>
      <c r="G177" s="10">
        <v>1.0</v>
      </c>
      <c r="H177" s="12">
        <f t="shared" si="1"/>
        <v>1.24</v>
      </c>
      <c r="I177" s="13">
        <v>2.0</v>
      </c>
      <c r="J177" s="14">
        <f t="shared" si="2"/>
        <v>2.48</v>
      </c>
      <c r="K177" s="15" t="str">
        <f t="shared" si="3"/>
        <v>Baja</v>
      </c>
    </row>
    <row r="178" ht="14.25" customHeight="1">
      <c r="A178" s="6" t="s">
        <v>380</v>
      </c>
      <c r="B178" s="9" t="s">
        <v>1047</v>
      </c>
      <c r="C178" s="10">
        <v>1.0</v>
      </c>
      <c r="D178" s="10">
        <v>1.0</v>
      </c>
      <c r="E178" s="10">
        <v>2.0</v>
      </c>
      <c r="F178" s="10">
        <v>1.0</v>
      </c>
      <c r="G178" s="10">
        <v>1.0</v>
      </c>
      <c r="H178" s="12">
        <f t="shared" si="1"/>
        <v>1.24</v>
      </c>
      <c r="I178" s="13">
        <v>3.0</v>
      </c>
      <c r="J178" s="14">
        <f t="shared" si="2"/>
        <v>3.72</v>
      </c>
      <c r="K178" s="15" t="str">
        <f t="shared" si="3"/>
        <v>Baja</v>
      </c>
    </row>
    <row r="179" ht="14.25" customHeight="1">
      <c r="A179" s="6" t="s">
        <v>389</v>
      </c>
      <c r="B179" s="27" t="s">
        <v>820</v>
      </c>
      <c r="C179" s="10">
        <v>2.0</v>
      </c>
      <c r="D179" s="10">
        <v>1.0</v>
      </c>
      <c r="E179" s="10">
        <v>2.0</v>
      </c>
      <c r="F179" s="10">
        <v>1.0</v>
      </c>
      <c r="G179" s="10">
        <v>1.0</v>
      </c>
      <c r="H179" s="12">
        <f t="shared" si="1"/>
        <v>1.624</v>
      </c>
      <c r="I179" s="13">
        <v>3.0</v>
      </c>
      <c r="J179" s="14">
        <f t="shared" si="2"/>
        <v>4.872</v>
      </c>
      <c r="K179" s="15" t="str">
        <f t="shared" si="3"/>
        <v>Media</v>
      </c>
    </row>
    <row r="180" ht="14.25" customHeight="1">
      <c r="A180" s="6" t="s">
        <v>389</v>
      </c>
      <c r="B180" s="27" t="s">
        <v>1458</v>
      </c>
      <c r="C180" s="10">
        <v>2.0</v>
      </c>
      <c r="D180" s="10">
        <v>1.0</v>
      </c>
      <c r="E180" s="10">
        <v>2.0</v>
      </c>
      <c r="F180" s="10">
        <v>1.0</v>
      </c>
      <c r="G180" s="10">
        <v>1.0</v>
      </c>
      <c r="H180" s="12">
        <f t="shared" si="1"/>
        <v>1.624</v>
      </c>
      <c r="I180" s="13">
        <v>3.0</v>
      </c>
      <c r="J180" s="14">
        <f t="shared" si="2"/>
        <v>4.872</v>
      </c>
      <c r="K180" s="15" t="str">
        <f t="shared" si="3"/>
        <v>Media</v>
      </c>
    </row>
    <row r="181" ht="14.25" customHeight="1">
      <c r="A181" s="6" t="s">
        <v>389</v>
      </c>
      <c r="B181" s="27" t="s">
        <v>836</v>
      </c>
      <c r="C181" s="10">
        <v>1.0</v>
      </c>
      <c r="D181" s="10">
        <v>1.0</v>
      </c>
      <c r="E181" s="10">
        <v>2.0</v>
      </c>
      <c r="F181" s="10">
        <v>1.0</v>
      </c>
      <c r="G181" s="10">
        <v>1.0</v>
      </c>
      <c r="H181" s="12">
        <f t="shared" si="1"/>
        <v>1.24</v>
      </c>
      <c r="I181" s="13">
        <v>2.0</v>
      </c>
      <c r="J181" s="14">
        <f t="shared" si="2"/>
        <v>2.48</v>
      </c>
      <c r="K181" s="15" t="str">
        <f t="shared" si="3"/>
        <v>Baja</v>
      </c>
    </row>
    <row r="182" ht="14.25" customHeight="1">
      <c r="A182" s="6" t="s">
        <v>389</v>
      </c>
      <c r="B182" s="27" t="s">
        <v>842</v>
      </c>
      <c r="C182" s="10">
        <v>1.0</v>
      </c>
      <c r="D182" s="10">
        <v>1.0</v>
      </c>
      <c r="E182" s="10">
        <v>2.0</v>
      </c>
      <c r="F182" s="10">
        <v>1.0</v>
      </c>
      <c r="G182" s="10">
        <v>1.0</v>
      </c>
      <c r="H182" s="12">
        <f t="shared" si="1"/>
        <v>1.24</v>
      </c>
      <c r="I182" s="13">
        <v>3.0</v>
      </c>
      <c r="J182" s="14">
        <f t="shared" si="2"/>
        <v>3.72</v>
      </c>
      <c r="K182" s="15" t="str">
        <f t="shared" si="3"/>
        <v>Baja</v>
      </c>
    </row>
    <row r="183" ht="14.25" customHeight="1">
      <c r="A183" s="6" t="s">
        <v>396</v>
      </c>
      <c r="B183" s="9" t="s">
        <v>854</v>
      </c>
      <c r="C183" s="10">
        <v>1.0</v>
      </c>
      <c r="D183" s="10">
        <v>2.0</v>
      </c>
      <c r="E183" s="10">
        <v>3.0</v>
      </c>
      <c r="F183" s="10">
        <v>2.0</v>
      </c>
      <c r="G183" s="10">
        <v>1.0</v>
      </c>
      <c r="H183" s="12">
        <f t="shared" si="1"/>
        <v>1.756</v>
      </c>
      <c r="I183" s="13">
        <v>3.0</v>
      </c>
      <c r="J183" s="14">
        <f t="shared" si="2"/>
        <v>5.268</v>
      </c>
      <c r="K183" s="15" t="str">
        <f t="shared" si="3"/>
        <v>Media</v>
      </c>
    </row>
    <row r="184" ht="14.25" customHeight="1">
      <c r="A184" s="6" t="s">
        <v>396</v>
      </c>
      <c r="B184" s="9" t="s">
        <v>855</v>
      </c>
      <c r="C184" s="10">
        <v>1.0</v>
      </c>
      <c r="D184" s="10">
        <v>2.0</v>
      </c>
      <c r="E184" s="10">
        <v>3.0</v>
      </c>
      <c r="F184" s="10">
        <v>2.0</v>
      </c>
      <c r="G184" s="10">
        <v>1.0</v>
      </c>
      <c r="H184" s="12">
        <f t="shared" si="1"/>
        <v>1.756</v>
      </c>
      <c r="I184" s="13">
        <v>2.0</v>
      </c>
      <c r="J184" s="14">
        <f t="shared" si="2"/>
        <v>3.512</v>
      </c>
      <c r="K184" s="15" t="str">
        <f t="shared" si="3"/>
        <v>Baja</v>
      </c>
    </row>
    <row r="185" ht="14.25" customHeight="1">
      <c r="A185" s="6" t="s">
        <v>396</v>
      </c>
      <c r="B185" s="9" t="s">
        <v>865</v>
      </c>
      <c r="C185" s="10">
        <v>1.0</v>
      </c>
      <c r="D185" s="10">
        <v>2.0</v>
      </c>
      <c r="E185" s="10">
        <v>2.0</v>
      </c>
      <c r="F185" s="10">
        <v>1.0</v>
      </c>
      <c r="G185" s="10">
        <v>1.0</v>
      </c>
      <c r="H185" s="12">
        <f t="shared" si="1"/>
        <v>1.42</v>
      </c>
      <c r="I185" s="13">
        <v>3.0</v>
      </c>
      <c r="J185" s="14">
        <f t="shared" si="2"/>
        <v>4.26</v>
      </c>
      <c r="K185" s="15" t="str">
        <f t="shared" si="3"/>
        <v>Media</v>
      </c>
    </row>
    <row r="186" ht="14.25" customHeight="1">
      <c r="A186" s="6" t="s">
        <v>396</v>
      </c>
      <c r="B186" s="9" t="s">
        <v>874</v>
      </c>
      <c r="C186" s="10">
        <v>1.0</v>
      </c>
      <c r="D186" s="10">
        <v>1.0</v>
      </c>
      <c r="E186" s="10">
        <v>3.0</v>
      </c>
      <c r="F186" s="10">
        <v>2.0</v>
      </c>
      <c r="G186" s="10">
        <v>1.0</v>
      </c>
      <c r="H186" s="12">
        <f t="shared" si="1"/>
        <v>1.576</v>
      </c>
      <c r="I186" s="13">
        <v>2.0</v>
      </c>
      <c r="J186" s="14">
        <f t="shared" si="2"/>
        <v>3.152</v>
      </c>
      <c r="K186" s="15" t="str">
        <f t="shared" si="3"/>
        <v>Baja</v>
      </c>
    </row>
    <row r="187" ht="14.25" customHeight="1">
      <c r="A187" s="6" t="s">
        <v>396</v>
      </c>
      <c r="B187" s="9" t="s">
        <v>882</v>
      </c>
      <c r="C187" s="10">
        <v>1.0</v>
      </c>
      <c r="D187" s="10">
        <v>1.0</v>
      </c>
      <c r="E187" s="10">
        <v>2.0</v>
      </c>
      <c r="F187" s="10">
        <v>1.0</v>
      </c>
      <c r="G187" s="10">
        <v>1.0</v>
      </c>
      <c r="H187" s="12">
        <f t="shared" si="1"/>
        <v>1.24</v>
      </c>
      <c r="I187" s="13">
        <v>3.0</v>
      </c>
      <c r="J187" s="14">
        <f t="shared" si="2"/>
        <v>3.72</v>
      </c>
      <c r="K187" s="15" t="str">
        <f t="shared" si="3"/>
        <v>Baja</v>
      </c>
    </row>
    <row r="188" ht="14.25" customHeight="1">
      <c r="A188" s="6" t="s">
        <v>396</v>
      </c>
      <c r="B188" s="9" t="s">
        <v>887</v>
      </c>
      <c r="C188" s="10">
        <v>1.0</v>
      </c>
      <c r="D188" s="10">
        <v>1.0</v>
      </c>
      <c r="E188" s="10">
        <v>2.0</v>
      </c>
      <c r="F188" s="10">
        <v>1.0</v>
      </c>
      <c r="G188" s="10">
        <v>1.0</v>
      </c>
      <c r="H188" s="12">
        <f t="shared" si="1"/>
        <v>1.24</v>
      </c>
      <c r="I188" s="13">
        <v>3.0</v>
      </c>
      <c r="J188" s="14">
        <f t="shared" si="2"/>
        <v>3.72</v>
      </c>
      <c r="K188" s="15" t="str">
        <f t="shared" si="3"/>
        <v>Baja</v>
      </c>
    </row>
    <row r="189" ht="14.25" customHeight="1">
      <c r="A189" s="6" t="s">
        <v>396</v>
      </c>
      <c r="B189" s="9" t="s">
        <v>898</v>
      </c>
      <c r="C189" s="10">
        <v>1.0</v>
      </c>
      <c r="D189" s="10">
        <v>1.0</v>
      </c>
      <c r="E189" s="10">
        <v>3.0</v>
      </c>
      <c r="F189" s="10">
        <v>2.0</v>
      </c>
      <c r="G189" s="10">
        <v>1.0</v>
      </c>
      <c r="H189" s="12">
        <f t="shared" si="1"/>
        <v>1.576</v>
      </c>
      <c r="I189" s="13">
        <v>3.0</v>
      </c>
      <c r="J189" s="14">
        <f t="shared" si="2"/>
        <v>4.728</v>
      </c>
      <c r="K189" s="15" t="str">
        <f t="shared" si="3"/>
        <v>Media</v>
      </c>
    </row>
    <row r="190" ht="14.25" customHeight="1">
      <c r="A190" s="6" t="s">
        <v>396</v>
      </c>
      <c r="B190" s="9" t="s">
        <v>902</v>
      </c>
      <c r="C190" s="10">
        <v>1.0</v>
      </c>
      <c r="D190" s="10">
        <v>1.0</v>
      </c>
      <c r="E190" s="10">
        <v>2.0</v>
      </c>
      <c r="F190" s="10">
        <v>1.0</v>
      </c>
      <c r="G190" s="10">
        <v>1.0</v>
      </c>
      <c r="H190" s="12">
        <f t="shared" si="1"/>
        <v>1.24</v>
      </c>
      <c r="I190" s="13">
        <v>3.0</v>
      </c>
      <c r="J190" s="14">
        <f t="shared" si="2"/>
        <v>3.72</v>
      </c>
      <c r="K190" s="15" t="str">
        <f t="shared" si="3"/>
        <v>Baja</v>
      </c>
    </row>
    <row r="191" ht="14.25" customHeight="1">
      <c r="A191" s="6" t="s">
        <v>408</v>
      </c>
      <c r="B191" s="27" t="s">
        <v>1515</v>
      </c>
      <c r="C191" s="10">
        <v>1.0</v>
      </c>
      <c r="D191" s="10">
        <v>2.0</v>
      </c>
      <c r="E191" s="10">
        <v>3.0</v>
      </c>
      <c r="F191" s="10">
        <v>1.0</v>
      </c>
      <c r="G191" s="10">
        <v>1.0</v>
      </c>
      <c r="H191" s="12">
        <f t="shared" si="1"/>
        <v>1.66</v>
      </c>
      <c r="I191" s="13">
        <v>1.0</v>
      </c>
      <c r="J191" s="14">
        <f t="shared" si="2"/>
        <v>1.66</v>
      </c>
      <c r="K191" s="15" t="str">
        <f t="shared" si="3"/>
        <v>Baja</v>
      </c>
    </row>
    <row r="192" ht="14.25" customHeight="1">
      <c r="A192" s="6" t="s">
        <v>408</v>
      </c>
      <c r="B192" s="27" t="s">
        <v>1519</v>
      </c>
      <c r="C192" s="10">
        <v>1.0</v>
      </c>
      <c r="D192" s="10">
        <v>1.0</v>
      </c>
      <c r="E192" s="10">
        <v>3.0</v>
      </c>
      <c r="F192" s="10">
        <v>1.0</v>
      </c>
      <c r="G192" s="10">
        <v>1.0</v>
      </c>
      <c r="H192" s="12">
        <f t="shared" si="1"/>
        <v>1.48</v>
      </c>
      <c r="I192" s="13">
        <v>1.0</v>
      </c>
      <c r="J192" s="14">
        <f t="shared" si="2"/>
        <v>1.48</v>
      </c>
      <c r="K192" s="15" t="str">
        <f t="shared" si="3"/>
        <v>Baja</v>
      </c>
    </row>
    <row r="193" ht="14.25" customHeight="1">
      <c r="A193" s="6" t="s">
        <v>408</v>
      </c>
      <c r="B193" s="27" t="s">
        <v>1524</v>
      </c>
      <c r="C193" s="10">
        <v>1.0</v>
      </c>
      <c r="D193" s="10">
        <v>1.0</v>
      </c>
      <c r="E193" s="10">
        <v>3.0</v>
      </c>
      <c r="F193" s="10">
        <v>2.0</v>
      </c>
      <c r="G193" s="10">
        <v>1.0</v>
      </c>
      <c r="H193" s="12">
        <f t="shared" si="1"/>
        <v>1.576</v>
      </c>
      <c r="I193" s="13">
        <v>3.0</v>
      </c>
      <c r="J193" s="14">
        <f t="shared" si="2"/>
        <v>4.728</v>
      </c>
      <c r="K193" s="15" t="str">
        <f t="shared" si="3"/>
        <v>Media</v>
      </c>
    </row>
    <row r="194" ht="14.25" customHeight="1">
      <c r="A194" s="6" t="s">
        <v>420</v>
      </c>
      <c r="B194" s="9" t="s">
        <v>1529</v>
      </c>
      <c r="C194" s="10">
        <v>1.0</v>
      </c>
      <c r="D194" s="10">
        <v>2.0</v>
      </c>
      <c r="E194" s="10">
        <v>3.0</v>
      </c>
      <c r="F194" s="10">
        <v>1.0</v>
      </c>
      <c r="G194" s="10">
        <v>1.0</v>
      </c>
      <c r="H194" s="12">
        <f t="shared" si="1"/>
        <v>1.66</v>
      </c>
      <c r="I194" s="13">
        <v>2.0</v>
      </c>
      <c r="J194" s="14">
        <f t="shared" si="2"/>
        <v>3.32</v>
      </c>
      <c r="K194" s="15" t="str">
        <f t="shared" si="3"/>
        <v>Baja</v>
      </c>
    </row>
    <row r="195" ht="14.25" customHeight="1">
      <c r="A195" s="6" t="s">
        <v>420</v>
      </c>
      <c r="B195" s="9" t="s">
        <v>1536</v>
      </c>
      <c r="C195" s="10">
        <v>1.0</v>
      </c>
      <c r="D195" s="10">
        <v>1.0</v>
      </c>
      <c r="E195" s="10">
        <v>3.0</v>
      </c>
      <c r="F195" s="10">
        <v>1.0</v>
      </c>
      <c r="G195" s="10">
        <v>1.0</v>
      </c>
      <c r="H195" s="12">
        <f t="shared" si="1"/>
        <v>1.48</v>
      </c>
      <c r="I195" s="13">
        <v>3.0</v>
      </c>
      <c r="J195" s="14">
        <f t="shared" si="2"/>
        <v>4.44</v>
      </c>
      <c r="K195" s="15" t="str">
        <f t="shared" si="3"/>
        <v>Media</v>
      </c>
    </row>
    <row r="196" ht="14.25" customHeight="1">
      <c r="A196" s="6" t="s">
        <v>420</v>
      </c>
      <c r="B196" s="9" t="s">
        <v>1537</v>
      </c>
      <c r="C196" s="10">
        <v>1.0</v>
      </c>
      <c r="D196" s="10">
        <v>1.0</v>
      </c>
      <c r="E196" s="10">
        <v>2.0</v>
      </c>
      <c r="F196" s="10">
        <v>1.0</v>
      </c>
      <c r="G196" s="10">
        <v>1.0</v>
      </c>
      <c r="H196" s="12">
        <f t="shared" si="1"/>
        <v>1.24</v>
      </c>
      <c r="I196" s="13">
        <v>3.0</v>
      </c>
      <c r="J196" s="14">
        <f t="shared" si="2"/>
        <v>3.72</v>
      </c>
      <c r="K196" s="15" t="str">
        <f t="shared" si="3"/>
        <v>Baja</v>
      </c>
    </row>
    <row r="197" ht="14.25" customHeight="1">
      <c r="A197" s="6" t="s">
        <v>427</v>
      </c>
      <c r="B197" s="27" t="s">
        <v>1538</v>
      </c>
      <c r="C197" s="10">
        <v>1.0</v>
      </c>
      <c r="D197" s="10">
        <v>2.0</v>
      </c>
      <c r="E197" s="10">
        <v>3.0</v>
      </c>
      <c r="F197" s="10">
        <v>4.0</v>
      </c>
      <c r="G197" s="10">
        <v>1.0</v>
      </c>
      <c r="H197" s="12">
        <f t="shared" si="1"/>
        <v>1.948</v>
      </c>
      <c r="I197" s="13">
        <v>2.0</v>
      </c>
      <c r="J197" s="14">
        <f t="shared" si="2"/>
        <v>3.896</v>
      </c>
      <c r="K197" s="15" t="str">
        <f t="shared" si="3"/>
        <v>Baja</v>
      </c>
    </row>
    <row r="198" ht="14.25" customHeight="1">
      <c r="A198" s="6" t="s">
        <v>427</v>
      </c>
      <c r="B198" s="27" t="s">
        <v>1540</v>
      </c>
      <c r="C198" s="10">
        <v>1.0</v>
      </c>
      <c r="D198" s="10">
        <v>2.0</v>
      </c>
      <c r="E198" s="10">
        <v>2.0</v>
      </c>
      <c r="F198" s="10">
        <v>1.0</v>
      </c>
      <c r="G198" s="10">
        <v>1.0</v>
      </c>
      <c r="H198" s="12">
        <f t="shared" si="1"/>
        <v>1.42</v>
      </c>
      <c r="I198" s="13">
        <v>2.0</v>
      </c>
      <c r="J198" s="14">
        <f t="shared" si="2"/>
        <v>2.84</v>
      </c>
      <c r="K198" s="15" t="str">
        <f t="shared" si="3"/>
        <v>Baja</v>
      </c>
    </row>
    <row r="199" ht="14.25" customHeight="1">
      <c r="A199" s="6" t="s">
        <v>427</v>
      </c>
      <c r="B199" s="27" t="s">
        <v>1541</v>
      </c>
      <c r="C199" s="10">
        <v>1.0</v>
      </c>
      <c r="D199" s="10">
        <v>2.0</v>
      </c>
      <c r="E199" s="10">
        <v>2.0</v>
      </c>
      <c r="F199" s="10">
        <v>1.0</v>
      </c>
      <c r="G199" s="10">
        <v>1.0</v>
      </c>
      <c r="H199" s="12">
        <f t="shared" si="1"/>
        <v>1.42</v>
      </c>
      <c r="I199" s="13">
        <v>2.0</v>
      </c>
      <c r="J199" s="14">
        <f t="shared" si="2"/>
        <v>2.84</v>
      </c>
      <c r="K199" s="15" t="str">
        <f t="shared" si="3"/>
        <v>Baja</v>
      </c>
    </row>
    <row r="200" ht="14.25" customHeight="1">
      <c r="A200" s="6" t="s">
        <v>427</v>
      </c>
      <c r="B200" s="27" t="s">
        <v>1542</v>
      </c>
      <c r="C200" s="10">
        <v>1.0</v>
      </c>
      <c r="D200" s="10">
        <v>1.0</v>
      </c>
      <c r="E200" s="10">
        <v>2.0</v>
      </c>
      <c r="F200" s="10">
        <v>1.0</v>
      </c>
      <c r="G200" s="10">
        <v>1.0</v>
      </c>
      <c r="H200" s="12">
        <f t="shared" si="1"/>
        <v>1.24</v>
      </c>
      <c r="I200" s="13">
        <v>3.0</v>
      </c>
      <c r="J200" s="14">
        <f t="shared" si="2"/>
        <v>3.72</v>
      </c>
      <c r="K200" s="15" t="str">
        <f t="shared" si="3"/>
        <v>Baja</v>
      </c>
    </row>
    <row r="201" ht="14.25" customHeight="1">
      <c r="A201" s="6" t="s">
        <v>427</v>
      </c>
      <c r="B201" s="27" t="s">
        <v>1544</v>
      </c>
      <c r="C201" s="10">
        <v>1.0</v>
      </c>
      <c r="D201" s="10">
        <v>1.0</v>
      </c>
      <c r="E201" s="10">
        <v>2.0</v>
      </c>
      <c r="F201" s="10">
        <v>1.0</v>
      </c>
      <c r="G201" s="10">
        <v>1.0</v>
      </c>
      <c r="H201" s="12">
        <f t="shared" si="1"/>
        <v>1.24</v>
      </c>
      <c r="I201" s="13">
        <v>3.0</v>
      </c>
      <c r="J201" s="14">
        <f t="shared" si="2"/>
        <v>3.72</v>
      </c>
      <c r="K201" s="15" t="str">
        <f t="shared" si="3"/>
        <v>Baja</v>
      </c>
    </row>
    <row r="202" ht="14.25" customHeight="1">
      <c r="A202" s="6" t="s">
        <v>347</v>
      </c>
      <c r="B202" s="9" t="s">
        <v>971</v>
      </c>
      <c r="C202" s="10">
        <v>2.0</v>
      </c>
      <c r="D202" s="10">
        <v>1.0</v>
      </c>
      <c r="E202" s="10">
        <v>3.0</v>
      </c>
      <c r="F202" s="10">
        <v>2.0</v>
      </c>
      <c r="G202" s="10">
        <v>1.0</v>
      </c>
      <c r="H202" s="12">
        <f t="shared" si="1"/>
        <v>1.96</v>
      </c>
      <c r="I202" s="13">
        <v>2.0</v>
      </c>
      <c r="J202" s="14">
        <f t="shared" si="2"/>
        <v>3.92</v>
      </c>
      <c r="K202" s="15" t="str">
        <f t="shared" si="3"/>
        <v>Baja</v>
      </c>
    </row>
    <row r="203" ht="14.25" customHeight="1">
      <c r="A203" s="6" t="s">
        <v>347</v>
      </c>
      <c r="B203" s="9" t="s">
        <v>974</v>
      </c>
      <c r="C203" s="10">
        <v>2.0</v>
      </c>
      <c r="D203" s="10">
        <v>1.0</v>
      </c>
      <c r="E203" s="10">
        <v>3.0</v>
      </c>
      <c r="F203" s="10">
        <v>2.0</v>
      </c>
      <c r="G203" s="10">
        <v>1.0</v>
      </c>
      <c r="H203" s="12">
        <f t="shared" si="1"/>
        <v>1.96</v>
      </c>
      <c r="I203" s="13">
        <v>1.0</v>
      </c>
      <c r="J203" s="14">
        <f t="shared" si="2"/>
        <v>1.96</v>
      </c>
      <c r="K203" s="15" t="str">
        <f t="shared" si="3"/>
        <v>Baja</v>
      </c>
    </row>
    <row r="204" ht="14.25" customHeight="1">
      <c r="A204" s="6" t="s">
        <v>347</v>
      </c>
      <c r="B204" s="9" t="s">
        <v>976</v>
      </c>
      <c r="C204" s="10">
        <v>2.0</v>
      </c>
      <c r="D204" s="10">
        <v>1.0</v>
      </c>
      <c r="E204" s="10">
        <v>2.0</v>
      </c>
      <c r="F204" s="10">
        <v>1.0</v>
      </c>
      <c r="G204" s="10">
        <v>1.0</v>
      </c>
      <c r="H204" s="12">
        <f t="shared" si="1"/>
        <v>1.624</v>
      </c>
      <c r="I204" s="13">
        <v>2.0</v>
      </c>
      <c r="J204" s="14">
        <f t="shared" si="2"/>
        <v>3.248</v>
      </c>
      <c r="K204" s="15" t="str">
        <f t="shared" si="3"/>
        <v>Baja</v>
      </c>
    </row>
    <row r="205" ht="14.25" customHeight="1">
      <c r="A205" s="6" t="s">
        <v>347</v>
      </c>
      <c r="B205" s="9" t="s">
        <v>982</v>
      </c>
      <c r="C205" s="10">
        <v>1.0</v>
      </c>
      <c r="D205" s="10">
        <v>1.0</v>
      </c>
      <c r="E205" s="10">
        <v>2.0</v>
      </c>
      <c r="F205" s="10">
        <v>2.0</v>
      </c>
      <c r="G205" s="10">
        <v>1.0</v>
      </c>
      <c r="H205" s="12">
        <f t="shared" si="1"/>
        <v>1.336</v>
      </c>
      <c r="I205" s="13">
        <v>2.0</v>
      </c>
      <c r="J205" s="14">
        <f t="shared" si="2"/>
        <v>2.672</v>
      </c>
      <c r="K205" s="15" t="str">
        <f t="shared" si="3"/>
        <v>Baja</v>
      </c>
    </row>
    <row r="206" ht="14.25" customHeight="1">
      <c r="A206" s="6" t="s">
        <v>347</v>
      </c>
      <c r="B206" s="9" t="s">
        <v>990</v>
      </c>
      <c r="C206" s="10">
        <v>1.0</v>
      </c>
      <c r="D206" s="10">
        <v>1.0</v>
      </c>
      <c r="E206" s="10">
        <v>2.0</v>
      </c>
      <c r="F206" s="10">
        <v>2.0</v>
      </c>
      <c r="G206" s="10">
        <v>1.0</v>
      </c>
      <c r="H206" s="12">
        <f t="shared" si="1"/>
        <v>1.336</v>
      </c>
      <c r="I206" s="13">
        <v>3.0</v>
      </c>
      <c r="J206" s="14">
        <f t="shared" si="2"/>
        <v>4.008</v>
      </c>
      <c r="K206" s="15" t="str">
        <f t="shared" si="3"/>
        <v>Media</v>
      </c>
    </row>
    <row r="207" ht="14.25" customHeight="1">
      <c r="A207" s="6" t="s">
        <v>371</v>
      </c>
      <c r="B207" s="27" t="s">
        <v>1570</v>
      </c>
      <c r="C207" s="10">
        <v>1.0</v>
      </c>
      <c r="D207" s="10">
        <v>1.0</v>
      </c>
      <c r="E207" s="10">
        <v>3.0</v>
      </c>
      <c r="F207" s="10">
        <v>3.0</v>
      </c>
      <c r="G207" s="10">
        <v>1.0</v>
      </c>
      <c r="H207" s="12">
        <f t="shared" si="1"/>
        <v>1.672</v>
      </c>
      <c r="I207" s="13">
        <v>3.0</v>
      </c>
      <c r="J207" s="14">
        <f t="shared" si="2"/>
        <v>5.016</v>
      </c>
      <c r="K207" s="15" t="str">
        <f t="shared" si="3"/>
        <v>Media</v>
      </c>
    </row>
    <row r="208" ht="14.25" customHeight="1">
      <c r="A208" s="6" t="s">
        <v>371</v>
      </c>
      <c r="B208" s="27" t="s">
        <v>1576</v>
      </c>
      <c r="C208" s="10">
        <v>1.0</v>
      </c>
      <c r="D208" s="10">
        <v>1.0</v>
      </c>
      <c r="E208" s="10">
        <v>2.0</v>
      </c>
      <c r="F208" s="10">
        <v>3.0</v>
      </c>
      <c r="G208" s="10">
        <v>1.0</v>
      </c>
      <c r="H208" s="12">
        <f t="shared" si="1"/>
        <v>1.432</v>
      </c>
      <c r="I208" s="13">
        <v>1.0</v>
      </c>
      <c r="J208" s="14">
        <f t="shared" si="2"/>
        <v>1.432</v>
      </c>
      <c r="K208" s="15" t="str">
        <f t="shared" si="3"/>
        <v>Baja</v>
      </c>
    </row>
    <row r="209" ht="14.25" customHeight="1">
      <c r="A209" s="6" t="s">
        <v>371</v>
      </c>
      <c r="B209" s="27" t="s">
        <v>1585</v>
      </c>
      <c r="C209" s="10">
        <v>1.0</v>
      </c>
      <c r="D209" s="10">
        <v>1.0</v>
      </c>
      <c r="E209" s="10">
        <v>3.0</v>
      </c>
      <c r="F209" s="10">
        <v>3.0</v>
      </c>
      <c r="G209" s="10">
        <v>1.0</v>
      </c>
      <c r="H209" s="12">
        <f t="shared" si="1"/>
        <v>1.672</v>
      </c>
      <c r="I209" s="13">
        <v>2.0</v>
      </c>
      <c r="J209" s="14">
        <f t="shared" si="2"/>
        <v>3.344</v>
      </c>
      <c r="K209" s="15" t="str">
        <f t="shared" si="3"/>
        <v>Baja</v>
      </c>
    </row>
    <row r="210" ht="14.25" customHeight="1">
      <c r="A210" s="6" t="s">
        <v>371</v>
      </c>
      <c r="B210" s="27" t="s">
        <v>1590</v>
      </c>
      <c r="C210" s="10">
        <v>1.0</v>
      </c>
      <c r="D210" s="10">
        <v>1.0</v>
      </c>
      <c r="E210" s="10">
        <v>3.0</v>
      </c>
      <c r="F210" s="10">
        <v>3.0</v>
      </c>
      <c r="G210" s="10">
        <v>1.0</v>
      </c>
      <c r="H210" s="12">
        <f t="shared" si="1"/>
        <v>1.672</v>
      </c>
      <c r="I210" s="13">
        <v>2.0</v>
      </c>
      <c r="J210" s="14">
        <f t="shared" si="2"/>
        <v>3.344</v>
      </c>
      <c r="K210" s="15" t="str">
        <f t="shared" si="3"/>
        <v>Baja</v>
      </c>
    </row>
    <row r="211" ht="14.25" customHeight="1">
      <c r="A211" s="6" t="s">
        <v>371</v>
      </c>
      <c r="B211" s="27" t="s">
        <v>1596</v>
      </c>
      <c r="C211" s="10">
        <v>1.0</v>
      </c>
      <c r="D211" s="10">
        <v>1.0</v>
      </c>
      <c r="E211" s="10">
        <v>2.0</v>
      </c>
      <c r="F211" s="10">
        <v>3.0</v>
      </c>
      <c r="G211" s="10">
        <v>1.0</v>
      </c>
      <c r="H211" s="12">
        <f t="shared" si="1"/>
        <v>1.432</v>
      </c>
      <c r="I211" s="13">
        <v>3.0</v>
      </c>
      <c r="J211" s="14">
        <f t="shared" si="2"/>
        <v>4.296</v>
      </c>
      <c r="K211" s="15" t="str">
        <f t="shared" si="3"/>
        <v>Media</v>
      </c>
    </row>
    <row r="212" ht="14.25" customHeight="1">
      <c r="A212" s="6" t="s">
        <v>446</v>
      </c>
      <c r="B212" s="9" t="s">
        <v>1108</v>
      </c>
      <c r="C212" s="10">
        <v>3.0</v>
      </c>
      <c r="D212" s="10">
        <v>3.0</v>
      </c>
      <c r="E212" s="10">
        <v>3.0</v>
      </c>
      <c r="F212" s="10">
        <v>1.0</v>
      </c>
      <c r="G212" s="10">
        <v>2.0</v>
      </c>
      <c r="H212" s="12">
        <f t="shared" si="1"/>
        <v>2.708</v>
      </c>
      <c r="I212" s="13">
        <v>1.0</v>
      </c>
      <c r="J212" s="14">
        <f t="shared" si="2"/>
        <v>2.708</v>
      </c>
      <c r="K212" s="15" t="str">
        <f t="shared" si="3"/>
        <v>Baja</v>
      </c>
    </row>
    <row r="213" ht="14.25" customHeight="1">
      <c r="A213" s="6" t="s">
        <v>446</v>
      </c>
      <c r="B213" s="9" t="s">
        <v>1113</v>
      </c>
      <c r="C213" s="10">
        <v>3.0</v>
      </c>
      <c r="D213" s="10">
        <v>3.0</v>
      </c>
      <c r="E213" s="10">
        <v>3.0</v>
      </c>
      <c r="F213" s="10">
        <v>4.0</v>
      </c>
      <c r="G213" s="10">
        <v>2.0</v>
      </c>
      <c r="H213" s="12">
        <f t="shared" si="1"/>
        <v>2.996</v>
      </c>
      <c r="I213" s="13">
        <v>1.0</v>
      </c>
      <c r="J213" s="14">
        <f t="shared" si="2"/>
        <v>2.996</v>
      </c>
      <c r="K213" s="15" t="str">
        <f t="shared" si="3"/>
        <v>Baja</v>
      </c>
    </row>
    <row r="214" ht="14.25" customHeight="1">
      <c r="A214" s="6" t="s">
        <v>446</v>
      </c>
      <c r="B214" s="9" t="s">
        <v>1119</v>
      </c>
      <c r="C214" s="10">
        <v>2.0</v>
      </c>
      <c r="D214" s="10">
        <v>2.0</v>
      </c>
      <c r="E214" s="10">
        <v>3.0</v>
      </c>
      <c r="F214" s="10">
        <v>1.0</v>
      </c>
      <c r="G214" s="10">
        <v>1.0</v>
      </c>
      <c r="H214" s="12">
        <f t="shared" si="1"/>
        <v>2.044</v>
      </c>
      <c r="I214" s="13">
        <v>3.0</v>
      </c>
      <c r="J214" s="14">
        <f t="shared" si="2"/>
        <v>6.132</v>
      </c>
      <c r="K214" s="15" t="str">
        <f t="shared" si="3"/>
        <v>Media</v>
      </c>
    </row>
    <row r="215" ht="14.25" customHeight="1">
      <c r="A215" s="6" t="s">
        <v>446</v>
      </c>
      <c r="B215" s="9" t="s">
        <v>1124</v>
      </c>
      <c r="C215" s="10">
        <v>2.0</v>
      </c>
      <c r="D215" s="10">
        <v>2.0</v>
      </c>
      <c r="E215" s="10">
        <v>3.0</v>
      </c>
      <c r="F215" s="10">
        <v>1.0</v>
      </c>
      <c r="G215" s="10">
        <v>1.0</v>
      </c>
      <c r="H215" s="12">
        <f t="shared" si="1"/>
        <v>2.044</v>
      </c>
      <c r="I215" s="13">
        <v>1.0</v>
      </c>
      <c r="J215" s="14">
        <f t="shared" si="2"/>
        <v>2.044</v>
      </c>
      <c r="K215" s="15" t="str">
        <f t="shared" si="3"/>
        <v>Baja</v>
      </c>
    </row>
    <row r="216" ht="14.25" customHeight="1">
      <c r="A216" s="6" t="s">
        <v>467</v>
      </c>
      <c r="B216" s="27" t="s">
        <v>1609</v>
      </c>
      <c r="C216" s="10">
        <v>3.0</v>
      </c>
      <c r="D216" s="10">
        <v>3.0</v>
      </c>
      <c r="E216" s="10">
        <v>3.0</v>
      </c>
      <c r="F216" s="10">
        <v>3.0</v>
      </c>
      <c r="G216" s="10">
        <v>2.0</v>
      </c>
      <c r="H216" s="12">
        <f t="shared" si="1"/>
        <v>2.9</v>
      </c>
      <c r="I216" s="13">
        <v>1.0</v>
      </c>
      <c r="J216" s="14">
        <f t="shared" si="2"/>
        <v>2.9</v>
      </c>
      <c r="K216" s="15" t="str">
        <f t="shared" si="3"/>
        <v>Baja</v>
      </c>
    </row>
    <row r="217" ht="14.25" customHeight="1">
      <c r="A217" s="6" t="s">
        <v>467</v>
      </c>
      <c r="B217" s="27" t="s">
        <v>1615</v>
      </c>
      <c r="C217" s="10">
        <v>3.0</v>
      </c>
      <c r="D217" s="10">
        <v>3.0</v>
      </c>
      <c r="E217" s="10">
        <v>3.0</v>
      </c>
      <c r="F217" s="10">
        <v>2.0</v>
      </c>
      <c r="G217" s="10">
        <v>2.0</v>
      </c>
      <c r="H217" s="12">
        <f t="shared" si="1"/>
        <v>2.804</v>
      </c>
      <c r="I217" s="13">
        <v>1.0</v>
      </c>
      <c r="J217" s="14">
        <f t="shared" si="2"/>
        <v>2.804</v>
      </c>
      <c r="K217" s="15" t="str">
        <f t="shared" si="3"/>
        <v>Baja</v>
      </c>
    </row>
    <row r="218" ht="14.25" customHeight="1">
      <c r="A218" s="6" t="s">
        <v>467</v>
      </c>
      <c r="B218" s="27" t="s">
        <v>1622</v>
      </c>
      <c r="C218" s="10">
        <v>2.0</v>
      </c>
      <c r="D218" s="10">
        <v>2.0</v>
      </c>
      <c r="E218" s="10">
        <v>3.0</v>
      </c>
      <c r="F218" s="10">
        <v>3.0</v>
      </c>
      <c r="G218" s="10">
        <v>1.0</v>
      </c>
      <c r="H218" s="12">
        <f t="shared" si="1"/>
        <v>2.236</v>
      </c>
      <c r="I218" s="13">
        <v>1.0</v>
      </c>
      <c r="J218" s="14">
        <f t="shared" si="2"/>
        <v>2.236</v>
      </c>
      <c r="K218" s="15" t="str">
        <f t="shared" si="3"/>
        <v>Baja</v>
      </c>
    </row>
    <row r="219" ht="14.25" customHeight="1">
      <c r="A219" s="6" t="s">
        <v>467</v>
      </c>
      <c r="B219" s="27" t="s">
        <v>1625</v>
      </c>
      <c r="C219" s="10">
        <v>2.0</v>
      </c>
      <c r="D219" s="10">
        <v>2.0</v>
      </c>
      <c r="E219" s="10">
        <v>3.0</v>
      </c>
      <c r="F219" s="10">
        <v>2.0</v>
      </c>
      <c r="G219" s="10">
        <v>1.0</v>
      </c>
      <c r="H219" s="12">
        <f t="shared" si="1"/>
        <v>2.14</v>
      </c>
      <c r="I219" s="13">
        <v>2.0</v>
      </c>
      <c r="J219" s="14">
        <f t="shared" si="2"/>
        <v>4.28</v>
      </c>
      <c r="K219" s="15" t="str">
        <f t="shared" si="3"/>
        <v>Media</v>
      </c>
    </row>
    <row r="220" ht="14.25" customHeight="1">
      <c r="A220" s="6" t="s">
        <v>477</v>
      </c>
      <c r="B220" s="9" t="s">
        <v>1127</v>
      </c>
      <c r="C220" s="10">
        <v>3.0</v>
      </c>
      <c r="D220" s="10">
        <v>3.0</v>
      </c>
      <c r="E220" s="10">
        <v>3.0</v>
      </c>
      <c r="F220" s="10">
        <v>3.0</v>
      </c>
      <c r="G220" s="10">
        <v>2.0</v>
      </c>
      <c r="H220" s="12">
        <f t="shared" si="1"/>
        <v>2.9</v>
      </c>
      <c r="I220" s="13">
        <v>1.0</v>
      </c>
      <c r="J220" s="14">
        <f t="shared" si="2"/>
        <v>2.9</v>
      </c>
      <c r="K220" s="15" t="str">
        <f t="shared" si="3"/>
        <v>Baja</v>
      </c>
    </row>
    <row r="221" ht="14.25" customHeight="1">
      <c r="A221" s="6" t="s">
        <v>477</v>
      </c>
      <c r="B221" s="9" t="s">
        <v>1134</v>
      </c>
      <c r="C221" s="10">
        <v>2.0</v>
      </c>
      <c r="D221" s="10">
        <v>2.0</v>
      </c>
      <c r="E221" s="10">
        <v>3.0</v>
      </c>
      <c r="F221" s="10">
        <v>3.0</v>
      </c>
      <c r="G221" s="10">
        <v>1.0</v>
      </c>
      <c r="H221" s="12">
        <f t="shared" si="1"/>
        <v>2.236</v>
      </c>
      <c r="I221" s="13">
        <v>3.0</v>
      </c>
      <c r="J221" s="14">
        <f t="shared" si="2"/>
        <v>6.708</v>
      </c>
      <c r="K221" s="15" t="str">
        <f t="shared" si="3"/>
        <v>Media</v>
      </c>
    </row>
    <row r="222" ht="14.25" customHeight="1">
      <c r="A222" s="6" t="s">
        <v>477</v>
      </c>
      <c r="B222" s="9" t="s">
        <v>1141</v>
      </c>
      <c r="C222" s="10">
        <v>2.0</v>
      </c>
      <c r="D222" s="10">
        <v>2.0</v>
      </c>
      <c r="E222" s="10">
        <v>2.0</v>
      </c>
      <c r="F222" s="10">
        <v>1.0</v>
      </c>
      <c r="G222" s="10">
        <v>1.0</v>
      </c>
      <c r="H222" s="12">
        <f t="shared" si="1"/>
        <v>1.804</v>
      </c>
      <c r="I222" s="13">
        <v>3.0</v>
      </c>
      <c r="J222" s="14">
        <f t="shared" si="2"/>
        <v>5.412</v>
      </c>
      <c r="K222" s="15" t="str">
        <f t="shared" si="3"/>
        <v>Media</v>
      </c>
    </row>
    <row r="223" ht="14.25" customHeight="1">
      <c r="A223" s="6" t="s">
        <v>477</v>
      </c>
      <c r="B223" s="9" t="s">
        <v>1147</v>
      </c>
      <c r="C223" s="10">
        <v>2.0</v>
      </c>
      <c r="D223" s="10">
        <v>2.0</v>
      </c>
      <c r="E223" s="10">
        <v>3.0</v>
      </c>
      <c r="F223" s="10">
        <v>3.0</v>
      </c>
      <c r="G223" s="10">
        <v>1.0</v>
      </c>
      <c r="H223" s="12">
        <f t="shared" si="1"/>
        <v>2.236</v>
      </c>
      <c r="I223" s="13">
        <v>3.0</v>
      </c>
      <c r="J223" s="14">
        <f t="shared" si="2"/>
        <v>6.708</v>
      </c>
      <c r="K223" s="15" t="str">
        <f t="shared" si="3"/>
        <v>Media</v>
      </c>
    </row>
    <row r="224" ht="14.25" customHeight="1">
      <c r="A224" s="6" t="s">
        <v>455</v>
      </c>
      <c r="B224" s="27" t="s">
        <v>1644</v>
      </c>
      <c r="C224" s="10">
        <v>3.0</v>
      </c>
      <c r="D224" s="10">
        <v>3.0</v>
      </c>
      <c r="E224" s="10">
        <v>3.0</v>
      </c>
      <c r="F224" s="10">
        <v>2.0</v>
      </c>
      <c r="G224" s="10">
        <v>2.0</v>
      </c>
      <c r="H224" s="12">
        <f t="shared" si="1"/>
        <v>2.804</v>
      </c>
      <c r="I224" s="13">
        <v>1.0</v>
      </c>
      <c r="J224" s="14">
        <f t="shared" si="2"/>
        <v>2.804</v>
      </c>
      <c r="K224" s="15" t="str">
        <f t="shared" si="3"/>
        <v>Baja</v>
      </c>
    </row>
    <row r="225" ht="14.25" customHeight="1">
      <c r="A225" s="6" t="s">
        <v>455</v>
      </c>
      <c r="B225" s="27" t="s">
        <v>1650</v>
      </c>
      <c r="C225" s="10">
        <v>2.0</v>
      </c>
      <c r="D225" s="10">
        <v>2.0</v>
      </c>
      <c r="E225" s="10">
        <v>3.0</v>
      </c>
      <c r="F225" s="10">
        <v>2.0</v>
      </c>
      <c r="G225" s="10">
        <v>1.0</v>
      </c>
      <c r="H225" s="12">
        <f t="shared" si="1"/>
        <v>2.14</v>
      </c>
      <c r="I225" s="13">
        <v>1.0</v>
      </c>
      <c r="J225" s="14">
        <f t="shared" si="2"/>
        <v>2.14</v>
      </c>
      <c r="K225" s="15" t="str">
        <f t="shared" si="3"/>
        <v>Baja</v>
      </c>
    </row>
    <row r="226" ht="14.25" customHeight="1">
      <c r="A226" s="6" t="s">
        <v>455</v>
      </c>
      <c r="B226" s="27" t="s">
        <v>1655</v>
      </c>
      <c r="C226" s="10">
        <v>2.0</v>
      </c>
      <c r="D226" s="10">
        <v>2.0</v>
      </c>
      <c r="E226" s="10">
        <v>3.0</v>
      </c>
      <c r="F226" s="10">
        <v>3.0</v>
      </c>
      <c r="G226" s="10">
        <v>1.0</v>
      </c>
      <c r="H226" s="12">
        <f t="shared" si="1"/>
        <v>2.236</v>
      </c>
      <c r="I226" s="13">
        <v>1.0</v>
      </c>
      <c r="J226" s="14">
        <f t="shared" si="2"/>
        <v>2.236</v>
      </c>
      <c r="K226" s="15" t="str">
        <f t="shared" si="3"/>
        <v>Baja</v>
      </c>
    </row>
    <row r="227" ht="14.25" customHeight="1">
      <c r="A227" s="6" t="s">
        <v>487</v>
      </c>
      <c r="B227" s="9" t="s">
        <v>1661</v>
      </c>
      <c r="C227" s="10">
        <v>2.0</v>
      </c>
      <c r="D227" s="10">
        <v>1.0</v>
      </c>
      <c r="E227" s="10">
        <v>3.0</v>
      </c>
      <c r="F227" s="10">
        <v>1.0</v>
      </c>
      <c r="G227" s="10">
        <v>2.0</v>
      </c>
      <c r="H227" s="12">
        <f t="shared" si="1"/>
        <v>1.964</v>
      </c>
      <c r="I227" s="13">
        <v>3.0</v>
      </c>
      <c r="J227" s="14">
        <f t="shared" si="2"/>
        <v>5.892</v>
      </c>
      <c r="K227" s="15" t="str">
        <f t="shared" si="3"/>
        <v>Media</v>
      </c>
    </row>
    <row r="228" ht="14.25" customHeight="1">
      <c r="A228" s="6" t="s">
        <v>487</v>
      </c>
      <c r="B228" s="9" t="s">
        <v>1668</v>
      </c>
      <c r="C228" s="10">
        <v>1.0</v>
      </c>
      <c r="D228" s="10">
        <v>1.0</v>
      </c>
      <c r="E228" s="10">
        <v>2.0</v>
      </c>
      <c r="F228" s="10">
        <v>1.0</v>
      </c>
      <c r="G228" s="10">
        <v>1.0</v>
      </c>
      <c r="H228" s="12">
        <f t="shared" si="1"/>
        <v>1.24</v>
      </c>
      <c r="I228" s="13">
        <v>3.0</v>
      </c>
      <c r="J228" s="14">
        <f t="shared" si="2"/>
        <v>3.72</v>
      </c>
      <c r="K228" s="15" t="str">
        <f t="shared" si="3"/>
        <v>Baja</v>
      </c>
    </row>
    <row r="229" ht="14.25" customHeight="1">
      <c r="A229" s="6" t="s">
        <v>487</v>
      </c>
      <c r="B229" s="9" t="s">
        <v>1672</v>
      </c>
      <c r="C229" s="10">
        <v>1.0</v>
      </c>
      <c r="D229" s="10">
        <v>1.0</v>
      </c>
      <c r="E229" s="10">
        <v>2.0</v>
      </c>
      <c r="F229" s="10">
        <v>1.0</v>
      </c>
      <c r="G229" s="10">
        <v>1.0</v>
      </c>
      <c r="H229" s="12">
        <f t="shared" si="1"/>
        <v>1.24</v>
      </c>
      <c r="I229" s="13">
        <v>2.0</v>
      </c>
      <c r="J229" s="14">
        <f t="shared" si="2"/>
        <v>2.48</v>
      </c>
      <c r="K229" s="15" t="str">
        <f t="shared" si="3"/>
        <v>Baja</v>
      </c>
    </row>
    <row r="230" ht="14.25" customHeight="1">
      <c r="A230" s="6" t="s">
        <v>487</v>
      </c>
      <c r="B230" s="9" t="s">
        <v>1676</v>
      </c>
      <c r="C230" s="10">
        <v>1.0</v>
      </c>
      <c r="D230" s="10">
        <v>1.0</v>
      </c>
      <c r="E230" s="10">
        <v>2.0</v>
      </c>
      <c r="F230" s="10">
        <v>1.0</v>
      </c>
      <c r="G230" s="10">
        <v>1.0</v>
      </c>
      <c r="H230" s="12">
        <f t="shared" si="1"/>
        <v>1.24</v>
      </c>
      <c r="I230" s="13">
        <v>3.0</v>
      </c>
      <c r="J230" s="14">
        <f t="shared" si="2"/>
        <v>3.72</v>
      </c>
      <c r="K230" s="15" t="str">
        <f t="shared" si="3"/>
        <v>Baja</v>
      </c>
    </row>
    <row r="231" ht="14.25" customHeight="1">
      <c r="A231" s="6" t="s">
        <v>478</v>
      </c>
      <c r="B231" s="27" t="s">
        <v>1191</v>
      </c>
      <c r="C231" s="10">
        <v>1.0</v>
      </c>
      <c r="D231" s="10">
        <v>2.0</v>
      </c>
      <c r="E231" s="10">
        <v>2.0</v>
      </c>
      <c r="F231" s="10">
        <v>1.0</v>
      </c>
      <c r="G231" s="10">
        <v>1.0</v>
      </c>
      <c r="H231" s="12">
        <f t="shared" si="1"/>
        <v>1.42</v>
      </c>
      <c r="I231" s="13">
        <v>3.0</v>
      </c>
      <c r="J231" s="14">
        <f t="shared" si="2"/>
        <v>4.26</v>
      </c>
      <c r="K231" s="15" t="str">
        <f t="shared" si="3"/>
        <v>Media</v>
      </c>
    </row>
    <row r="232" ht="14.25" customHeight="1">
      <c r="A232" s="6" t="s">
        <v>478</v>
      </c>
      <c r="B232" s="27" t="s">
        <v>1195</v>
      </c>
      <c r="C232" s="10">
        <v>1.0</v>
      </c>
      <c r="D232" s="10">
        <v>2.0</v>
      </c>
      <c r="E232" s="10">
        <v>2.0</v>
      </c>
      <c r="F232" s="10">
        <v>1.0</v>
      </c>
      <c r="G232" s="10">
        <v>1.0</v>
      </c>
      <c r="H232" s="12">
        <f t="shared" si="1"/>
        <v>1.42</v>
      </c>
      <c r="I232" s="13">
        <v>2.0</v>
      </c>
      <c r="J232" s="14">
        <f t="shared" si="2"/>
        <v>2.84</v>
      </c>
      <c r="K232" s="15" t="str">
        <f t="shared" si="3"/>
        <v>Baja</v>
      </c>
    </row>
    <row r="233" ht="14.25" customHeight="1">
      <c r="A233" s="6" t="s">
        <v>478</v>
      </c>
      <c r="B233" s="27" t="s">
        <v>1210</v>
      </c>
      <c r="C233" s="10">
        <v>1.0</v>
      </c>
      <c r="D233" s="10">
        <v>2.0</v>
      </c>
      <c r="E233" s="10">
        <v>2.0</v>
      </c>
      <c r="F233" s="10">
        <v>1.0</v>
      </c>
      <c r="G233" s="10">
        <v>1.0</v>
      </c>
      <c r="H233" s="12">
        <f t="shared" si="1"/>
        <v>1.42</v>
      </c>
      <c r="I233" s="13">
        <v>3.0</v>
      </c>
      <c r="J233" s="14">
        <f t="shared" si="2"/>
        <v>4.26</v>
      </c>
      <c r="K233" s="15" t="str">
        <f t="shared" si="3"/>
        <v>Media</v>
      </c>
    </row>
    <row r="234" ht="14.25" customHeight="1">
      <c r="A234" s="6" t="s">
        <v>478</v>
      </c>
      <c r="B234" s="27" t="s">
        <v>1228</v>
      </c>
      <c r="C234" s="10">
        <v>1.0</v>
      </c>
      <c r="D234" s="10">
        <v>1.0</v>
      </c>
      <c r="E234" s="10">
        <v>2.0</v>
      </c>
      <c r="F234" s="10">
        <v>1.0</v>
      </c>
      <c r="G234" s="10">
        <v>1.0</v>
      </c>
      <c r="H234" s="12">
        <f t="shared" si="1"/>
        <v>1.24</v>
      </c>
      <c r="I234" s="13">
        <v>2.0</v>
      </c>
      <c r="J234" s="14">
        <f t="shared" si="2"/>
        <v>2.48</v>
      </c>
      <c r="K234" s="15" t="str">
        <f t="shared" si="3"/>
        <v>Baja</v>
      </c>
    </row>
    <row r="235" ht="14.25" customHeight="1">
      <c r="A235" s="6" t="s">
        <v>478</v>
      </c>
      <c r="B235" s="27" t="s">
        <v>1233</v>
      </c>
      <c r="C235" s="10">
        <v>1.0</v>
      </c>
      <c r="D235" s="10">
        <v>1.0</v>
      </c>
      <c r="E235" s="10">
        <v>2.0</v>
      </c>
      <c r="F235" s="10">
        <v>1.0</v>
      </c>
      <c r="G235" s="10">
        <v>1.0</v>
      </c>
      <c r="H235" s="12">
        <f t="shared" si="1"/>
        <v>1.24</v>
      </c>
      <c r="I235" s="13">
        <v>3.0</v>
      </c>
      <c r="J235" s="14">
        <f t="shared" si="2"/>
        <v>3.72</v>
      </c>
      <c r="K235" s="15" t="str">
        <f t="shared" si="3"/>
        <v>Baja</v>
      </c>
    </row>
    <row r="236" ht="14.25" customHeight="1">
      <c r="A236" s="6" t="s">
        <v>509</v>
      </c>
      <c r="B236" s="9" t="s">
        <v>1705</v>
      </c>
      <c r="C236" s="10">
        <v>1.0</v>
      </c>
      <c r="D236" s="10">
        <v>2.0</v>
      </c>
      <c r="E236" s="10">
        <v>3.0</v>
      </c>
      <c r="F236" s="10">
        <v>2.0</v>
      </c>
      <c r="G236" s="10">
        <v>1.0</v>
      </c>
      <c r="H236" s="12">
        <f t="shared" si="1"/>
        <v>1.756</v>
      </c>
      <c r="I236" s="13">
        <v>2.0</v>
      </c>
      <c r="J236" s="14">
        <f t="shared" si="2"/>
        <v>3.512</v>
      </c>
      <c r="K236" s="15" t="str">
        <f t="shared" si="3"/>
        <v>Baja</v>
      </c>
    </row>
    <row r="237" ht="14.25" customHeight="1">
      <c r="A237" s="6" t="s">
        <v>509</v>
      </c>
      <c r="B237" s="9" t="s">
        <v>1712</v>
      </c>
      <c r="C237" s="10">
        <v>1.0</v>
      </c>
      <c r="D237" s="10">
        <v>2.0</v>
      </c>
      <c r="E237" s="10">
        <v>2.0</v>
      </c>
      <c r="F237" s="10">
        <v>2.0</v>
      </c>
      <c r="G237" s="10">
        <v>1.0</v>
      </c>
      <c r="H237" s="12">
        <f t="shared" si="1"/>
        <v>1.516</v>
      </c>
      <c r="I237" s="13">
        <v>1.0</v>
      </c>
      <c r="J237" s="14">
        <f t="shared" si="2"/>
        <v>1.516</v>
      </c>
      <c r="K237" s="15" t="str">
        <f t="shared" si="3"/>
        <v>Baja</v>
      </c>
    </row>
    <row r="238" ht="14.25" customHeight="1">
      <c r="A238" s="6" t="s">
        <v>509</v>
      </c>
      <c r="B238" s="9" t="s">
        <v>1719</v>
      </c>
      <c r="C238" s="10">
        <v>1.0</v>
      </c>
      <c r="D238" s="10">
        <v>1.0</v>
      </c>
      <c r="E238" s="10">
        <v>2.0</v>
      </c>
      <c r="F238" s="10">
        <v>2.0</v>
      </c>
      <c r="G238" s="10">
        <v>1.0</v>
      </c>
      <c r="H238" s="12">
        <f t="shared" si="1"/>
        <v>1.336</v>
      </c>
      <c r="I238" s="13">
        <v>2.0</v>
      </c>
      <c r="J238" s="14">
        <f t="shared" si="2"/>
        <v>2.672</v>
      </c>
      <c r="K238" s="15" t="str">
        <f t="shared" si="3"/>
        <v>Baja</v>
      </c>
    </row>
    <row r="239" ht="14.25" customHeight="1">
      <c r="A239" s="6" t="s">
        <v>509</v>
      </c>
      <c r="B239" s="9" t="s">
        <v>1722</v>
      </c>
      <c r="C239" s="10">
        <v>1.0</v>
      </c>
      <c r="D239" s="10">
        <v>1.0</v>
      </c>
      <c r="E239" s="10">
        <v>2.0</v>
      </c>
      <c r="F239" s="10">
        <v>2.0</v>
      </c>
      <c r="G239" s="10">
        <v>1.0</v>
      </c>
      <c r="H239" s="12">
        <f t="shared" si="1"/>
        <v>1.336</v>
      </c>
      <c r="I239" s="13">
        <v>3.0</v>
      </c>
      <c r="J239" s="14">
        <f t="shared" si="2"/>
        <v>4.008</v>
      </c>
      <c r="K239" s="15" t="str">
        <f t="shared" si="3"/>
        <v>Media</v>
      </c>
    </row>
    <row r="240" ht="14.25" customHeight="1">
      <c r="A240" s="6" t="s">
        <v>509</v>
      </c>
      <c r="B240" s="9" t="s">
        <v>1724</v>
      </c>
      <c r="C240" s="10">
        <v>1.0</v>
      </c>
      <c r="D240" s="10">
        <v>1.0</v>
      </c>
      <c r="E240" s="10">
        <v>2.0</v>
      </c>
      <c r="F240" s="10">
        <v>1.0</v>
      </c>
      <c r="G240" s="10">
        <v>1.0</v>
      </c>
      <c r="H240" s="12">
        <f t="shared" si="1"/>
        <v>1.24</v>
      </c>
      <c r="I240" s="13">
        <v>3.0</v>
      </c>
      <c r="J240" s="14">
        <f t="shared" si="2"/>
        <v>3.72</v>
      </c>
      <c r="K240" s="15" t="str">
        <f t="shared" si="3"/>
        <v>Baja</v>
      </c>
    </row>
    <row r="241" ht="14.25" customHeight="1">
      <c r="A241" s="6" t="s">
        <v>509</v>
      </c>
      <c r="B241" s="9" t="s">
        <v>1728</v>
      </c>
      <c r="C241" s="10">
        <v>1.0</v>
      </c>
      <c r="D241" s="10">
        <v>1.0</v>
      </c>
      <c r="E241" s="10">
        <v>2.0</v>
      </c>
      <c r="F241" s="10">
        <v>1.0</v>
      </c>
      <c r="G241" s="10">
        <v>1.0</v>
      </c>
      <c r="H241" s="12">
        <f t="shared" si="1"/>
        <v>1.24</v>
      </c>
      <c r="I241" s="13">
        <v>2.0</v>
      </c>
      <c r="J241" s="14">
        <f t="shared" si="2"/>
        <v>2.48</v>
      </c>
      <c r="K241" s="15" t="str">
        <f t="shared" si="3"/>
        <v>Baja</v>
      </c>
    </row>
    <row r="242" ht="14.25" customHeight="1">
      <c r="A242" s="6" t="s">
        <v>521</v>
      </c>
      <c r="B242" s="27" t="s">
        <v>1246</v>
      </c>
      <c r="C242" s="10">
        <v>3.0</v>
      </c>
      <c r="D242" s="10">
        <v>2.0</v>
      </c>
      <c r="E242" s="10">
        <v>3.0</v>
      </c>
      <c r="F242" s="10">
        <v>1.0</v>
      </c>
      <c r="G242" s="10">
        <v>1.0</v>
      </c>
      <c r="H242" s="12">
        <f t="shared" si="1"/>
        <v>2.428</v>
      </c>
      <c r="I242" s="13">
        <v>3.0</v>
      </c>
      <c r="J242" s="14">
        <f t="shared" si="2"/>
        <v>7.284</v>
      </c>
      <c r="K242" s="15" t="str">
        <f t="shared" si="3"/>
        <v>Media</v>
      </c>
    </row>
    <row r="243" ht="14.25" customHeight="1">
      <c r="A243" s="6" t="s">
        <v>521</v>
      </c>
      <c r="B243" s="27" t="s">
        <v>1248</v>
      </c>
      <c r="C243" s="10">
        <v>3.0</v>
      </c>
      <c r="D243" s="10">
        <v>2.0</v>
      </c>
      <c r="E243" s="10">
        <v>2.0</v>
      </c>
      <c r="F243" s="10">
        <v>2.0</v>
      </c>
      <c r="G243" s="10">
        <v>1.0</v>
      </c>
      <c r="H243" s="12">
        <f t="shared" si="1"/>
        <v>2.284</v>
      </c>
      <c r="I243" s="13">
        <v>2.0</v>
      </c>
      <c r="J243" s="14">
        <f t="shared" si="2"/>
        <v>4.568</v>
      </c>
      <c r="K243" s="15" t="str">
        <f t="shared" si="3"/>
        <v>Media</v>
      </c>
    </row>
    <row r="244" ht="14.25" customHeight="1">
      <c r="A244" s="6" t="s">
        <v>521</v>
      </c>
      <c r="B244" s="27" t="s">
        <v>1255</v>
      </c>
      <c r="C244" s="10">
        <v>2.0</v>
      </c>
      <c r="D244" s="10">
        <v>1.0</v>
      </c>
      <c r="E244" s="10">
        <v>2.0</v>
      </c>
      <c r="F244" s="10">
        <v>1.0</v>
      </c>
      <c r="G244" s="10">
        <v>1.0</v>
      </c>
      <c r="H244" s="12">
        <f t="shared" si="1"/>
        <v>1.624</v>
      </c>
      <c r="I244" s="13">
        <v>2.0</v>
      </c>
      <c r="J244" s="14">
        <f t="shared" si="2"/>
        <v>3.248</v>
      </c>
      <c r="K244" s="15" t="str">
        <f t="shared" si="3"/>
        <v>Baja</v>
      </c>
    </row>
    <row r="245" ht="14.25" customHeight="1">
      <c r="A245" s="6" t="s">
        <v>521</v>
      </c>
      <c r="B245" s="27" t="s">
        <v>1259</v>
      </c>
      <c r="C245" s="10">
        <v>2.0</v>
      </c>
      <c r="D245" s="10">
        <v>1.0</v>
      </c>
      <c r="E245" s="10">
        <v>2.0</v>
      </c>
      <c r="F245" s="10">
        <v>2.0</v>
      </c>
      <c r="G245" s="10">
        <v>1.0</v>
      </c>
      <c r="H245" s="12">
        <f t="shared" si="1"/>
        <v>1.72</v>
      </c>
      <c r="I245" s="13">
        <v>2.0</v>
      </c>
      <c r="J245" s="14">
        <f t="shared" si="2"/>
        <v>3.44</v>
      </c>
      <c r="K245" s="15" t="str">
        <f t="shared" si="3"/>
        <v>Baja</v>
      </c>
    </row>
    <row r="246" ht="14.25" customHeight="1">
      <c r="A246" s="6" t="s">
        <v>521</v>
      </c>
      <c r="B246" s="27" t="s">
        <v>1265</v>
      </c>
      <c r="C246" s="10">
        <v>2.0</v>
      </c>
      <c r="D246" s="10">
        <v>1.0</v>
      </c>
      <c r="E246" s="10">
        <v>2.0</v>
      </c>
      <c r="F246" s="10">
        <v>1.0</v>
      </c>
      <c r="G246" s="10">
        <v>1.0</v>
      </c>
      <c r="H246" s="12">
        <f t="shared" si="1"/>
        <v>1.624</v>
      </c>
      <c r="I246" s="13">
        <v>3.0</v>
      </c>
      <c r="J246" s="14">
        <f t="shared" si="2"/>
        <v>4.872</v>
      </c>
      <c r="K246" s="15" t="str">
        <f t="shared" si="3"/>
        <v>Media</v>
      </c>
    </row>
    <row r="247" ht="14.25" customHeight="1">
      <c r="A247" s="6" t="s">
        <v>518</v>
      </c>
      <c r="B247" s="9" t="s">
        <v>1744</v>
      </c>
      <c r="C247" s="10">
        <v>3.0</v>
      </c>
      <c r="D247" s="10">
        <v>2.0</v>
      </c>
      <c r="E247" s="10">
        <v>3.0</v>
      </c>
      <c r="F247" s="10">
        <v>1.0</v>
      </c>
      <c r="G247" s="10">
        <v>1.0</v>
      </c>
      <c r="H247" s="12">
        <f t="shared" si="1"/>
        <v>2.428</v>
      </c>
      <c r="I247" s="13">
        <v>1.0</v>
      </c>
      <c r="J247" s="14">
        <f t="shared" si="2"/>
        <v>2.428</v>
      </c>
      <c r="K247" s="15" t="str">
        <f t="shared" si="3"/>
        <v>Baja</v>
      </c>
    </row>
    <row r="248" ht="14.25" customHeight="1">
      <c r="A248" s="6" t="s">
        <v>518</v>
      </c>
      <c r="B248" s="9" t="s">
        <v>1749</v>
      </c>
      <c r="C248" s="10">
        <v>1.0</v>
      </c>
      <c r="D248" s="10">
        <v>1.0</v>
      </c>
      <c r="E248" s="10">
        <v>2.0</v>
      </c>
      <c r="F248" s="10">
        <v>1.0</v>
      </c>
      <c r="G248" s="10">
        <v>1.0</v>
      </c>
      <c r="H248" s="12">
        <f t="shared" si="1"/>
        <v>1.24</v>
      </c>
      <c r="I248" s="13">
        <v>2.0</v>
      </c>
      <c r="J248" s="14">
        <f t="shared" si="2"/>
        <v>2.48</v>
      </c>
      <c r="K248" s="15" t="str">
        <f t="shared" si="3"/>
        <v>Baja</v>
      </c>
    </row>
    <row r="249" ht="14.25" customHeight="1">
      <c r="A249" s="6" t="s">
        <v>518</v>
      </c>
      <c r="B249" s="9" t="s">
        <v>1751</v>
      </c>
      <c r="C249" s="10">
        <v>2.0</v>
      </c>
      <c r="D249" s="10">
        <v>1.0</v>
      </c>
      <c r="E249" s="10">
        <v>3.0</v>
      </c>
      <c r="F249" s="10">
        <v>1.0</v>
      </c>
      <c r="G249" s="10">
        <v>1.0</v>
      </c>
      <c r="H249" s="12">
        <f t="shared" si="1"/>
        <v>1.864</v>
      </c>
      <c r="I249" s="13">
        <v>2.0</v>
      </c>
      <c r="J249" s="14">
        <f t="shared" si="2"/>
        <v>3.728</v>
      </c>
      <c r="K249" s="15" t="str">
        <f t="shared" si="3"/>
        <v>Baja</v>
      </c>
    </row>
    <row r="250" ht="14.25" customHeight="1">
      <c r="A250" s="6" t="s">
        <v>518</v>
      </c>
      <c r="B250" s="9" t="s">
        <v>1753</v>
      </c>
      <c r="C250" s="10">
        <v>2.0</v>
      </c>
      <c r="D250" s="10">
        <v>1.0</v>
      </c>
      <c r="E250" s="10">
        <v>2.0</v>
      </c>
      <c r="F250" s="10">
        <v>1.0</v>
      </c>
      <c r="G250" s="10">
        <v>1.0</v>
      </c>
      <c r="H250" s="12">
        <f t="shared" si="1"/>
        <v>1.624</v>
      </c>
      <c r="I250" s="13">
        <v>2.0</v>
      </c>
      <c r="J250" s="14">
        <f t="shared" si="2"/>
        <v>3.248</v>
      </c>
      <c r="K250" s="15" t="str">
        <f t="shared" si="3"/>
        <v>Baja</v>
      </c>
    </row>
    <row r="251" ht="14.25" customHeight="1">
      <c r="A251" s="6" t="s">
        <v>518</v>
      </c>
      <c r="B251" s="9" t="s">
        <v>1755</v>
      </c>
      <c r="C251" s="10">
        <v>2.0</v>
      </c>
      <c r="D251" s="10">
        <v>1.0</v>
      </c>
      <c r="E251" s="10">
        <v>2.0</v>
      </c>
      <c r="F251" s="10">
        <v>1.0</v>
      </c>
      <c r="G251" s="10">
        <v>1.0</v>
      </c>
      <c r="H251" s="12">
        <f t="shared" si="1"/>
        <v>1.624</v>
      </c>
      <c r="I251" s="13">
        <v>3.0</v>
      </c>
      <c r="J251" s="14">
        <f t="shared" si="2"/>
        <v>4.872</v>
      </c>
      <c r="K251" s="15" t="str">
        <f t="shared" si="3"/>
        <v>Media</v>
      </c>
    </row>
    <row r="252" ht="14.25" customHeight="1">
      <c r="A252" s="6" t="s">
        <v>540</v>
      </c>
      <c r="B252" s="27" t="s">
        <v>1759</v>
      </c>
      <c r="C252" s="10">
        <v>1.0</v>
      </c>
      <c r="D252" s="10">
        <v>1.0</v>
      </c>
      <c r="E252" s="10">
        <v>2.0</v>
      </c>
      <c r="F252" s="10">
        <v>1.0</v>
      </c>
      <c r="G252" s="10">
        <v>1.0</v>
      </c>
      <c r="H252" s="12">
        <f t="shared" si="1"/>
        <v>1.24</v>
      </c>
      <c r="I252" s="13">
        <v>1.0</v>
      </c>
      <c r="J252" s="14">
        <f t="shared" si="2"/>
        <v>1.24</v>
      </c>
      <c r="K252" s="15" t="str">
        <f t="shared" si="3"/>
        <v>Baja</v>
      </c>
    </row>
    <row r="253" ht="14.25" customHeight="1">
      <c r="A253" s="6" t="s">
        <v>540</v>
      </c>
      <c r="B253" s="27" t="s">
        <v>1762</v>
      </c>
      <c r="C253" s="10">
        <v>1.0</v>
      </c>
      <c r="D253" s="10">
        <v>1.0</v>
      </c>
      <c r="E253" s="10">
        <v>2.0</v>
      </c>
      <c r="F253" s="10">
        <v>1.0</v>
      </c>
      <c r="G253" s="10">
        <v>1.0</v>
      </c>
      <c r="H253" s="12">
        <f t="shared" si="1"/>
        <v>1.24</v>
      </c>
      <c r="I253" s="13">
        <v>1.0</v>
      </c>
      <c r="J253" s="14">
        <f t="shared" si="2"/>
        <v>1.24</v>
      </c>
      <c r="K253" s="15" t="str">
        <f t="shared" si="3"/>
        <v>Baja</v>
      </c>
    </row>
    <row r="254" ht="14.25" customHeight="1">
      <c r="A254" s="6" t="s">
        <v>540</v>
      </c>
      <c r="B254" s="27" t="s">
        <v>1766</v>
      </c>
      <c r="C254" s="10">
        <v>1.0</v>
      </c>
      <c r="D254" s="10">
        <v>1.0</v>
      </c>
      <c r="E254" s="10">
        <v>2.0</v>
      </c>
      <c r="F254" s="10">
        <v>1.0</v>
      </c>
      <c r="G254" s="10">
        <v>1.0</v>
      </c>
      <c r="H254" s="12">
        <f t="shared" si="1"/>
        <v>1.24</v>
      </c>
      <c r="I254" s="13">
        <v>3.0</v>
      </c>
      <c r="J254" s="14">
        <f t="shared" si="2"/>
        <v>3.72</v>
      </c>
      <c r="K254" s="15" t="str">
        <f t="shared" si="3"/>
        <v>Baja</v>
      </c>
    </row>
    <row r="255" ht="14.25" customHeight="1">
      <c r="A255" s="6" t="s">
        <v>553</v>
      </c>
      <c r="B255" s="9" t="s">
        <v>1770</v>
      </c>
      <c r="C255" s="10">
        <v>1.0</v>
      </c>
      <c r="D255" s="10">
        <v>1.0</v>
      </c>
      <c r="E255" s="10">
        <v>3.0</v>
      </c>
      <c r="F255" s="10">
        <v>2.0</v>
      </c>
      <c r="G255" s="10">
        <v>1.0</v>
      </c>
      <c r="H255" s="12">
        <f t="shared" si="1"/>
        <v>1.576</v>
      </c>
      <c r="I255" s="13">
        <v>1.0</v>
      </c>
      <c r="J255" s="14">
        <f t="shared" si="2"/>
        <v>1.576</v>
      </c>
      <c r="K255" s="15" t="str">
        <f t="shared" si="3"/>
        <v>Baja</v>
      </c>
    </row>
    <row r="256" ht="14.25" customHeight="1">
      <c r="A256" s="6" t="s">
        <v>553</v>
      </c>
      <c r="B256" s="9" t="s">
        <v>1775</v>
      </c>
      <c r="C256" s="10">
        <v>1.0</v>
      </c>
      <c r="D256" s="10">
        <v>1.0</v>
      </c>
      <c r="E256" s="10">
        <v>3.0</v>
      </c>
      <c r="F256" s="10">
        <v>2.0</v>
      </c>
      <c r="G256" s="10">
        <v>1.0</v>
      </c>
      <c r="H256" s="12">
        <f t="shared" si="1"/>
        <v>1.576</v>
      </c>
      <c r="I256" s="13">
        <v>2.0</v>
      </c>
      <c r="J256" s="14">
        <f t="shared" si="2"/>
        <v>3.152</v>
      </c>
      <c r="K256" s="15" t="str">
        <f t="shared" si="3"/>
        <v>Baja</v>
      </c>
    </row>
    <row r="257" ht="14.25" customHeight="1">
      <c r="A257" s="6" t="s">
        <v>553</v>
      </c>
      <c r="B257" s="9" t="s">
        <v>1779</v>
      </c>
      <c r="C257" s="10">
        <v>1.0</v>
      </c>
      <c r="D257" s="10">
        <v>1.0</v>
      </c>
      <c r="E257" s="10">
        <v>3.0</v>
      </c>
      <c r="F257" s="10">
        <v>2.0</v>
      </c>
      <c r="G257" s="10">
        <v>1.0</v>
      </c>
      <c r="H257" s="12">
        <f t="shared" si="1"/>
        <v>1.576</v>
      </c>
      <c r="I257" s="13">
        <v>1.0</v>
      </c>
      <c r="J257" s="14">
        <f t="shared" si="2"/>
        <v>1.576</v>
      </c>
      <c r="K257" s="15" t="str">
        <f t="shared" si="3"/>
        <v>Baja</v>
      </c>
    </row>
    <row r="258" ht="14.25" customHeight="1">
      <c r="A258" s="6" t="s">
        <v>567</v>
      </c>
      <c r="B258" s="27" t="s">
        <v>1339</v>
      </c>
      <c r="C258" s="10">
        <v>1.0</v>
      </c>
      <c r="D258" s="10">
        <v>1.0</v>
      </c>
      <c r="E258" s="10">
        <v>3.0</v>
      </c>
      <c r="F258" s="10">
        <v>2.0</v>
      </c>
      <c r="G258" s="10">
        <v>1.0</v>
      </c>
      <c r="H258" s="12">
        <f t="shared" si="1"/>
        <v>1.576</v>
      </c>
      <c r="I258" s="13">
        <v>3.0</v>
      </c>
      <c r="J258" s="14">
        <f t="shared" si="2"/>
        <v>4.728</v>
      </c>
      <c r="K258" s="15" t="str">
        <f t="shared" si="3"/>
        <v>Media</v>
      </c>
    </row>
    <row r="259" ht="14.25" customHeight="1">
      <c r="A259" s="6" t="s">
        <v>567</v>
      </c>
      <c r="B259" s="27" t="s">
        <v>1786</v>
      </c>
      <c r="C259" s="10">
        <v>1.0</v>
      </c>
      <c r="D259" s="10">
        <v>1.0</v>
      </c>
      <c r="E259" s="10">
        <v>2.0</v>
      </c>
      <c r="F259" s="10">
        <v>1.0</v>
      </c>
      <c r="G259" s="10">
        <v>1.0</v>
      </c>
      <c r="H259" s="12">
        <f t="shared" si="1"/>
        <v>1.24</v>
      </c>
      <c r="I259" s="13">
        <v>3.0</v>
      </c>
      <c r="J259" s="14">
        <f t="shared" si="2"/>
        <v>3.72</v>
      </c>
      <c r="K259" s="15" t="str">
        <f t="shared" si="3"/>
        <v>Baja</v>
      </c>
    </row>
    <row r="260" ht="14.25" customHeight="1">
      <c r="A260" s="6" t="s">
        <v>567</v>
      </c>
      <c r="B260" s="27" t="s">
        <v>1350</v>
      </c>
      <c r="C260" s="10">
        <v>1.0</v>
      </c>
      <c r="D260" s="10">
        <v>1.0</v>
      </c>
      <c r="E260" s="10">
        <v>2.0</v>
      </c>
      <c r="F260" s="10">
        <v>1.0</v>
      </c>
      <c r="G260" s="10">
        <v>1.0</v>
      </c>
      <c r="H260" s="12">
        <f t="shared" si="1"/>
        <v>1.24</v>
      </c>
      <c r="I260" s="13">
        <v>3.0</v>
      </c>
      <c r="J260" s="14">
        <f t="shared" si="2"/>
        <v>3.72</v>
      </c>
      <c r="K260" s="15" t="str">
        <f t="shared" si="3"/>
        <v>Baja</v>
      </c>
    </row>
    <row r="261" ht="14.25" customHeight="1">
      <c r="A261" s="6" t="s">
        <v>567</v>
      </c>
      <c r="B261" s="27" t="s">
        <v>1794</v>
      </c>
      <c r="C261" s="10">
        <v>1.0</v>
      </c>
      <c r="D261" s="10">
        <v>1.0</v>
      </c>
      <c r="E261" s="10">
        <v>3.0</v>
      </c>
      <c r="F261" s="10">
        <v>3.0</v>
      </c>
      <c r="G261" s="10">
        <v>1.0</v>
      </c>
      <c r="H261" s="12">
        <f t="shared" si="1"/>
        <v>1.672</v>
      </c>
      <c r="I261" s="13">
        <v>2.0</v>
      </c>
      <c r="J261" s="14">
        <f t="shared" si="2"/>
        <v>3.344</v>
      </c>
      <c r="K261" s="15" t="str">
        <f t="shared" si="3"/>
        <v>Baja</v>
      </c>
    </row>
    <row r="262" ht="14.25" customHeight="1">
      <c r="A262" s="6" t="s">
        <v>567</v>
      </c>
      <c r="B262" s="27" t="s">
        <v>1799</v>
      </c>
      <c r="C262" s="10">
        <v>1.0</v>
      </c>
      <c r="D262" s="10">
        <v>1.0</v>
      </c>
      <c r="E262" s="10">
        <v>3.0</v>
      </c>
      <c r="F262" s="10">
        <v>1.0</v>
      </c>
      <c r="G262" s="10">
        <v>1.0</v>
      </c>
      <c r="H262" s="12">
        <f t="shared" si="1"/>
        <v>1.48</v>
      </c>
      <c r="I262" s="13">
        <v>3.0</v>
      </c>
      <c r="J262" s="14">
        <f t="shared" si="2"/>
        <v>4.44</v>
      </c>
      <c r="K262" s="15" t="str">
        <f t="shared" si="3"/>
        <v>Media</v>
      </c>
    </row>
    <row r="263" ht="14.25" customHeight="1">
      <c r="A263" s="6" t="s">
        <v>575</v>
      </c>
      <c r="B263" s="9" t="s">
        <v>1803</v>
      </c>
      <c r="C263" s="10">
        <v>1.0</v>
      </c>
      <c r="D263" s="10">
        <v>1.0</v>
      </c>
      <c r="E263" s="10">
        <v>3.0</v>
      </c>
      <c r="F263" s="10">
        <v>2.0</v>
      </c>
      <c r="G263" s="10">
        <v>1.0</v>
      </c>
      <c r="H263" s="12">
        <f t="shared" si="1"/>
        <v>1.576</v>
      </c>
      <c r="I263" s="13">
        <v>3.0</v>
      </c>
      <c r="J263" s="14">
        <f t="shared" si="2"/>
        <v>4.728</v>
      </c>
      <c r="K263" s="15" t="str">
        <f t="shared" si="3"/>
        <v>Media</v>
      </c>
    </row>
    <row r="264" ht="14.25" customHeight="1">
      <c r="A264" s="6" t="s">
        <v>575</v>
      </c>
      <c r="B264" s="9" t="s">
        <v>1359</v>
      </c>
      <c r="C264" s="10">
        <v>1.0</v>
      </c>
      <c r="D264" s="10">
        <v>1.0</v>
      </c>
      <c r="E264" s="10">
        <v>3.0</v>
      </c>
      <c r="F264" s="10">
        <v>2.0</v>
      </c>
      <c r="G264" s="10">
        <v>1.0</v>
      </c>
      <c r="H264" s="12">
        <f t="shared" si="1"/>
        <v>1.576</v>
      </c>
      <c r="I264" s="13">
        <v>2.0</v>
      </c>
      <c r="J264" s="14">
        <f t="shared" si="2"/>
        <v>3.152</v>
      </c>
      <c r="K264" s="15" t="str">
        <f t="shared" si="3"/>
        <v>Baja</v>
      </c>
    </row>
    <row r="265" ht="14.25" customHeight="1">
      <c r="A265" s="6" t="s">
        <v>575</v>
      </c>
      <c r="B265" s="9" t="s">
        <v>1350</v>
      </c>
      <c r="C265" s="10">
        <v>1.0</v>
      </c>
      <c r="D265" s="10">
        <v>1.0</v>
      </c>
      <c r="E265" s="10">
        <v>2.0</v>
      </c>
      <c r="F265" s="10">
        <v>1.0</v>
      </c>
      <c r="G265" s="10">
        <v>1.0</v>
      </c>
      <c r="H265" s="12">
        <f t="shared" si="1"/>
        <v>1.24</v>
      </c>
      <c r="I265" s="13">
        <v>3.0</v>
      </c>
      <c r="J265" s="14">
        <f t="shared" si="2"/>
        <v>3.72</v>
      </c>
      <c r="K265" s="15" t="str">
        <f t="shared" si="3"/>
        <v>Baja</v>
      </c>
    </row>
    <row r="266" ht="14.25" customHeight="1">
      <c r="A266" s="6" t="s">
        <v>586</v>
      </c>
      <c r="B266" s="27" t="s">
        <v>1813</v>
      </c>
      <c r="C266" s="10">
        <v>3.0</v>
      </c>
      <c r="D266" s="10">
        <v>2.0</v>
      </c>
      <c r="E266" s="10">
        <v>3.0</v>
      </c>
      <c r="F266" s="10">
        <v>2.0</v>
      </c>
      <c r="G266" s="10">
        <v>1.0</v>
      </c>
      <c r="H266" s="12">
        <f t="shared" si="1"/>
        <v>2.524</v>
      </c>
      <c r="I266" s="13">
        <v>1.0</v>
      </c>
      <c r="J266" s="14">
        <f t="shared" si="2"/>
        <v>2.524</v>
      </c>
      <c r="K266" s="15" t="str">
        <f t="shared" si="3"/>
        <v>Baja</v>
      </c>
    </row>
    <row r="267" ht="14.25" customHeight="1">
      <c r="A267" s="6" t="s">
        <v>586</v>
      </c>
      <c r="B267" s="27" t="s">
        <v>1818</v>
      </c>
      <c r="C267" s="10">
        <v>3.0</v>
      </c>
      <c r="D267" s="10">
        <v>2.0</v>
      </c>
      <c r="E267" s="10">
        <v>3.0</v>
      </c>
      <c r="F267" s="10">
        <v>2.0</v>
      </c>
      <c r="G267" s="10">
        <v>1.0</v>
      </c>
      <c r="H267" s="12">
        <f t="shared" si="1"/>
        <v>2.524</v>
      </c>
      <c r="I267" s="13">
        <v>3.0</v>
      </c>
      <c r="J267" s="14">
        <f t="shared" si="2"/>
        <v>7.572</v>
      </c>
      <c r="K267" s="15" t="str">
        <f t="shared" si="3"/>
        <v>Media</v>
      </c>
    </row>
    <row r="268" ht="14.25" customHeight="1">
      <c r="A268" s="6" t="s">
        <v>586</v>
      </c>
      <c r="B268" s="27" t="s">
        <v>1822</v>
      </c>
      <c r="C268" s="10">
        <v>2.0</v>
      </c>
      <c r="D268" s="10">
        <v>1.0</v>
      </c>
      <c r="E268" s="10">
        <v>2.0</v>
      </c>
      <c r="F268" s="10">
        <v>1.0</v>
      </c>
      <c r="G268" s="10">
        <v>1.0</v>
      </c>
      <c r="H268" s="12">
        <f t="shared" si="1"/>
        <v>1.624</v>
      </c>
      <c r="I268" s="13">
        <v>3.0</v>
      </c>
      <c r="J268" s="14">
        <f t="shared" si="2"/>
        <v>4.872</v>
      </c>
      <c r="K268" s="15" t="str">
        <f t="shared" si="3"/>
        <v>Media</v>
      </c>
    </row>
    <row r="269" ht="14.25" customHeight="1">
      <c r="A269" s="6" t="s">
        <v>586</v>
      </c>
      <c r="B269" s="27" t="s">
        <v>1325</v>
      </c>
      <c r="C269" s="10">
        <v>2.0</v>
      </c>
      <c r="D269" s="10">
        <v>1.0</v>
      </c>
      <c r="E269" s="10">
        <v>3.0</v>
      </c>
      <c r="F269" s="10">
        <v>2.0</v>
      </c>
      <c r="G269" s="10">
        <v>1.0</v>
      </c>
      <c r="H269" s="12">
        <f t="shared" si="1"/>
        <v>1.96</v>
      </c>
      <c r="I269" s="13">
        <v>2.0</v>
      </c>
      <c r="J269" s="14">
        <f t="shared" si="2"/>
        <v>3.92</v>
      </c>
      <c r="K269" s="15" t="str">
        <f t="shared" si="3"/>
        <v>Baja</v>
      </c>
    </row>
    <row r="270" ht="14.25" customHeight="1">
      <c r="A270" s="6" t="s">
        <v>597</v>
      </c>
      <c r="B270" s="9" t="s">
        <v>854</v>
      </c>
      <c r="C270" s="10">
        <v>1.0</v>
      </c>
      <c r="D270" s="10">
        <v>1.0</v>
      </c>
      <c r="E270" s="10">
        <v>3.0</v>
      </c>
      <c r="F270" s="10">
        <v>2.0</v>
      </c>
      <c r="G270" s="10">
        <v>1.0</v>
      </c>
      <c r="H270" s="12">
        <f t="shared" si="1"/>
        <v>1.576</v>
      </c>
      <c r="I270" s="13">
        <v>3.0</v>
      </c>
      <c r="J270" s="14">
        <f t="shared" si="2"/>
        <v>4.728</v>
      </c>
      <c r="K270" s="15" t="str">
        <f t="shared" si="3"/>
        <v>Media</v>
      </c>
    </row>
    <row r="271" ht="14.25" customHeight="1">
      <c r="A271" s="6" t="s">
        <v>597</v>
      </c>
      <c r="B271" s="9" t="s">
        <v>855</v>
      </c>
      <c r="C271" s="10">
        <v>1.0</v>
      </c>
      <c r="D271" s="10">
        <v>1.0</v>
      </c>
      <c r="E271" s="10">
        <v>3.0</v>
      </c>
      <c r="F271" s="10">
        <v>2.0</v>
      </c>
      <c r="G271" s="10">
        <v>1.0</v>
      </c>
      <c r="H271" s="12">
        <f t="shared" si="1"/>
        <v>1.576</v>
      </c>
      <c r="I271" s="13">
        <v>2.0</v>
      </c>
      <c r="J271" s="14">
        <f t="shared" si="2"/>
        <v>3.152</v>
      </c>
      <c r="K271" s="15" t="str">
        <f t="shared" si="3"/>
        <v>Baja</v>
      </c>
    </row>
    <row r="272" ht="14.25" customHeight="1">
      <c r="A272" s="6" t="s">
        <v>597</v>
      </c>
      <c r="B272" s="9" t="s">
        <v>865</v>
      </c>
      <c r="C272" s="10">
        <v>1.0</v>
      </c>
      <c r="D272" s="10">
        <v>1.0</v>
      </c>
      <c r="E272" s="10">
        <v>2.0</v>
      </c>
      <c r="F272" s="10">
        <v>1.0</v>
      </c>
      <c r="G272" s="10">
        <v>1.0</v>
      </c>
      <c r="H272" s="12">
        <f t="shared" si="1"/>
        <v>1.24</v>
      </c>
      <c r="I272" s="13">
        <v>3.0</v>
      </c>
      <c r="J272" s="14">
        <f t="shared" si="2"/>
        <v>3.72</v>
      </c>
      <c r="K272" s="15" t="str">
        <f t="shared" si="3"/>
        <v>Baja</v>
      </c>
    </row>
    <row r="273" ht="14.25" customHeight="1">
      <c r="A273" s="6" t="s">
        <v>597</v>
      </c>
      <c r="B273" s="9" t="s">
        <v>874</v>
      </c>
      <c r="C273" s="10">
        <v>1.0</v>
      </c>
      <c r="D273" s="10">
        <v>1.0</v>
      </c>
      <c r="E273" s="10">
        <v>3.0</v>
      </c>
      <c r="F273" s="10">
        <v>2.0</v>
      </c>
      <c r="G273" s="10">
        <v>1.0</v>
      </c>
      <c r="H273" s="12">
        <f t="shared" si="1"/>
        <v>1.576</v>
      </c>
      <c r="I273" s="13">
        <v>2.0</v>
      </c>
      <c r="J273" s="14">
        <f t="shared" si="2"/>
        <v>3.152</v>
      </c>
      <c r="K273" s="15" t="str">
        <f t="shared" si="3"/>
        <v>Baja</v>
      </c>
    </row>
    <row r="274" ht="14.25" customHeight="1">
      <c r="A274" s="6" t="s">
        <v>597</v>
      </c>
      <c r="B274" s="9" t="s">
        <v>882</v>
      </c>
      <c r="C274" s="10">
        <v>1.0</v>
      </c>
      <c r="D274" s="10">
        <v>1.0</v>
      </c>
      <c r="E274" s="10">
        <v>2.0</v>
      </c>
      <c r="F274" s="10">
        <v>1.0</v>
      </c>
      <c r="G274" s="10">
        <v>1.0</v>
      </c>
      <c r="H274" s="12">
        <f t="shared" si="1"/>
        <v>1.24</v>
      </c>
      <c r="I274" s="13">
        <v>3.0</v>
      </c>
      <c r="J274" s="14">
        <f t="shared" si="2"/>
        <v>3.72</v>
      </c>
      <c r="K274" s="15" t="str">
        <f t="shared" si="3"/>
        <v>Baja</v>
      </c>
    </row>
    <row r="275" ht="14.25" customHeight="1">
      <c r="A275" s="6" t="s">
        <v>597</v>
      </c>
      <c r="B275" s="9" t="s">
        <v>887</v>
      </c>
      <c r="C275" s="10">
        <v>1.0</v>
      </c>
      <c r="D275" s="10">
        <v>1.0</v>
      </c>
      <c r="E275" s="10">
        <v>2.0</v>
      </c>
      <c r="F275" s="10">
        <v>1.0</v>
      </c>
      <c r="G275" s="10">
        <v>1.0</v>
      </c>
      <c r="H275" s="12">
        <f t="shared" si="1"/>
        <v>1.24</v>
      </c>
      <c r="I275" s="13">
        <v>3.0</v>
      </c>
      <c r="J275" s="14">
        <f t="shared" si="2"/>
        <v>3.72</v>
      </c>
      <c r="K275" s="15" t="str">
        <f t="shared" si="3"/>
        <v>Baja</v>
      </c>
    </row>
    <row r="276" ht="14.25" customHeight="1">
      <c r="A276" s="6" t="s">
        <v>597</v>
      </c>
      <c r="B276" s="9" t="s">
        <v>898</v>
      </c>
      <c r="C276" s="10">
        <v>1.0</v>
      </c>
      <c r="D276" s="10">
        <v>1.0</v>
      </c>
      <c r="E276" s="10">
        <v>3.0</v>
      </c>
      <c r="F276" s="10">
        <v>2.0</v>
      </c>
      <c r="G276" s="10">
        <v>1.0</v>
      </c>
      <c r="H276" s="12">
        <f t="shared" si="1"/>
        <v>1.576</v>
      </c>
      <c r="I276" s="13">
        <v>3.0</v>
      </c>
      <c r="J276" s="14">
        <f t="shared" si="2"/>
        <v>4.728</v>
      </c>
      <c r="K276" s="15" t="str">
        <f t="shared" si="3"/>
        <v>Media</v>
      </c>
    </row>
    <row r="277" ht="14.25" customHeight="1">
      <c r="A277" s="6" t="s">
        <v>597</v>
      </c>
      <c r="B277" s="9" t="s">
        <v>902</v>
      </c>
      <c r="C277" s="10">
        <v>1.0</v>
      </c>
      <c r="D277" s="10">
        <v>1.0</v>
      </c>
      <c r="E277" s="10">
        <v>2.0</v>
      </c>
      <c r="F277" s="10">
        <v>1.0</v>
      </c>
      <c r="G277" s="10">
        <v>1.0</v>
      </c>
      <c r="H277" s="12">
        <f t="shared" si="1"/>
        <v>1.24</v>
      </c>
      <c r="I277" s="13">
        <v>3.0</v>
      </c>
      <c r="J277" s="14">
        <f t="shared" si="2"/>
        <v>3.72</v>
      </c>
      <c r="K277" s="15" t="str">
        <f t="shared" si="3"/>
        <v>Baja</v>
      </c>
    </row>
    <row r="278" ht="14.25" customHeight="1">
      <c r="A278" s="6" t="s">
        <v>605</v>
      </c>
      <c r="B278" s="27" t="s">
        <v>910</v>
      </c>
      <c r="C278" s="10">
        <v>1.0</v>
      </c>
      <c r="D278" s="10">
        <v>1.0</v>
      </c>
      <c r="E278" s="10">
        <v>2.0</v>
      </c>
      <c r="F278" s="10">
        <v>1.0</v>
      </c>
      <c r="G278" s="10">
        <v>1.0</v>
      </c>
      <c r="H278" s="12">
        <f t="shared" si="1"/>
        <v>1.24</v>
      </c>
      <c r="I278" s="13">
        <v>1.0</v>
      </c>
      <c r="J278" s="14">
        <f t="shared" si="2"/>
        <v>1.24</v>
      </c>
      <c r="K278" s="15" t="str">
        <f t="shared" si="3"/>
        <v>Baja</v>
      </c>
    </row>
    <row r="279" ht="14.25" customHeight="1">
      <c r="A279" s="6" t="s">
        <v>605</v>
      </c>
      <c r="B279" s="27" t="s">
        <v>854</v>
      </c>
      <c r="C279" s="10">
        <v>1.0</v>
      </c>
      <c r="D279" s="10">
        <v>1.0</v>
      </c>
      <c r="E279" s="10">
        <v>3.0</v>
      </c>
      <c r="F279" s="10">
        <v>2.0</v>
      </c>
      <c r="G279" s="10">
        <v>1.0</v>
      </c>
      <c r="H279" s="12">
        <f t="shared" si="1"/>
        <v>1.576</v>
      </c>
      <c r="I279" s="13">
        <v>3.0</v>
      </c>
      <c r="J279" s="14">
        <f t="shared" si="2"/>
        <v>4.728</v>
      </c>
      <c r="K279" s="15" t="str">
        <f t="shared" si="3"/>
        <v>Media</v>
      </c>
    </row>
    <row r="280" ht="14.25" customHeight="1">
      <c r="A280" s="6" t="s">
        <v>605</v>
      </c>
      <c r="B280" s="27" t="s">
        <v>930</v>
      </c>
      <c r="C280" s="10">
        <v>1.0</v>
      </c>
      <c r="D280" s="10">
        <v>1.0</v>
      </c>
      <c r="E280" s="10">
        <v>2.0</v>
      </c>
      <c r="F280" s="10">
        <v>1.0</v>
      </c>
      <c r="G280" s="10">
        <v>1.0</v>
      </c>
      <c r="H280" s="12">
        <f t="shared" si="1"/>
        <v>1.24</v>
      </c>
      <c r="I280" s="13">
        <v>1.0</v>
      </c>
      <c r="J280" s="14">
        <f t="shared" si="2"/>
        <v>1.24</v>
      </c>
      <c r="K280" s="15" t="str">
        <f t="shared" si="3"/>
        <v>Baja</v>
      </c>
    </row>
    <row r="281" ht="14.25" customHeight="1">
      <c r="A281" s="6" t="s">
        <v>605</v>
      </c>
      <c r="B281" s="27" t="s">
        <v>874</v>
      </c>
      <c r="C281" s="10">
        <v>1.0</v>
      </c>
      <c r="D281" s="10">
        <v>1.0</v>
      </c>
      <c r="E281" s="10">
        <v>3.0</v>
      </c>
      <c r="F281" s="10">
        <v>2.0</v>
      </c>
      <c r="G281" s="10">
        <v>1.0</v>
      </c>
      <c r="H281" s="12">
        <f t="shared" si="1"/>
        <v>1.576</v>
      </c>
      <c r="I281" s="13">
        <v>2.0</v>
      </c>
      <c r="J281" s="14">
        <f t="shared" si="2"/>
        <v>3.152</v>
      </c>
      <c r="K281" s="15" t="str">
        <f t="shared" si="3"/>
        <v>Baja</v>
      </c>
    </row>
    <row r="282" ht="14.25" customHeight="1">
      <c r="A282" s="6" t="s">
        <v>605</v>
      </c>
      <c r="B282" s="27" t="s">
        <v>948</v>
      </c>
      <c r="C282" s="10">
        <v>1.0</v>
      </c>
      <c r="D282" s="10">
        <v>1.0</v>
      </c>
      <c r="E282" s="10">
        <v>2.0</v>
      </c>
      <c r="F282" s="10">
        <v>1.0</v>
      </c>
      <c r="G282" s="10">
        <v>1.0</v>
      </c>
      <c r="H282" s="12">
        <f t="shared" si="1"/>
        <v>1.24</v>
      </c>
      <c r="I282" s="13">
        <v>3.0</v>
      </c>
      <c r="J282" s="14">
        <f t="shared" si="2"/>
        <v>3.72</v>
      </c>
      <c r="K282" s="15" t="str">
        <f t="shared" si="3"/>
        <v>Baja</v>
      </c>
    </row>
    <row r="283" ht="14.25" customHeight="1">
      <c r="A283" s="6" t="s">
        <v>605</v>
      </c>
      <c r="B283" s="27" t="s">
        <v>955</v>
      </c>
      <c r="C283" s="10">
        <v>1.0</v>
      </c>
      <c r="D283" s="10">
        <v>1.0</v>
      </c>
      <c r="E283" s="10">
        <v>2.0</v>
      </c>
      <c r="F283" s="10">
        <v>1.0</v>
      </c>
      <c r="G283" s="10">
        <v>1.0</v>
      </c>
      <c r="H283" s="12">
        <f t="shared" si="1"/>
        <v>1.24</v>
      </c>
      <c r="I283" s="13">
        <v>2.0</v>
      </c>
      <c r="J283" s="14">
        <f t="shared" si="2"/>
        <v>2.48</v>
      </c>
      <c r="K283" s="15" t="str">
        <f t="shared" si="3"/>
        <v>Baja</v>
      </c>
    </row>
    <row r="284" ht="14.25" customHeight="1">
      <c r="A284" s="6" t="s">
        <v>605</v>
      </c>
      <c r="B284" s="27" t="s">
        <v>966</v>
      </c>
      <c r="C284" s="10">
        <v>1.0</v>
      </c>
      <c r="D284" s="10">
        <v>1.0</v>
      </c>
      <c r="E284" s="10">
        <v>2.0</v>
      </c>
      <c r="F284" s="10">
        <v>1.0</v>
      </c>
      <c r="G284" s="10">
        <v>1.0</v>
      </c>
      <c r="H284" s="12">
        <f t="shared" si="1"/>
        <v>1.24</v>
      </c>
      <c r="I284" s="13">
        <v>3.0</v>
      </c>
      <c r="J284" s="14">
        <f t="shared" si="2"/>
        <v>3.72</v>
      </c>
      <c r="K284" s="15" t="str">
        <f t="shared" si="3"/>
        <v>Baja</v>
      </c>
    </row>
    <row r="285" ht="14.25" customHeight="1">
      <c r="A285" s="6" t="s">
        <v>610</v>
      </c>
      <c r="B285" s="9" t="s">
        <v>1157</v>
      </c>
      <c r="C285" s="10">
        <v>1.0</v>
      </c>
      <c r="D285" s="10">
        <v>1.0</v>
      </c>
      <c r="E285" s="10">
        <v>3.0</v>
      </c>
      <c r="F285" s="10">
        <v>1.0</v>
      </c>
      <c r="G285" s="10">
        <v>1.0</v>
      </c>
      <c r="H285" s="12">
        <f t="shared" si="1"/>
        <v>1.48</v>
      </c>
      <c r="I285" s="13">
        <v>2.0</v>
      </c>
      <c r="J285" s="14">
        <f t="shared" si="2"/>
        <v>2.96</v>
      </c>
      <c r="K285" s="15" t="str">
        <f t="shared" si="3"/>
        <v>Baja</v>
      </c>
    </row>
    <row r="286" ht="14.25" customHeight="1">
      <c r="A286" s="6" t="s">
        <v>610</v>
      </c>
      <c r="B286" s="9" t="s">
        <v>1167</v>
      </c>
      <c r="C286" s="10">
        <v>1.0</v>
      </c>
      <c r="D286" s="10">
        <v>1.0</v>
      </c>
      <c r="E286" s="10">
        <v>2.0</v>
      </c>
      <c r="F286" s="10">
        <v>1.0</v>
      </c>
      <c r="G286" s="10">
        <v>1.0</v>
      </c>
      <c r="H286" s="12">
        <f t="shared" si="1"/>
        <v>1.24</v>
      </c>
      <c r="I286" s="13">
        <v>1.0</v>
      </c>
      <c r="J286" s="14">
        <f t="shared" si="2"/>
        <v>1.24</v>
      </c>
      <c r="K286" s="15" t="str">
        <f t="shared" si="3"/>
        <v>Baja</v>
      </c>
    </row>
    <row r="287" ht="14.25" customHeight="1">
      <c r="A287" s="6" t="s">
        <v>610</v>
      </c>
      <c r="B287" s="9" t="s">
        <v>1176</v>
      </c>
      <c r="C287" s="10">
        <v>1.0</v>
      </c>
      <c r="D287" s="10">
        <v>1.0</v>
      </c>
      <c r="E287" s="10">
        <v>2.0</v>
      </c>
      <c r="F287" s="10">
        <v>1.0</v>
      </c>
      <c r="G287" s="10">
        <v>1.0</v>
      </c>
      <c r="H287" s="12">
        <f t="shared" si="1"/>
        <v>1.24</v>
      </c>
      <c r="I287" s="13">
        <v>3.0</v>
      </c>
      <c r="J287" s="14">
        <f t="shared" si="2"/>
        <v>3.72</v>
      </c>
      <c r="K287" s="15" t="str">
        <f t="shared" si="3"/>
        <v>Baja</v>
      </c>
    </row>
    <row r="288" ht="14.25" customHeight="1">
      <c r="A288" s="6" t="s">
        <v>610</v>
      </c>
      <c r="B288" s="9" t="s">
        <v>1184</v>
      </c>
      <c r="C288" s="10">
        <v>1.0</v>
      </c>
      <c r="D288" s="10">
        <v>1.0</v>
      </c>
      <c r="E288" s="10">
        <v>2.0</v>
      </c>
      <c r="F288" s="10">
        <v>1.0</v>
      </c>
      <c r="G288" s="10">
        <v>1.0</v>
      </c>
      <c r="H288" s="12">
        <f t="shared" si="1"/>
        <v>1.24</v>
      </c>
      <c r="I288" s="13">
        <v>2.0</v>
      </c>
      <c r="J288" s="14">
        <f t="shared" si="2"/>
        <v>2.48</v>
      </c>
      <c r="K288" s="15" t="str">
        <f t="shared" si="3"/>
        <v>Baja</v>
      </c>
    </row>
    <row r="289" ht="14.25" customHeight="1">
      <c r="A289" s="6" t="s">
        <v>565</v>
      </c>
      <c r="B289" s="27" t="s">
        <v>1897</v>
      </c>
      <c r="C289" s="10">
        <v>1.0</v>
      </c>
      <c r="D289" s="10">
        <v>2.0</v>
      </c>
      <c r="E289" s="10">
        <v>2.0</v>
      </c>
      <c r="F289" s="10">
        <v>1.0</v>
      </c>
      <c r="G289" s="10">
        <v>1.0</v>
      </c>
      <c r="H289" s="12">
        <f t="shared" si="1"/>
        <v>1.42</v>
      </c>
      <c r="I289" s="13">
        <v>1.0</v>
      </c>
      <c r="J289" s="14">
        <f t="shared" si="2"/>
        <v>1.42</v>
      </c>
      <c r="K289" s="15" t="str">
        <f t="shared" si="3"/>
        <v>Baja</v>
      </c>
    </row>
    <row r="290" ht="14.25" customHeight="1">
      <c r="A290" s="6" t="s">
        <v>565</v>
      </c>
      <c r="B290" s="27" t="s">
        <v>1905</v>
      </c>
      <c r="C290" s="10">
        <v>1.0</v>
      </c>
      <c r="D290" s="10">
        <v>2.0</v>
      </c>
      <c r="E290" s="10">
        <v>3.0</v>
      </c>
      <c r="F290" s="10">
        <v>1.0</v>
      </c>
      <c r="G290" s="10">
        <v>1.0</v>
      </c>
      <c r="H290" s="12">
        <f t="shared" si="1"/>
        <v>1.66</v>
      </c>
      <c r="I290" s="13">
        <v>2.0</v>
      </c>
      <c r="J290" s="14">
        <f t="shared" si="2"/>
        <v>3.32</v>
      </c>
      <c r="K290" s="15" t="str">
        <f t="shared" si="3"/>
        <v>Baja</v>
      </c>
    </row>
    <row r="291" ht="14.25" customHeight="1">
      <c r="A291" s="6" t="s">
        <v>565</v>
      </c>
      <c r="B291" s="27" t="s">
        <v>1911</v>
      </c>
      <c r="C291" s="10">
        <v>1.0</v>
      </c>
      <c r="D291" s="10">
        <v>1.0</v>
      </c>
      <c r="E291" s="10">
        <v>3.0</v>
      </c>
      <c r="F291" s="10">
        <v>1.0</v>
      </c>
      <c r="G291" s="10">
        <v>1.0</v>
      </c>
      <c r="H291" s="12">
        <f t="shared" si="1"/>
        <v>1.48</v>
      </c>
      <c r="I291" s="13">
        <v>2.0</v>
      </c>
      <c r="J291" s="14">
        <f t="shared" si="2"/>
        <v>2.96</v>
      </c>
      <c r="K291" s="15" t="str">
        <f t="shared" si="3"/>
        <v>Baja</v>
      </c>
    </row>
    <row r="292" ht="14.25" customHeight="1">
      <c r="A292" s="6" t="s">
        <v>565</v>
      </c>
      <c r="B292" s="27" t="s">
        <v>1918</v>
      </c>
      <c r="C292" s="10">
        <v>1.0</v>
      </c>
      <c r="D292" s="10">
        <v>1.0</v>
      </c>
      <c r="E292" s="10">
        <v>2.0</v>
      </c>
      <c r="F292" s="10">
        <v>1.0</v>
      </c>
      <c r="G292" s="10">
        <v>1.0</v>
      </c>
      <c r="H292" s="12">
        <f t="shared" si="1"/>
        <v>1.24</v>
      </c>
      <c r="I292" s="13">
        <v>2.0</v>
      </c>
      <c r="J292" s="14">
        <f t="shared" si="2"/>
        <v>2.48</v>
      </c>
      <c r="K292" s="15" t="str">
        <f t="shared" si="3"/>
        <v>Baja</v>
      </c>
    </row>
    <row r="293" ht="14.25" customHeight="1">
      <c r="A293" s="6" t="s">
        <v>633</v>
      </c>
      <c r="B293" s="9" t="s">
        <v>1905</v>
      </c>
      <c r="C293" s="10">
        <v>1.0</v>
      </c>
      <c r="D293" s="10">
        <v>2.0</v>
      </c>
      <c r="E293" s="10">
        <v>3.0</v>
      </c>
      <c r="F293" s="10">
        <v>1.0</v>
      </c>
      <c r="G293" s="10">
        <v>1.0</v>
      </c>
      <c r="H293" s="12">
        <f t="shared" si="1"/>
        <v>1.66</v>
      </c>
      <c r="I293" s="13">
        <v>2.0</v>
      </c>
      <c r="J293" s="14">
        <f t="shared" si="2"/>
        <v>3.32</v>
      </c>
      <c r="K293" s="15" t="str">
        <f t="shared" si="3"/>
        <v>Baja</v>
      </c>
    </row>
    <row r="294" ht="14.25" customHeight="1">
      <c r="A294" s="6" t="s">
        <v>633</v>
      </c>
      <c r="B294" s="9" t="s">
        <v>1911</v>
      </c>
      <c r="C294" s="10">
        <v>1.0</v>
      </c>
      <c r="D294" s="10">
        <v>1.0</v>
      </c>
      <c r="E294" s="10">
        <v>3.0</v>
      </c>
      <c r="F294" s="10">
        <v>1.0</v>
      </c>
      <c r="G294" s="10">
        <v>1.0</v>
      </c>
      <c r="H294" s="12">
        <f t="shared" si="1"/>
        <v>1.48</v>
      </c>
      <c r="I294" s="13">
        <v>2.0</v>
      </c>
      <c r="J294" s="14">
        <f t="shared" si="2"/>
        <v>2.96</v>
      </c>
      <c r="K294" s="15" t="str">
        <f t="shared" si="3"/>
        <v>Baja</v>
      </c>
    </row>
    <row r="295" ht="14.25" customHeight="1">
      <c r="A295" s="6" t="s">
        <v>636</v>
      </c>
      <c r="B295" s="27" t="s">
        <v>1928</v>
      </c>
      <c r="C295" s="10">
        <v>1.0</v>
      </c>
      <c r="D295" s="10">
        <v>1.0</v>
      </c>
      <c r="E295" s="10">
        <v>3.0</v>
      </c>
      <c r="F295" s="10">
        <v>3.0</v>
      </c>
      <c r="G295" s="10">
        <v>1.0</v>
      </c>
      <c r="H295" s="12">
        <f t="shared" si="1"/>
        <v>1.672</v>
      </c>
      <c r="I295" s="13">
        <v>2.0</v>
      </c>
      <c r="J295" s="14">
        <f t="shared" si="2"/>
        <v>3.344</v>
      </c>
      <c r="K295" s="15" t="str">
        <f t="shared" si="3"/>
        <v>Baja</v>
      </c>
    </row>
    <row r="296" ht="14.25" customHeight="1">
      <c r="A296" s="6" t="s">
        <v>636</v>
      </c>
      <c r="B296" s="27" t="s">
        <v>1932</v>
      </c>
      <c r="C296" s="10">
        <v>1.0</v>
      </c>
      <c r="D296" s="10">
        <v>1.0</v>
      </c>
      <c r="E296" s="10">
        <v>3.0</v>
      </c>
      <c r="F296" s="10">
        <v>1.0</v>
      </c>
      <c r="G296" s="10">
        <v>1.0</v>
      </c>
      <c r="H296" s="12">
        <f t="shared" si="1"/>
        <v>1.48</v>
      </c>
      <c r="I296" s="13">
        <v>1.0</v>
      </c>
      <c r="J296" s="14">
        <f t="shared" si="2"/>
        <v>1.48</v>
      </c>
      <c r="K296" s="15" t="str">
        <f t="shared" si="3"/>
        <v>Baja</v>
      </c>
    </row>
    <row r="297" ht="14.25" customHeight="1">
      <c r="A297" s="6" t="s">
        <v>636</v>
      </c>
      <c r="B297" s="27" t="s">
        <v>1911</v>
      </c>
      <c r="C297" s="10">
        <v>1.0</v>
      </c>
      <c r="D297" s="10">
        <v>1.0</v>
      </c>
      <c r="E297" s="10">
        <v>3.0</v>
      </c>
      <c r="F297" s="10">
        <v>1.0</v>
      </c>
      <c r="G297" s="10">
        <v>1.0</v>
      </c>
      <c r="H297" s="12">
        <f t="shared" si="1"/>
        <v>1.48</v>
      </c>
      <c r="I297" s="13">
        <v>2.0</v>
      </c>
      <c r="J297" s="14">
        <f t="shared" si="2"/>
        <v>2.96</v>
      </c>
      <c r="K297" s="15" t="str">
        <f t="shared" si="3"/>
        <v>Baja</v>
      </c>
    </row>
    <row r="298" ht="14.25" customHeight="1">
      <c r="A298" s="6" t="s">
        <v>636</v>
      </c>
      <c r="B298" s="27" t="s">
        <v>1918</v>
      </c>
      <c r="C298" s="10">
        <v>1.0</v>
      </c>
      <c r="D298" s="10">
        <v>1.0</v>
      </c>
      <c r="E298" s="10">
        <v>2.0</v>
      </c>
      <c r="F298" s="10">
        <v>1.0</v>
      </c>
      <c r="G298" s="10">
        <v>1.0</v>
      </c>
      <c r="H298" s="12">
        <f t="shared" si="1"/>
        <v>1.24</v>
      </c>
      <c r="I298" s="13">
        <v>2.0</v>
      </c>
      <c r="J298" s="14">
        <f t="shared" si="2"/>
        <v>2.48</v>
      </c>
      <c r="K298" s="15" t="str">
        <f t="shared" si="3"/>
        <v>Baja</v>
      </c>
    </row>
    <row r="299" ht="14.25" customHeight="1">
      <c r="A299" s="6" t="s">
        <v>643</v>
      </c>
      <c r="B299" s="9" t="s">
        <v>1246</v>
      </c>
      <c r="C299" s="10">
        <v>3.0</v>
      </c>
      <c r="D299" s="10">
        <v>2.0</v>
      </c>
      <c r="E299" s="10">
        <v>3.0</v>
      </c>
      <c r="F299" s="10">
        <v>1.0</v>
      </c>
      <c r="G299" s="10">
        <v>1.0</v>
      </c>
      <c r="H299" s="12">
        <f t="shared" si="1"/>
        <v>2.428</v>
      </c>
      <c r="I299" s="13">
        <v>3.0</v>
      </c>
      <c r="J299" s="14">
        <f t="shared" si="2"/>
        <v>7.284</v>
      </c>
      <c r="K299" s="15" t="str">
        <f t="shared" si="3"/>
        <v>Media</v>
      </c>
    </row>
    <row r="300" ht="14.25" customHeight="1">
      <c r="A300" s="6" t="s">
        <v>643</v>
      </c>
      <c r="B300" s="9" t="s">
        <v>1248</v>
      </c>
      <c r="C300" s="10">
        <v>3.0</v>
      </c>
      <c r="D300" s="10">
        <v>2.0</v>
      </c>
      <c r="E300" s="10">
        <v>2.0</v>
      </c>
      <c r="F300" s="10">
        <v>2.0</v>
      </c>
      <c r="G300" s="10">
        <v>1.0</v>
      </c>
      <c r="H300" s="12">
        <f t="shared" si="1"/>
        <v>2.284</v>
      </c>
      <c r="I300" s="13">
        <v>2.0</v>
      </c>
      <c r="J300" s="14">
        <f t="shared" si="2"/>
        <v>4.568</v>
      </c>
      <c r="K300" s="15" t="str">
        <f t="shared" si="3"/>
        <v>Media</v>
      </c>
    </row>
    <row r="301" ht="14.25" customHeight="1">
      <c r="A301" s="6" t="s">
        <v>643</v>
      </c>
      <c r="B301" s="9" t="s">
        <v>1255</v>
      </c>
      <c r="C301" s="10">
        <v>2.0</v>
      </c>
      <c r="D301" s="10">
        <v>1.0</v>
      </c>
      <c r="E301" s="10">
        <v>2.0</v>
      </c>
      <c r="F301" s="10">
        <v>1.0</v>
      </c>
      <c r="G301" s="10">
        <v>1.0</v>
      </c>
      <c r="H301" s="12">
        <f t="shared" si="1"/>
        <v>1.624</v>
      </c>
      <c r="I301" s="13">
        <v>2.0</v>
      </c>
      <c r="J301" s="14">
        <f t="shared" si="2"/>
        <v>3.248</v>
      </c>
      <c r="K301" s="15" t="str">
        <f t="shared" si="3"/>
        <v>Baja</v>
      </c>
    </row>
    <row r="302" ht="14.25" customHeight="1">
      <c r="A302" s="6" t="s">
        <v>643</v>
      </c>
      <c r="B302" s="9" t="s">
        <v>1259</v>
      </c>
      <c r="C302" s="10">
        <v>2.0</v>
      </c>
      <c r="D302" s="10">
        <v>1.0</v>
      </c>
      <c r="E302" s="10">
        <v>2.0</v>
      </c>
      <c r="F302" s="10">
        <v>2.0</v>
      </c>
      <c r="G302" s="10">
        <v>1.0</v>
      </c>
      <c r="H302" s="12">
        <f t="shared" si="1"/>
        <v>1.72</v>
      </c>
      <c r="I302" s="13">
        <v>2.0</v>
      </c>
      <c r="J302" s="14">
        <f t="shared" si="2"/>
        <v>3.44</v>
      </c>
      <c r="K302" s="15" t="str">
        <f t="shared" si="3"/>
        <v>Baja</v>
      </c>
    </row>
    <row r="303" ht="14.25" customHeight="1">
      <c r="A303" s="6" t="s">
        <v>643</v>
      </c>
      <c r="B303" s="9" t="s">
        <v>1265</v>
      </c>
      <c r="C303" s="10">
        <v>2.0</v>
      </c>
      <c r="D303" s="10">
        <v>1.0</v>
      </c>
      <c r="E303" s="10">
        <v>2.0</v>
      </c>
      <c r="F303" s="10">
        <v>1.0</v>
      </c>
      <c r="G303" s="10">
        <v>1.0</v>
      </c>
      <c r="H303" s="12">
        <f t="shared" si="1"/>
        <v>1.624</v>
      </c>
      <c r="I303" s="13">
        <v>3.0</v>
      </c>
      <c r="J303" s="14">
        <f t="shared" si="2"/>
        <v>4.872</v>
      </c>
      <c r="K303" s="15" t="str">
        <f t="shared" si="3"/>
        <v>Media</v>
      </c>
    </row>
    <row r="304" ht="14.25" customHeight="1">
      <c r="A304" s="6" t="s">
        <v>643</v>
      </c>
      <c r="B304" s="9" t="s">
        <v>1275</v>
      </c>
      <c r="C304" s="10">
        <v>2.0</v>
      </c>
      <c r="D304" s="10">
        <v>1.0</v>
      </c>
      <c r="E304" s="10">
        <v>2.0</v>
      </c>
      <c r="F304" s="10">
        <v>1.0</v>
      </c>
      <c r="G304" s="10">
        <v>1.0</v>
      </c>
      <c r="H304" s="12">
        <f t="shared" si="1"/>
        <v>1.624</v>
      </c>
      <c r="I304" s="13">
        <v>2.0</v>
      </c>
      <c r="J304" s="14">
        <f t="shared" si="2"/>
        <v>3.248</v>
      </c>
      <c r="K304" s="15" t="str">
        <f t="shared" si="3"/>
        <v>Baja</v>
      </c>
    </row>
    <row r="305" ht="14.25" customHeight="1">
      <c r="A305" s="6" t="s">
        <v>650</v>
      </c>
      <c r="B305" s="27" t="s">
        <v>1744</v>
      </c>
      <c r="C305" s="10">
        <v>3.0</v>
      </c>
      <c r="D305" s="10">
        <v>2.0</v>
      </c>
      <c r="E305" s="10">
        <v>3.0</v>
      </c>
      <c r="F305" s="10">
        <v>1.0</v>
      </c>
      <c r="G305" s="10">
        <v>1.0</v>
      </c>
      <c r="H305" s="12">
        <f t="shared" si="1"/>
        <v>2.428</v>
      </c>
      <c r="I305" s="13">
        <v>1.0</v>
      </c>
      <c r="J305" s="14">
        <f t="shared" si="2"/>
        <v>2.428</v>
      </c>
      <c r="K305" s="15" t="str">
        <f t="shared" si="3"/>
        <v>Baja</v>
      </c>
    </row>
    <row r="306" ht="14.25" customHeight="1">
      <c r="A306" s="6" t="s">
        <v>650</v>
      </c>
      <c r="B306" s="27" t="s">
        <v>1964</v>
      </c>
      <c r="C306" s="10">
        <v>2.0</v>
      </c>
      <c r="D306" s="10">
        <v>1.0</v>
      </c>
      <c r="E306" s="10">
        <v>3.0</v>
      </c>
      <c r="F306" s="10">
        <v>1.0</v>
      </c>
      <c r="G306" s="10">
        <v>1.0</v>
      </c>
      <c r="H306" s="12">
        <f t="shared" si="1"/>
        <v>1.864</v>
      </c>
      <c r="I306" s="13">
        <v>2.0</v>
      </c>
      <c r="J306" s="14">
        <f t="shared" si="2"/>
        <v>3.728</v>
      </c>
      <c r="K306" s="15" t="str">
        <f t="shared" si="3"/>
        <v>Baja</v>
      </c>
    </row>
    <row r="307" ht="14.25" customHeight="1">
      <c r="A307" s="6" t="s">
        <v>650</v>
      </c>
      <c r="B307" s="27" t="s">
        <v>1749</v>
      </c>
      <c r="C307" s="10">
        <v>2.0</v>
      </c>
      <c r="D307" s="10">
        <v>1.0</v>
      </c>
      <c r="E307" s="10">
        <v>2.0</v>
      </c>
      <c r="F307" s="10">
        <v>1.0</v>
      </c>
      <c r="G307" s="10">
        <v>1.0</v>
      </c>
      <c r="H307" s="12">
        <f t="shared" si="1"/>
        <v>1.624</v>
      </c>
      <c r="I307" s="13">
        <v>2.0</v>
      </c>
      <c r="J307" s="14">
        <f t="shared" si="2"/>
        <v>3.248</v>
      </c>
      <c r="K307" s="15" t="str">
        <f t="shared" si="3"/>
        <v>Baja</v>
      </c>
    </row>
    <row r="308" ht="14.25" customHeight="1">
      <c r="A308" s="6" t="s">
        <v>660</v>
      </c>
      <c r="B308" s="9" t="s">
        <v>1979</v>
      </c>
      <c r="C308" s="10">
        <v>1.0</v>
      </c>
      <c r="D308" s="10">
        <v>1.0</v>
      </c>
      <c r="E308" s="10">
        <v>3.0</v>
      </c>
      <c r="F308" s="10">
        <v>2.0</v>
      </c>
      <c r="G308" s="10">
        <v>1.0</v>
      </c>
      <c r="H308" s="12">
        <f t="shared" si="1"/>
        <v>1.576</v>
      </c>
      <c r="I308" s="13">
        <v>2.0</v>
      </c>
      <c r="J308" s="14">
        <f t="shared" si="2"/>
        <v>3.152</v>
      </c>
      <c r="K308" s="15" t="str">
        <f t="shared" si="3"/>
        <v>Baja</v>
      </c>
    </row>
    <row r="309" ht="14.25" customHeight="1">
      <c r="A309" s="6" t="s">
        <v>660</v>
      </c>
      <c r="B309" s="9" t="s">
        <v>1984</v>
      </c>
      <c r="C309" s="10">
        <v>1.0</v>
      </c>
      <c r="D309" s="10">
        <v>1.0</v>
      </c>
      <c r="E309" s="10">
        <v>2.0</v>
      </c>
      <c r="F309" s="10">
        <v>2.0</v>
      </c>
      <c r="G309" s="10">
        <v>1.0</v>
      </c>
      <c r="H309" s="12">
        <f t="shared" si="1"/>
        <v>1.336</v>
      </c>
      <c r="I309" s="13">
        <v>2.0</v>
      </c>
      <c r="J309" s="14">
        <f t="shared" si="2"/>
        <v>2.672</v>
      </c>
      <c r="K309" s="15" t="str">
        <f t="shared" si="3"/>
        <v>Baja</v>
      </c>
    </row>
    <row r="310" ht="14.25" customHeight="1">
      <c r="A310" s="6" t="s">
        <v>660</v>
      </c>
      <c r="B310" s="9" t="s">
        <v>1988</v>
      </c>
      <c r="C310" s="10">
        <v>1.0</v>
      </c>
      <c r="D310" s="10">
        <v>1.0</v>
      </c>
      <c r="E310" s="10">
        <v>3.0</v>
      </c>
      <c r="F310" s="10">
        <v>2.0</v>
      </c>
      <c r="G310" s="10">
        <v>1.0</v>
      </c>
      <c r="H310" s="12">
        <f t="shared" si="1"/>
        <v>1.576</v>
      </c>
      <c r="I310" s="13">
        <v>1.0</v>
      </c>
      <c r="J310" s="14">
        <f t="shared" si="2"/>
        <v>1.576</v>
      </c>
      <c r="K310" s="15" t="str">
        <f t="shared" si="3"/>
        <v>Baja</v>
      </c>
    </row>
    <row r="311" ht="14.25" customHeight="1">
      <c r="A311" s="6" t="s">
        <v>660</v>
      </c>
      <c r="B311" s="9" t="s">
        <v>1994</v>
      </c>
      <c r="C311" s="10">
        <v>1.0</v>
      </c>
      <c r="D311" s="10">
        <v>1.0</v>
      </c>
      <c r="E311" s="10">
        <v>3.0</v>
      </c>
      <c r="F311" s="10">
        <v>2.0</v>
      </c>
      <c r="G311" s="10">
        <v>1.0</v>
      </c>
      <c r="H311" s="12">
        <f t="shared" si="1"/>
        <v>1.576</v>
      </c>
      <c r="I311" s="13">
        <v>3.0</v>
      </c>
      <c r="J311" s="14">
        <f t="shared" si="2"/>
        <v>4.728</v>
      </c>
      <c r="K311" s="15" t="str">
        <f t="shared" si="3"/>
        <v>Media</v>
      </c>
    </row>
    <row r="312" ht="14.25" customHeight="1">
      <c r="A312" s="6" t="s">
        <v>671</v>
      </c>
      <c r="B312" s="27" t="s">
        <v>1770</v>
      </c>
      <c r="C312" s="10">
        <v>1.0</v>
      </c>
      <c r="D312" s="10">
        <v>1.0</v>
      </c>
      <c r="E312" s="10">
        <v>3.0</v>
      </c>
      <c r="F312" s="10">
        <v>2.0</v>
      </c>
      <c r="G312" s="10">
        <v>1.0</v>
      </c>
      <c r="H312" s="12">
        <f t="shared" si="1"/>
        <v>1.576</v>
      </c>
      <c r="I312" s="13">
        <v>1.0</v>
      </c>
      <c r="J312" s="14">
        <f t="shared" si="2"/>
        <v>1.576</v>
      </c>
      <c r="K312" s="15" t="str">
        <f t="shared" si="3"/>
        <v>Baja</v>
      </c>
    </row>
    <row r="313" ht="14.25" customHeight="1">
      <c r="A313" s="6" t="s">
        <v>671</v>
      </c>
      <c r="B313" s="27" t="s">
        <v>1775</v>
      </c>
      <c r="C313" s="10">
        <v>1.0</v>
      </c>
      <c r="D313" s="10">
        <v>1.0</v>
      </c>
      <c r="E313" s="10">
        <v>3.0</v>
      </c>
      <c r="F313" s="10">
        <v>2.0</v>
      </c>
      <c r="G313" s="10">
        <v>1.0</v>
      </c>
      <c r="H313" s="12">
        <f t="shared" si="1"/>
        <v>1.576</v>
      </c>
      <c r="I313" s="13">
        <v>2.0</v>
      </c>
      <c r="J313" s="14">
        <f t="shared" si="2"/>
        <v>3.152</v>
      </c>
      <c r="K313" s="15" t="str">
        <f t="shared" si="3"/>
        <v>Baja</v>
      </c>
    </row>
    <row r="314" ht="14.25" customHeight="1">
      <c r="A314" s="6" t="s">
        <v>671</v>
      </c>
      <c r="B314" s="27" t="s">
        <v>1779</v>
      </c>
      <c r="C314" s="10">
        <v>1.0</v>
      </c>
      <c r="D314" s="10">
        <v>1.0</v>
      </c>
      <c r="E314" s="10">
        <v>3.0</v>
      </c>
      <c r="F314" s="10">
        <v>2.0</v>
      </c>
      <c r="G314" s="10">
        <v>1.0</v>
      </c>
      <c r="H314" s="12">
        <f t="shared" si="1"/>
        <v>1.576</v>
      </c>
      <c r="I314" s="13">
        <v>1.0</v>
      </c>
      <c r="J314" s="14">
        <f t="shared" si="2"/>
        <v>1.576</v>
      </c>
      <c r="K314" s="15" t="str">
        <f t="shared" si="3"/>
        <v>Baja</v>
      </c>
    </row>
    <row r="315" ht="14.25" customHeight="1">
      <c r="A315" s="6" t="s">
        <v>682</v>
      </c>
      <c r="B315" s="9" t="s">
        <v>1813</v>
      </c>
      <c r="C315" s="10">
        <v>3.0</v>
      </c>
      <c r="D315" s="10">
        <v>2.0</v>
      </c>
      <c r="E315" s="10">
        <v>3.0</v>
      </c>
      <c r="F315" s="10">
        <v>2.0</v>
      </c>
      <c r="G315" s="10">
        <v>1.0</v>
      </c>
      <c r="H315" s="12">
        <f t="shared" si="1"/>
        <v>2.524</v>
      </c>
      <c r="I315" s="13">
        <v>1.0</v>
      </c>
      <c r="J315" s="14">
        <f t="shared" si="2"/>
        <v>2.524</v>
      </c>
      <c r="K315" s="15" t="str">
        <f t="shared" si="3"/>
        <v>Baja</v>
      </c>
    </row>
    <row r="316" ht="14.25" customHeight="1">
      <c r="A316" s="6" t="s">
        <v>682</v>
      </c>
      <c r="B316" s="9" t="s">
        <v>2009</v>
      </c>
      <c r="C316" s="10">
        <v>3.0</v>
      </c>
      <c r="D316" s="10">
        <v>2.0</v>
      </c>
      <c r="E316" s="10">
        <v>3.0</v>
      </c>
      <c r="F316" s="10">
        <v>4.0</v>
      </c>
      <c r="G316" s="10">
        <v>1.0</v>
      </c>
      <c r="H316" s="12">
        <f t="shared" si="1"/>
        <v>2.716</v>
      </c>
      <c r="I316" s="13">
        <v>1.0</v>
      </c>
      <c r="J316" s="14">
        <f t="shared" si="2"/>
        <v>2.716</v>
      </c>
      <c r="K316" s="15" t="str">
        <f t="shared" si="3"/>
        <v>Baja</v>
      </c>
    </row>
    <row r="317" ht="14.25" customHeight="1">
      <c r="A317" s="6" t="s">
        <v>682</v>
      </c>
      <c r="B317" s="9" t="s">
        <v>1822</v>
      </c>
      <c r="C317" s="10">
        <v>2.0</v>
      </c>
      <c r="D317" s="10">
        <v>1.0</v>
      </c>
      <c r="E317" s="10">
        <v>2.0</v>
      </c>
      <c r="F317" s="10">
        <v>1.0</v>
      </c>
      <c r="G317" s="10">
        <v>1.0</v>
      </c>
      <c r="H317" s="12">
        <f t="shared" si="1"/>
        <v>1.624</v>
      </c>
      <c r="I317" s="13">
        <v>3.0</v>
      </c>
      <c r="J317" s="14">
        <f t="shared" si="2"/>
        <v>4.872</v>
      </c>
      <c r="K317" s="15" t="str">
        <f t="shared" si="3"/>
        <v>Media</v>
      </c>
    </row>
    <row r="318" ht="14.25" customHeight="1">
      <c r="A318" s="6" t="s">
        <v>682</v>
      </c>
      <c r="B318" s="9" t="s">
        <v>2011</v>
      </c>
      <c r="C318" s="10">
        <v>2.0</v>
      </c>
      <c r="D318" s="10">
        <v>1.0</v>
      </c>
      <c r="E318" s="10">
        <v>3.0</v>
      </c>
      <c r="F318" s="10">
        <v>2.0</v>
      </c>
      <c r="G318" s="10">
        <v>1.0</v>
      </c>
      <c r="H318" s="12">
        <f t="shared" si="1"/>
        <v>1.96</v>
      </c>
      <c r="I318" s="13">
        <v>3.0</v>
      </c>
      <c r="J318" s="14">
        <f t="shared" si="2"/>
        <v>5.88</v>
      </c>
      <c r="K318" s="15" t="str">
        <f t="shared" si="3"/>
        <v>Media</v>
      </c>
    </row>
    <row r="319" ht="14.25" customHeight="1">
      <c r="A319" s="6" t="s">
        <v>690</v>
      </c>
      <c r="B319" s="27" t="s">
        <v>999</v>
      </c>
      <c r="C319" s="10">
        <v>2.0</v>
      </c>
      <c r="D319" s="10">
        <v>2.0</v>
      </c>
      <c r="E319" s="10">
        <v>3.0</v>
      </c>
      <c r="F319" s="10">
        <v>3.0</v>
      </c>
      <c r="G319" s="10">
        <v>1.0</v>
      </c>
      <c r="H319" s="12">
        <f t="shared" si="1"/>
        <v>2.236</v>
      </c>
      <c r="I319" s="13">
        <v>2.0</v>
      </c>
      <c r="J319" s="14">
        <f t="shared" si="2"/>
        <v>4.472</v>
      </c>
      <c r="K319" s="15" t="str">
        <f t="shared" si="3"/>
        <v>Media</v>
      </c>
    </row>
    <row r="320" ht="14.25" customHeight="1">
      <c r="A320" s="6" t="s">
        <v>690</v>
      </c>
      <c r="B320" s="27" t="s">
        <v>1005</v>
      </c>
      <c r="C320" s="10">
        <v>2.0</v>
      </c>
      <c r="D320" s="10">
        <v>2.0</v>
      </c>
      <c r="E320" s="10">
        <v>2.0</v>
      </c>
      <c r="F320" s="10">
        <v>3.0</v>
      </c>
      <c r="G320" s="10">
        <v>1.0</v>
      </c>
      <c r="H320" s="12">
        <f t="shared" si="1"/>
        <v>1.996</v>
      </c>
      <c r="I320" s="13">
        <v>1.0</v>
      </c>
      <c r="J320" s="14">
        <f t="shared" si="2"/>
        <v>1.996</v>
      </c>
      <c r="K320" s="15" t="str">
        <f t="shared" si="3"/>
        <v>Baja</v>
      </c>
    </row>
    <row r="321" ht="14.25" customHeight="1">
      <c r="A321" s="6" t="s">
        <v>690</v>
      </c>
      <c r="B321" s="27" t="s">
        <v>1017</v>
      </c>
      <c r="C321" s="10">
        <v>2.0</v>
      </c>
      <c r="D321" s="10">
        <v>2.0</v>
      </c>
      <c r="E321" s="10">
        <v>3.0</v>
      </c>
      <c r="F321" s="10">
        <v>3.0</v>
      </c>
      <c r="G321" s="10">
        <v>1.0</v>
      </c>
      <c r="H321" s="12">
        <f t="shared" si="1"/>
        <v>2.236</v>
      </c>
      <c r="I321" s="13">
        <v>2.0</v>
      </c>
      <c r="J321" s="14">
        <f t="shared" si="2"/>
        <v>4.472</v>
      </c>
      <c r="K321" s="15" t="str">
        <f t="shared" si="3"/>
        <v>Media</v>
      </c>
    </row>
    <row r="322" ht="14.25" customHeight="1">
      <c r="A322" s="6" t="s">
        <v>690</v>
      </c>
      <c r="B322" s="27" t="s">
        <v>727</v>
      </c>
      <c r="C322" s="10">
        <v>1.0</v>
      </c>
      <c r="D322" s="10">
        <v>1.0</v>
      </c>
      <c r="E322" s="10">
        <v>3.0</v>
      </c>
      <c r="F322" s="10">
        <v>3.0</v>
      </c>
      <c r="G322" s="10">
        <v>1.0</v>
      </c>
      <c r="H322" s="12">
        <f t="shared" si="1"/>
        <v>1.672</v>
      </c>
      <c r="I322" s="13">
        <v>2.0</v>
      </c>
      <c r="J322" s="14">
        <f t="shared" si="2"/>
        <v>3.344</v>
      </c>
      <c r="K322" s="15" t="str">
        <f t="shared" si="3"/>
        <v>Baja</v>
      </c>
    </row>
    <row r="323" ht="14.25" customHeight="1">
      <c r="A323" s="6" t="s">
        <v>690</v>
      </c>
      <c r="B323" s="27" t="s">
        <v>1036</v>
      </c>
      <c r="C323" s="10">
        <v>1.0</v>
      </c>
      <c r="D323" s="10">
        <v>1.0</v>
      </c>
      <c r="E323" s="10">
        <v>3.0</v>
      </c>
      <c r="F323" s="10">
        <v>1.0</v>
      </c>
      <c r="G323" s="10">
        <v>1.0</v>
      </c>
      <c r="H323" s="12">
        <f t="shared" si="1"/>
        <v>1.48</v>
      </c>
      <c r="I323" s="13">
        <v>2.0</v>
      </c>
      <c r="J323" s="14">
        <f t="shared" si="2"/>
        <v>2.96</v>
      </c>
      <c r="K323" s="15" t="str">
        <f t="shared" si="3"/>
        <v>Baja</v>
      </c>
    </row>
    <row r="324" ht="14.25" customHeight="1">
      <c r="A324" s="6" t="s">
        <v>690</v>
      </c>
      <c r="B324" s="27" t="s">
        <v>1421</v>
      </c>
      <c r="C324" s="10">
        <v>1.0</v>
      </c>
      <c r="D324" s="10">
        <v>1.0</v>
      </c>
      <c r="E324" s="10">
        <v>2.0</v>
      </c>
      <c r="F324" s="10">
        <v>1.0</v>
      </c>
      <c r="G324" s="10">
        <v>1.0</v>
      </c>
      <c r="H324" s="12">
        <f t="shared" si="1"/>
        <v>1.24</v>
      </c>
      <c r="I324" s="13">
        <v>2.0</v>
      </c>
      <c r="J324" s="14">
        <f t="shared" si="2"/>
        <v>2.48</v>
      </c>
      <c r="K324" s="15" t="str">
        <f t="shared" si="3"/>
        <v>Baja</v>
      </c>
    </row>
    <row r="325" ht="14.25" customHeight="1">
      <c r="A325" s="6" t="s">
        <v>690</v>
      </c>
      <c r="B325" s="27" t="s">
        <v>1426</v>
      </c>
      <c r="C325" s="10">
        <v>1.0</v>
      </c>
      <c r="D325" s="10">
        <v>1.0</v>
      </c>
      <c r="E325" s="10">
        <v>2.0</v>
      </c>
      <c r="F325" s="10">
        <v>1.0</v>
      </c>
      <c r="G325" s="10">
        <v>1.0</v>
      </c>
      <c r="H325" s="12">
        <f t="shared" si="1"/>
        <v>1.24</v>
      </c>
      <c r="I325" s="13">
        <v>3.0</v>
      </c>
      <c r="J325" s="14">
        <f t="shared" si="2"/>
        <v>3.72</v>
      </c>
      <c r="K325" s="15" t="str">
        <f t="shared" si="3"/>
        <v>Baja</v>
      </c>
    </row>
    <row r="326" ht="14.25" customHeight="1">
      <c r="A326" s="6" t="s">
        <v>695</v>
      </c>
      <c r="B326" s="9" t="s">
        <v>999</v>
      </c>
      <c r="C326" s="10">
        <v>2.0</v>
      </c>
      <c r="D326" s="10">
        <v>2.0</v>
      </c>
      <c r="E326" s="10">
        <v>3.0</v>
      </c>
      <c r="F326" s="10">
        <v>3.0</v>
      </c>
      <c r="G326" s="10">
        <v>1.0</v>
      </c>
      <c r="H326" s="12">
        <f t="shared" si="1"/>
        <v>2.236</v>
      </c>
      <c r="I326" s="13">
        <v>2.0</v>
      </c>
      <c r="J326" s="14">
        <f t="shared" si="2"/>
        <v>4.472</v>
      </c>
      <c r="K326" s="15" t="str">
        <f t="shared" si="3"/>
        <v>Media</v>
      </c>
    </row>
    <row r="327" ht="14.25" customHeight="1">
      <c r="A327" s="6" t="s">
        <v>695</v>
      </c>
      <c r="B327" s="9" t="s">
        <v>1005</v>
      </c>
      <c r="C327" s="10">
        <v>2.0</v>
      </c>
      <c r="D327" s="10">
        <v>2.0</v>
      </c>
      <c r="E327" s="10">
        <v>2.0</v>
      </c>
      <c r="F327" s="10">
        <v>3.0</v>
      </c>
      <c r="G327" s="10">
        <v>1.0</v>
      </c>
      <c r="H327" s="12">
        <f t="shared" si="1"/>
        <v>1.996</v>
      </c>
      <c r="I327" s="13">
        <v>1.0</v>
      </c>
      <c r="J327" s="14">
        <f t="shared" si="2"/>
        <v>1.996</v>
      </c>
      <c r="K327" s="15" t="str">
        <f t="shared" si="3"/>
        <v>Baja</v>
      </c>
    </row>
    <row r="328" ht="14.25" customHeight="1">
      <c r="A328" s="6" t="s">
        <v>695</v>
      </c>
      <c r="B328" s="9" t="s">
        <v>1017</v>
      </c>
      <c r="C328" s="10">
        <v>2.0</v>
      </c>
      <c r="D328" s="10">
        <v>2.0</v>
      </c>
      <c r="E328" s="10">
        <v>3.0</v>
      </c>
      <c r="F328" s="10">
        <v>3.0</v>
      </c>
      <c r="G328" s="10">
        <v>1.0</v>
      </c>
      <c r="H328" s="12">
        <f t="shared" si="1"/>
        <v>2.236</v>
      </c>
      <c r="I328" s="13">
        <v>2.0</v>
      </c>
      <c r="J328" s="14">
        <f t="shared" si="2"/>
        <v>4.472</v>
      </c>
      <c r="K328" s="15" t="str">
        <f t="shared" si="3"/>
        <v>Media</v>
      </c>
    </row>
    <row r="329" ht="14.25" customHeight="1">
      <c r="A329" s="6" t="s">
        <v>695</v>
      </c>
      <c r="B329" s="9" t="s">
        <v>727</v>
      </c>
      <c r="C329" s="10">
        <v>1.0</v>
      </c>
      <c r="D329" s="10">
        <v>1.0</v>
      </c>
      <c r="E329" s="10">
        <v>3.0</v>
      </c>
      <c r="F329" s="10">
        <v>3.0</v>
      </c>
      <c r="G329" s="10">
        <v>1.0</v>
      </c>
      <c r="H329" s="12">
        <f t="shared" si="1"/>
        <v>1.672</v>
      </c>
      <c r="I329" s="13">
        <v>2.0</v>
      </c>
      <c r="J329" s="14">
        <f t="shared" si="2"/>
        <v>3.344</v>
      </c>
      <c r="K329" s="15" t="str">
        <f t="shared" si="3"/>
        <v>Baja</v>
      </c>
    </row>
    <row r="330" ht="14.25" customHeight="1">
      <c r="A330" s="6" t="s">
        <v>695</v>
      </c>
      <c r="B330" s="9" t="s">
        <v>1031</v>
      </c>
      <c r="C330" s="10">
        <v>1.0</v>
      </c>
      <c r="D330" s="10">
        <v>1.0</v>
      </c>
      <c r="E330" s="10">
        <v>2.0</v>
      </c>
      <c r="F330" s="10">
        <v>1.0</v>
      </c>
      <c r="G330" s="10">
        <v>1.0</v>
      </c>
      <c r="H330" s="12">
        <f t="shared" si="1"/>
        <v>1.24</v>
      </c>
      <c r="I330" s="13">
        <v>3.0</v>
      </c>
      <c r="J330" s="14">
        <f t="shared" si="2"/>
        <v>3.72</v>
      </c>
      <c r="K330" s="15" t="str">
        <f t="shared" si="3"/>
        <v>Baja</v>
      </c>
    </row>
    <row r="331" ht="14.25" customHeight="1">
      <c r="A331" s="6" t="s">
        <v>695</v>
      </c>
      <c r="B331" s="9" t="s">
        <v>1036</v>
      </c>
      <c r="C331" s="10">
        <v>1.0</v>
      </c>
      <c r="D331" s="10">
        <v>1.0</v>
      </c>
      <c r="E331" s="10">
        <v>3.0</v>
      </c>
      <c r="F331" s="10">
        <v>1.0</v>
      </c>
      <c r="G331" s="10">
        <v>1.0</v>
      </c>
      <c r="H331" s="12">
        <f t="shared" si="1"/>
        <v>1.48</v>
      </c>
      <c r="I331" s="13">
        <v>2.0</v>
      </c>
      <c r="J331" s="14">
        <f t="shared" si="2"/>
        <v>2.96</v>
      </c>
      <c r="K331" s="15" t="str">
        <f t="shared" si="3"/>
        <v>Baja</v>
      </c>
    </row>
    <row r="332" ht="14.25" customHeight="1">
      <c r="A332" s="6" t="s">
        <v>695</v>
      </c>
      <c r="B332" s="9" t="s">
        <v>1041</v>
      </c>
      <c r="C332" s="10">
        <v>1.0</v>
      </c>
      <c r="D332" s="10">
        <v>1.0</v>
      </c>
      <c r="E332" s="10">
        <v>2.0</v>
      </c>
      <c r="F332" s="10">
        <v>1.0</v>
      </c>
      <c r="G332" s="10">
        <v>1.0</v>
      </c>
      <c r="H332" s="12">
        <f t="shared" si="1"/>
        <v>1.24</v>
      </c>
      <c r="I332" s="13">
        <v>2.0</v>
      </c>
      <c r="J332" s="14">
        <f t="shared" si="2"/>
        <v>2.48</v>
      </c>
      <c r="K332" s="15" t="str">
        <f t="shared" si="3"/>
        <v>Baja</v>
      </c>
    </row>
    <row r="333" ht="14.25" customHeight="1">
      <c r="A333" s="6" t="s">
        <v>695</v>
      </c>
      <c r="B333" s="9" t="s">
        <v>1047</v>
      </c>
      <c r="C333" s="10">
        <v>1.0</v>
      </c>
      <c r="D333" s="10">
        <v>1.0</v>
      </c>
      <c r="E333" s="10">
        <v>2.0</v>
      </c>
      <c r="F333" s="10">
        <v>1.0</v>
      </c>
      <c r="G333" s="10">
        <v>1.0</v>
      </c>
      <c r="H333" s="12">
        <f t="shared" si="1"/>
        <v>1.24</v>
      </c>
      <c r="I333" s="13">
        <v>3.0</v>
      </c>
      <c r="J333" s="14">
        <f t="shared" si="2"/>
        <v>3.72</v>
      </c>
      <c r="K333" s="15" t="str">
        <f t="shared" si="3"/>
        <v>Baja</v>
      </c>
    </row>
    <row r="334" ht="14.25" customHeight="1">
      <c r="A334" s="6" t="s">
        <v>703</v>
      </c>
      <c r="B334" s="27" t="s">
        <v>1570</v>
      </c>
      <c r="C334" s="10">
        <v>1.0</v>
      </c>
      <c r="D334" s="10">
        <v>1.0</v>
      </c>
      <c r="E334" s="10">
        <v>3.0</v>
      </c>
      <c r="F334" s="10">
        <v>3.0</v>
      </c>
      <c r="G334" s="10">
        <v>1.0</v>
      </c>
      <c r="H334" s="12">
        <f t="shared" si="1"/>
        <v>1.672</v>
      </c>
      <c r="I334" s="13">
        <v>3.0</v>
      </c>
      <c r="J334" s="14">
        <f t="shared" si="2"/>
        <v>5.016</v>
      </c>
      <c r="K334" s="15" t="str">
        <f t="shared" si="3"/>
        <v>Media</v>
      </c>
    </row>
    <row r="335" ht="14.25" customHeight="1">
      <c r="A335" s="6" t="s">
        <v>703</v>
      </c>
      <c r="B335" s="27" t="s">
        <v>1576</v>
      </c>
      <c r="C335" s="10">
        <v>1.0</v>
      </c>
      <c r="D335" s="10">
        <v>1.0</v>
      </c>
      <c r="E335" s="10">
        <v>2.0</v>
      </c>
      <c r="F335" s="10">
        <v>3.0</v>
      </c>
      <c r="G335" s="10">
        <v>1.0</v>
      </c>
      <c r="H335" s="12">
        <f t="shared" si="1"/>
        <v>1.432</v>
      </c>
      <c r="I335" s="13">
        <v>1.0</v>
      </c>
      <c r="J335" s="14">
        <f t="shared" si="2"/>
        <v>1.432</v>
      </c>
      <c r="K335" s="15" t="str">
        <f t="shared" si="3"/>
        <v>Baja</v>
      </c>
    </row>
    <row r="336" ht="14.25" customHeight="1">
      <c r="A336" s="6" t="s">
        <v>703</v>
      </c>
      <c r="B336" s="27" t="s">
        <v>1585</v>
      </c>
      <c r="C336" s="10">
        <v>1.0</v>
      </c>
      <c r="D336" s="10">
        <v>1.0</v>
      </c>
      <c r="E336" s="10">
        <v>3.0</v>
      </c>
      <c r="F336" s="10">
        <v>3.0</v>
      </c>
      <c r="G336" s="10">
        <v>1.0</v>
      </c>
      <c r="H336" s="12">
        <f t="shared" si="1"/>
        <v>1.672</v>
      </c>
      <c r="I336" s="13">
        <v>2.0</v>
      </c>
      <c r="J336" s="14">
        <f t="shared" si="2"/>
        <v>3.344</v>
      </c>
      <c r="K336" s="15" t="str">
        <f t="shared" si="3"/>
        <v>Baja</v>
      </c>
    </row>
    <row r="337" ht="14.25" customHeight="1">
      <c r="A337" s="6" t="s">
        <v>703</v>
      </c>
      <c r="B337" s="27" t="s">
        <v>1590</v>
      </c>
      <c r="C337" s="10">
        <v>1.0</v>
      </c>
      <c r="D337" s="10">
        <v>1.0</v>
      </c>
      <c r="E337" s="10">
        <v>3.0</v>
      </c>
      <c r="F337" s="10">
        <v>3.0</v>
      </c>
      <c r="G337" s="10">
        <v>1.0</v>
      </c>
      <c r="H337" s="12">
        <f t="shared" si="1"/>
        <v>1.672</v>
      </c>
      <c r="I337" s="13">
        <v>2.0</v>
      </c>
      <c r="J337" s="14">
        <f t="shared" si="2"/>
        <v>3.344</v>
      </c>
      <c r="K337" s="15" t="str">
        <f t="shared" si="3"/>
        <v>Baja</v>
      </c>
    </row>
    <row r="338" ht="14.25" customHeight="1">
      <c r="A338" s="6" t="s">
        <v>703</v>
      </c>
      <c r="B338" s="27" t="s">
        <v>1596</v>
      </c>
      <c r="C338" s="10">
        <v>1.0</v>
      </c>
      <c r="D338" s="10">
        <v>1.0</v>
      </c>
      <c r="E338" s="10">
        <v>2.0</v>
      </c>
      <c r="F338" s="10">
        <v>3.0</v>
      </c>
      <c r="G338" s="10">
        <v>1.0</v>
      </c>
      <c r="H338" s="12">
        <f t="shared" si="1"/>
        <v>1.432</v>
      </c>
      <c r="I338" s="13">
        <v>3.0</v>
      </c>
      <c r="J338" s="14">
        <f t="shared" si="2"/>
        <v>4.296</v>
      </c>
      <c r="K338" s="15" t="str">
        <f t="shared" si="3"/>
        <v>Media</v>
      </c>
    </row>
    <row r="339" ht="14.25" customHeight="1">
      <c r="A339" s="6" t="s">
        <v>712</v>
      </c>
      <c r="B339" s="9" t="s">
        <v>1157</v>
      </c>
      <c r="C339" s="10">
        <v>1.0</v>
      </c>
      <c r="D339" s="10">
        <v>1.0</v>
      </c>
      <c r="E339" s="10">
        <v>3.0</v>
      </c>
      <c r="F339" s="10">
        <v>1.0</v>
      </c>
      <c r="G339" s="10">
        <v>1.0</v>
      </c>
      <c r="H339" s="12">
        <f t="shared" si="1"/>
        <v>1.48</v>
      </c>
      <c r="I339" s="13">
        <v>2.0</v>
      </c>
      <c r="J339" s="14">
        <f t="shared" si="2"/>
        <v>2.96</v>
      </c>
      <c r="K339" s="15" t="str">
        <f t="shared" si="3"/>
        <v>Baja</v>
      </c>
    </row>
    <row r="340" ht="14.25" customHeight="1">
      <c r="A340" s="6" t="s">
        <v>712</v>
      </c>
      <c r="B340" s="9" t="s">
        <v>1167</v>
      </c>
      <c r="C340" s="10">
        <v>1.0</v>
      </c>
      <c r="D340" s="10">
        <v>1.0</v>
      </c>
      <c r="E340" s="10">
        <v>2.0</v>
      </c>
      <c r="F340" s="10">
        <v>1.0</v>
      </c>
      <c r="G340" s="10">
        <v>1.0</v>
      </c>
      <c r="H340" s="12">
        <f t="shared" si="1"/>
        <v>1.24</v>
      </c>
      <c r="I340" s="13">
        <v>1.0</v>
      </c>
      <c r="J340" s="14">
        <f t="shared" si="2"/>
        <v>1.24</v>
      </c>
      <c r="K340" s="15" t="str">
        <f t="shared" si="3"/>
        <v>Baja</v>
      </c>
    </row>
    <row r="341" ht="14.25" customHeight="1">
      <c r="A341" s="6" t="s">
        <v>712</v>
      </c>
      <c r="B341" s="9" t="s">
        <v>1176</v>
      </c>
      <c r="C341" s="10">
        <v>1.0</v>
      </c>
      <c r="D341" s="10">
        <v>1.0</v>
      </c>
      <c r="E341" s="10">
        <v>2.0</v>
      </c>
      <c r="F341" s="10">
        <v>1.0</v>
      </c>
      <c r="G341" s="10">
        <v>1.0</v>
      </c>
      <c r="H341" s="12">
        <f t="shared" si="1"/>
        <v>1.24</v>
      </c>
      <c r="I341" s="13">
        <v>3.0</v>
      </c>
      <c r="J341" s="14">
        <f t="shared" si="2"/>
        <v>3.72</v>
      </c>
      <c r="K341" s="15" t="str">
        <f t="shared" si="3"/>
        <v>Baja</v>
      </c>
    </row>
    <row r="342" ht="14.25" customHeight="1">
      <c r="A342" s="6" t="s">
        <v>712</v>
      </c>
      <c r="B342" s="9" t="s">
        <v>1184</v>
      </c>
      <c r="C342" s="10">
        <v>1.0</v>
      </c>
      <c r="D342" s="10">
        <v>1.0</v>
      </c>
      <c r="E342" s="10">
        <v>2.0</v>
      </c>
      <c r="F342" s="10">
        <v>1.0</v>
      </c>
      <c r="G342" s="10">
        <v>1.0</v>
      </c>
      <c r="H342" s="12">
        <f t="shared" si="1"/>
        <v>1.24</v>
      </c>
      <c r="I342" s="13">
        <v>2.0</v>
      </c>
      <c r="J342" s="14">
        <f t="shared" si="2"/>
        <v>2.48</v>
      </c>
      <c r="K342" s="15" t="str">
        <f t="shared" si="3"/>
        <v>Baja</v>
      </c>
    </row>
    <row r="343" ht="14.25" customHeight="1">
      <c r="A343" s="6" t="s">
        <v>710</v>
      </c>
      <c r="B343" s="27" t="s">
        <v>2149</v>
      </c>
      <c r="C343" s="10">
        <v>3.0</v>
      </c>
      <c r="D343" s="10">
        <v>1.0</v>
      </c>
      <c r="E343" s="10">
        <v>3.0</v>
      </c>
      <c r="F343" s="10">
        <v>1.0</v>
      </c>
      <c r="G343" s="10">
        <v>3.0</v>
      </c>
      <c r="H343" s="12">
        <f t="shared" si="1"/>
        <v>2.448</v>
      </c>
      <c r="I343" s="13">
        <v>3.0</v>
      </c>
      <c r="J343" s="14">
        <f t="shared" si="2"/>
        <v>7.344</v>
      </c>
      <c r="K343" s="15" t="str">
        <f t="shared" si="3"/>
        <v>Media</v>
      </c>
    </row>
    <row r="344" ht="14.25" customHeight="1">
      <c r="A344" s="6" t="s">
        <v>710</v>
      </c>
      <c r="B344" s="27" t="s">
        <v>2154</v>
      </c>
      <c r="C344" s="10">
        <v>3.0</v>
      </c>
      <c r="D344" s="10">
        <v>1.0</v>
      </c>
      <c r="E344" s="10">
        <v>2.0</v>
      </c>
      <c r="F344" s="10">
        <v>1.0</v>
      </c>
      <c r="G344" s="10">
        <v>3.0</v>
      </c>
      <c r="H344" s="12">
        <f t="shared" si="1"/>
        <v>2.208</v>
      </c>
      <c r="I344" s="13">
        <v>2.0</v>
      </c>
      <c r="J344" s="14">
        <f t="shared" si="2"/>
        <v>4.416</v>
      </c>
      <c r="K344" s="15" t="str">
        <f t="shared" si="3"/>
        <v>Media</v>
      </c>
    </row>
    <row r="345" ht="14.25" customHeight="1">
      <c r="A345" s="6" t="s">
        <v>710</v>
      </c>
      <c r="B345" s="27" t="s">
        <v>2159</v>
      </c>
      <c r="C345" s="10">
        <v>2.0</v>
      </c>
      <c r="D345" s="10">
        <v>1.0</v>
      </c>
      <c r="E345" s="10">
        <v>2.0</v>
      </c>
      <c r="F345" s="10">
        <v>1.0</v>
      </c>
      <c r="G345" s="10">
        <v>2.0</v>
      </c>
      <c r="H345" s="12">
        <f t="shared" si="1"/>
        <v>1.724</v>
      </c>
      <c r="I345" s="13">
        <v>2.0</v>
      </c>
      <c r="J345" s="14">
        <f t="shared" si="2"/>
        <v>3.448</v>
      </c>
      <c r="K345" s="15" t="str">
        <f t="shared" si="3"/>
        <v>Baja</v>
      </c>
    </row>
    <row r="346" ht="14.25" customHeight="1">
      <c r="A346" s="6" t="s">
        <v>710</v>
      </c>
      <c r="B346" s="27" t="s">
        <v>2180</v>
      </c>
      <c r="C346" s="10">
        <v>2.0</v>
      </c>
      <c r="D346" s="10">
        <v>1.0</v>
      </c>
      <c r="E346" s="10">
        <v>2.0</v>
      </c>
      <c r="F346" s="10">
        <v>1.0</v>
      </c>
      <c r="G346" s="10">
        <v>2.0</v>
      </c>
      <c r="H346" s="12">
        <f t="shared" si="1"/>
        <v>1.724</v>
      </c>
      <c r="I346" s="13">
        <v>3.0</v>
      </c>
      <c r="J346" s="14">
        <f t="shared" si="2"/>
        <v>5.172</v>
      </c>
      <c r="K346" s="15" t="str">
        <f t="shared" si="3"/>
        <v>Media</v>
      </c>
    </row>
    <row r="347" ht="14.25" customHeight="1">
      <c r="A347" s="6" t="s">
        <v>710</v>
      </c>
      <c r="B347" s="27" t="s">
        <v>2186</v>
      </c>
      <c r="C347" s="10">
        <v>2.0</v>
      </c>
      <c r="D347" s="10">
        <v>1.0</v>
      </c>
      <c r="E347" s="10">
        <v>2.0</v>
      </c>
      <c r="F347" s="10">
        <v>1.0</v>
      </c>
      <c r="G347" s="10">
        <v>2.0</v>
      </c>
      <c r="H347" s="12">
        <f t="shared" si="1"/>
        <v>1.724</v>
      </c>
      <c r="I347" s="13">
        <v>3.0</v>
      </c>
      <c r="J347" s="14">
        <f t="shared" si="2"/>
        <v>5.172</v>
      </c>
      <c r="K347" s="15" t="str">
        <f t="shared" si="3"/>
        <v>Media</v>
      </c>
    </row>
    <row r="348" ht="14.25" customHeight="1">
      <c r="A348" s="6" t="s">
        <v>729</v>
      </c>
      <c r="B348" s="9" t="s">
        <v>1191</v>
      </c>
      <c r="C348" s="10">
        <v>1.0</v>
      </c>
      <c r="D348" s="10">
        <v>2.0</v>
      </c>
      <c r="E348" s="10">
        <v>2.0</v>
      </c>
      <c r="F348" s="10">
        <v>1.0</v>
      </c>
      <c r="G348" s="10">
        <v>1.0</v>
      </c>
      <c r="H348" s="12">
        <f t="shared" si="1"/>
        <v>1.42</v>
      </c>
      <c r="I348" s="13">
        <v>3.0</v>
      </c>
      <c r="J348" s="14">
        <f t="shared" si="2"/>
        <v>4.26</v>
      </c>
      <c r="K348" s="15" t="str">
        <f t="shared" si="3"/>
        <v>Media</v>
      </c>
    </row>
    <row r="349" ht="14.25" customHeight="1">
      <c r="A349" s="6" t="s">
        <v>729</v>
      </c>
      <c r="B349" s="9" t="s">
        <v>1195</v>
      </c>
      <c r="C349" s="10">
        <v>1.0</v>
      </c>
      <c r="D349" s="10">
        <v>2.0</v>
      </c>
      <c r="E349" s="10">
        <v>2.0</v>
      </c>
      <c r="F349" s="10">
        <v>1.0</v>
      </c>
      <c r="G349" s="10">
        <v>1.0</v>
      </c>
      <c r="H349" s="12">
        <f t="shared" si="1"/>
        <v>1.42</v>
      </c>
      <c r="I349" s="13">
        <v>2.0</v>
      </c>
      <c r="J349" s="14">
        <f t="shared" si="2"/>
        <v>2.84</v>
      </c>
      <c r="K349" s="15" t="str">
        <f t="shared" si="3"/>
        <v>Baja</v>
      </c>
    </row>
    <row r="350" ht="14.25" customHeight="1">
      <c r="A350" s="6" t="s">
        <v>729</v>
      </c>
      <c r="B350" s="9" t="s">
        <v>1204</v>
      </c>
      <c r="C350" s="10">
        <v>1.0</v>
      </c>
      <c r="D350" s="10">
        <v>2.0</v>
      </c>
      <c r="E350" s="10">
        <v>2.0</v>
      </c>
      <c r="F350" s="10">
        <v>1.0</v>
      </c>
      <c r="G350" s="10">
        <v>1.0</v>
      </c>
      <c r="H350" s="12">
        <f t="shared" si="1"/>
        <v>1.42</v>
      </c>
      <c r="I350" s="13">
        <v>1.0</v>
      </c>
      <c r="J350" s="14">
        <f t="shared" si="2"/>
        <v>1.42</v>
      </c>
      <c r="K350" s="15" t="str">
        <f t="shared" si="3"/>
        <v>Baja</v>
      </c>
    </row>
    <row r="351" ht="14.25" customHeight="1">
      <c r="A351" s="6" t="s">
        <v>729</v>
      </c>
      <c r="B351" s="9" t="s">
        <v>1210</v>
      </c>
      <c r="C351" s="10">
        <v>1.0</v>
      </c>
      <c r="D351" s="10">
        <v>2.0</v>
      </c>
      <c r="E351" s="10">
        <v>2.0</v>
      </c>
      <c r="F351" s="10">
        <v>1.0</v>
      </c>
      <c r="G351" s="10">
        <v>1.0</v>
      </c>
      <c r="H351" s="12">
        <f t="shared" si="1"/>
        <v>1.42</v>
      </c>
      <c r="I351" s="13">
        <v>3.0</v>
      </c>
      <c r="J351" s="14">
        <f t="shared" si="2"/>
        <v>4.26</v>
      </c>
      <c r="K351" s="15" t="str">
        <f t="shared" si="3"/>
        <v>Media</v>
      </c>
    </row>
    <row r="352" ht="14.25" customHeight="1">
      <c r="A352" s="6" t="s">
        <v>729</v>
      </c>
      <c r="B352" s="9" t="s">
        <v>1219</v>
      </c>
      <c r="C352" s="10">
        <v>1.0</v>
      </c>
      <c r="D352" s="10">
        <v>2.0</v>
      </c>
      <c r="E352" s="10">
        <v>2.0</v>
      </c>
      <c r="F352" s="10">
        <v>1.0</v>
      </c>
      <c r="G352" s="10">
        <v>1.0</v>
      </c>
      <c r="H352" s="12">
        <f t="shared" si="1"/>
        <v>1.42</v>
      </c>
      <c r="I352" s="13">
        <v>3.0</v>
      </c>
      <c r="J352" s="14">
        <f t="shared" si="2"/>
        <v>4.26</v>
      </c>
      <c r="K352" s="15" t="str">
        <f t="shared" si="3"/>
        <v>Media</v>
      </c>
    </row>
    <row r="353" ht="14.25" customHeight="1">
      <c r="A353" s="6" t="s">
        <v>729</v>
      </c>
      <c r="B353" s="9" t="s">
        <v>1228</v>
      </c>
      <c r="C353" s="10">
        <v>1.0</v>
      </c>
      <c r="D353" s="10">
        <v>1.0</v>
      </c>
      <c r="E353" s="10">
        <v>2.0</v>
      </c>
      <c r="F353" s="10">
        <v>1.0</v>
      </c>
      <c r="G353" s="10">
        <v>1.0</v>
      </c>
      <c r="H353" s="12">
        <f t="shared" si="1"/>
        <v>1.24</v>
      </c>
      <c r="I353" s="13">
        <v>2.0</v>
      </c>
      <c r="J353" s="14">
        <f t="shared" si="2"/>
        <v>2.48</v>
      </c>
      <c r="K353" s="15" t="str">
        <f t="shared" si="3"/>
        <v>Baja</v>
      </c>
    </row>
    <row r="354" ht="14.25" customHeight="1">
      <c r="A354" s="6" t="s">
        <v>729</v>
      </c>
      <c r="B354" s="9" t="s">
        <v>1233</v>
      </c>
      <c r="C354" s="10">
        <v>1.0</v>
      </c>
      <c r="D354" s="10">
        <v>1.0</v>
      </c>
      <c r="E354" s="10">
        <v>2.0</v>
      </c>
      <c r="F354" s="10">
        <v>1.0</v>
      </c>
      <c r="G354" s="10">
        <v>1.0</v>
      </c>
      <c r="H354" s="12">
        <f t="shared" si="1"/>
        <v>1.24</v>
      </c>
      <c r="I354" s="13">
        <v>3.0</v>
      </c>
      <c r="J354" s="14">
        <f t="shared" si="2"/>
        <v>3.72</v>
      </c>
      <c r="K354" s="15" t="str">
        <f t="shared" si="3"/>
        <v>Baja</v>
      </c>
    </row>
    <row r="355" ht="14.25" customHeight="1">
      <c r="A355" s="6" t="s">
        <v>739</v>
      </c>
      <c r="B355" s="27" t="s">
        <v>2243</v>
      </c>
      <c r="C355" s="10">
        <v>4.0</v>
      </c>
      <c r="D355" s="10">
        <v>1.0</v>
      </c>
      <c r="E355" s="10">
        <v>3.0</v>
      </c>
      <c r="F355" s="10">
        <v>1.0</v>
      </c>
      <c r="G355" s="10">
        <v>1.0</v>
      </c>
      <c r="H355" s="12">
        <f t="shared" si="1"/>
        <v>2.632</v>
      </c>
      <c r="I355" s="13">
        <v>1.0</v>
      </c>
      <c r="J355" s="14">
        <f t="shared" si="2"/>
        <v>2.632</v>
      </c>
      <c r="K355" s="15" t="str">
        <f t="shared" si="3"/>
        <v>Baja</v>
      </c>
    </row>
    <row r="356" ht="14.25" customHeight="1">
      <c r="A356" s="6" t="s">
        <v>739</v>
      </c>
      <c r="B356" s="27" t="s">
        <v>2249</v>
      </c>
      <c r="C356" s="10">
        <v>4.0</v>
      </c>
      <c r="D356" s="10">
        <v>1.0</v>
      </c>
      <c r="E356" s="10">
        <v>2.0</v>
      </c>
      <c r="F356" s="10">
        <v>2.0</v>
      </c>
      <c r="G356" s="10">
        <v>1.0</v>
      </c>
      <c r="H356" s="12">
        <f t="shared" si="1"/>
        <v>2.488</v>
      </c>
      <c r="I356" s="13">
        <v>3.0</v>
      </c>
      <c r="J356" s="14">
        <f t="shared" si="2"/>
        <v>7.464</v>
      </c>
      <c r="K356" s="15" t="str">
        <f t="shared" si="3"/>
        <v>Media</v>
      </c>
    </row>
    <row r="357" ht="14.25" customHeight="1">
      <c r="A357" s="6" t="s">
        <v>739</v>
      </c>
      <c r="B357" s="27" t="s">
        <v>2258</v>
      </c>
      <c r="C357" s="10">
        <v>3.0</v>
      </c>
      <c r="D357" s="10">
        <v>1.0</v>
      </c>
      <c r="E357" s="10">
        <v>3.0</v>
      </c>
      <c r="F357" s="10">
        <v>2.0</v>
      </c>
      <c r="G357" s="10">
        <v>1.0</v>
      </c>
      <c r="H357" s="12">
        <f t="shared" si="1"/>
        <v>2.344</v>
      </c>
      <c r="I357" s="13">
        <v>2.0</v>
      </c>
      <c r="J357" s="14">
        <f t="shared" si="2"/>
        <v>4.688</v>
      </c>
      <c r="K357" s="15" t="str">
        <f t="shared" si="3"/>
        <v>Media</v>
      </c>
    </row>
    <row r="358" ht="14.25" customHeight="1">
      <c r="A358" s="6" t="s">
        <v>751</v>
      </c>
      <c r="B358" s="9" t="s">
        <v>1246</v>
      </c>
      <c r="C358" s="10">
        <v>3.0</v>
      </c>
      <c r="D358" s="10">
        <v>2.0</v>
      </c>
      <c r="E358" s="10">
        <v>3.0</v>
      </c>
      <c r="F358" s="10">
        <v>1.0</v>
      </c>
      <c r="G358" s="10">
        <v>1.0</v>
      </c>
      <c r="H358" s="12">
        <f t="shared" si="1"/>
        <v>2.428</v>
      </c>
      <c r="I358" s="13">
        <v>3.0</v>
      </c>
      <c r="J358" s="14">
        <f t="shared" si="2"/>
        <v>7.284</v>
      </c>
      <c r="K358" s="15" t="str">
        <f t="shared" si="3"/>
        <v>Media</v>
      </c>
    </row>
    <row r="359" ht="14.25" customHeight="1">
      <c r="A359" s="6" t="s">
        <v>751</v>
      </c>
      <c r="B359" s="9" t="s">
        <v>1248</v>
      </c>
      <c r="C359" s="10">
        <v>3.0</v>
      </c>
      <c r="D359" s="10">
        <v>2.0</v>
      </c>
      <c r="E359" s="10">
        <v>2.0</v>
      </c>
      <c r="F359" s="10">
        <v>2.0</v>
      </c>
      <c r="G359" s="10">
        <v>1.0</v>
      </c>
      <c r="H359" s="12">
        <f t="shared" si="1"/>
        <v>2.284</v>
      </c>
      <c r="I359" s="13">
        <v>2.0</v>
      </c>
      <c r="J359" s="14">
        <f t="shared" si="2"/>
        <v>4.568</v>
      </c>
      <c r="K359" s="15" t="str">
        <f t="shared" si="3"/>
        <v>Media</v>
      </c>
    </row>
    <row r="360" ht="14.25" customHeight="1">
      <c r="A360" s="6" t="s">
        <v>751</v>
      </c>
      <c r="B360" s="9" t="s">
        <v>1255</v>
      </c>
      <c r="C360" s="10">
        <v>2.0</v>
      </c>
      <c r="D360" s="10">
        <v>1.0</v>
      </c>
      <c r="E360" s="10">
        <v>2.0</v>
      </c>
      <c r="F360" s="10">
        <v>1.0</v>
      </c>
      <c r="G360" s="10">
        <v>1.0</v>
      </c>
      <c r="H360" s="12">
        <f t="shared" si="1"/>
        <v>1.624</v>
      </c>
      <c r="I360" s="13">
        <v>2.0</v>
      </c>
      <c r="J360" s="14">
        <f t="shared" si="2"/>
        <v>3.248</v>
      </c>
      <c r="K360" s="15" t="str">
        <f t="shared" si="3"/>
        <v>Baja</v>
      </c>
    </row>
    <row r="361" ht="14.25" customHeight="1">
      <c r="A361" s="6" t="s">
        <v>751</v>
      </c>
      <c r="B361" s="9" t="s">
        <v>1259</v>
      </c>
      <c r="C361" s="10">
        <v>2.0</v>
      </c>
      <c r="D361" s="10">
        <v>1.0</v>
      </c>
      <c r="E361" s="10">
        <v>2.0</v>
      </c>
      <c r="F361" s="10">
        <v>2.0</v>
      </c>
      <c r="G361" s="10">
        <v>1.0</v>
      </c>
      <c r="H361" s="12">
        <f t="shared" si="1"/>
        <v>1.72</v>
      </c>
      <c r="I361" s="13">
        <v>2.0</v>
      </c>
      <c r="J361" s="14">
        <f t="shared" si="2"/>
        <v>3.44</v>
      </c>
      <c r="K361" s="15" t="str">
        <f t="shared" si="3"/>
        <v>Baja</v>
      </c>
    </row>
    <row r="362" ht="14.25" customHeight="1">
      <c r="A362" s="6" t="s">
        <v>751</v>
      </c>
      <c r="B362" s="9" t="s">
        <v>1265</v>
      </c>
      <c r="C362" s="10">
        <v>2.0</v>
      </c>
      <c r="D362" s="10">
        <v>1.0</v>
      </c>
      <c r="E362" s="10">
        <v>2.0</v>
      </c>
      <c r="F362" s="10">
        <v>1.0</v>
      </c>
      <c r="G362" s="10">
        <v>1.0</v>
      </c>
      <c r="H362" s="12">
        <f t="shared" si="1"/>
        <v>1.624</v>
      </c>
      <c r="I362" s="13">
        <v>3.0</v>
      </c>
      <c r="J362" s="14">
        <f t="shared" si="2"/>
        <v>4.872</v>
      </c>
      <c r="K362" s="15" t="str">
        <f t="shared" si="3"/>
        <v>Media</v>
      </c>
    </row>
    <row r="363" ht="14.25" customHeight="1">
      <c r="A363" s="6" t="s">
        <v>751</v>
      </c>
      <c r="B363" s="9" t="s">
        <v>1275</v>
      </c>
      <c r="C363" s="10">
        <v>2.0</v>
      </c>
      <c r="D363" s="10">
        <v>1.0</v>
      </c>
      <c r="E363" s="10">
        <v>2.0</v>
      </c>
      <c r="F363" s="10">
        <v>1.0</v>
      </c>
      <c r="G363" s="10">
        <v>1.0</v>
      </c>
      <c r="H363" s="12">
        <f t="shared" si="1"/>
        <v>1.624</v>
      </c>
      <c r="I363" s="13">
        <v>2.0</v>
      </c>
      <c r="J363" s="14">
        <f t="shared" si="2"/>
        <v>3.248</v>
      </c>
      <c r="K363" s="15" t="str">
        <f t="shared" si="3"/>
        <v>Baja</v>
      </c>
    </row>
    <row r="364" ht="14.25" customHeight="1">
      <c r="A364" s="6" t="s">
        <v>756</v>
      </c>
      <c r="B364" s="27" t="s">
        <v>1744</v>
      </c>
      <c r="C364" s="10">
        <v>3.0</v>
      </c>
      <c r="D364" s="10">
        <v>2.0</v>
      </c>
      <c r="E364" s="10">
        <v>3.0</v>
      </c>
      <c r="F364" s="10">
        <v>1.0</v>
      </c>
      <c r="G364" s="10">
        <v>1.0</v>
      </c>
      <c r="H364" s="12">
        <f t="shared" si="1"/>
        <v>2.428</v>
      </c>
      <c r="I364" s="13">
        <v>1.0</v>
      </c>
      <c r="J364" s="14">
        <f t="shared" si="2"/>
        <v>2.428</v>
      </c>
      <c r="K364" s="15" t="str">
        <f t="shared" si="3"/>
        <v>Baja</v>
      </c>
    </row>
    <row r="365" ht="14.25" customHeight="1">
      <c r="A365" s="6" t="s">
        <v>756</v>
      </c>
      <c r="B365" s="27" t="s">
        <v>1964</v>
      </c>
      <c r="C365" s="10">
        <v>2.0</v>
      </c>
      <c r="D365" s="10">
        <v>1.0</v>
      </c>
      <c r="E365" s="10">
        <v>3.0</v>
      </c>
      <c r="F365" s="10">
        <v>1.0</v>
      </c>
      <c r="G365" s="10">
        <v>1.0</v>
      </c>
      <c r="H365" s="12">
        <f t="shared" si="1"/>
        <v>1.864</v>
      </c>
      <c r="I365" s="13">
        <v>2.0</v>
      </c>
      <c r="J365" s="14">
        <f t="shared" si="2"/>
        <v>3.728</v>
      </c>
      <c r="K365" s="15" t="str">
        <f t="shared" si="3"/>
        <v>Baja</v>
      </c>
    </row>
    <row r="366" ht="14.25" customHeight="1">
      <c r="A366" s="6" t="s">
        <v>756</v>
      </c>
      <c r="B366" s="27" t="s">
        <v>1749</v>
      </c>
      <c r="C366" s="10">
        <v>2.0</v>
      </c>
      <c r="D366" s="10">
        <v>1.0</v>
      </c>
      <c r="E366" s="10">
        <v>2.0</v>
      </c>
      <c r="F366" s="10">
        <v>1.0</v>
      </c>
      <c r="G366" s="10">
        <v>1.0</v>
      </c>
      <c r="H366" s="12">
        <f t="shared" si="1"/>
        <v>1.624</v>
      </c>
      <c r="I366" s="13">
        <v>2.0</v>
      </c>
      <c r="J366" s="14">
        <f t="shared" si="2"/>
        <v>3.248</v>
      </c>
      <c r="K366" s="15" t="str">
        <f t="shared" si="3"/>
        <v>Baja</v>
      </c>
    </row>
    <row r="367" ht="14.25" customHeight="1">
      <c r="A367" s="6" t="s">
        <v>766</v>
      </c>
      <c r="B367" s="9" t="s">
        <v>2312</v>
      </c>
      <c r="C367" s="10">
        <v>1.0</v>
      </c>
      <c r="D367" s="10">
        <v>1.0</v>
      </c>
      <c r="E367" s="10">
        <v>3.0</v>
      </c>
      <c r="F367" s="10">
        <v>2.0</v>
      </c>
      <c r="G367" s="10">
        <v>1.0</v>
      </c>
      <c r="H367" s="12">
        <f t="shared" si="1"/>
        <v>1.576</v>
      </c>
      <c r="I367" s="13">
        <v>3.0</v>
      </c>
      <c r="J367" s="14">
        <f t="shared" si="2"/>
        <v>4.728</v>
      </c>
      <c r="K367" s="15" t="str">
        <f t="shared" si="3"/>
        <v>Media</v>
      </c>
    </row>
    <row r="368" ht="14.25" customHeight="1">
      <c r="A368" s="6" t="s">
        <v>766</v>
      </c>
      <c r="B368" s="9" t="s">
        <v>2317</v>
      </c>
      <c r="C368" s="10">
        <v>1.0</v>
      </c>
      <c r="D368" s="10">
        <v>1.0</v>
      </c>
      <c r="E368" s="10">
        <v>3.0</v>
      </c>
      <c r="F368" s="10">
        <v>2.0</v>
      </c>
      <c r="G368" s="10">
        <v>1.0</v>
      </c>
      <c r="H368" s="12">
        <f t="shared" si="1"/>
        <v>1.576</v>
      </c>
      <c r="I368" s="13">
        <v>2.0</v>
      </c>
      <c r="J368" s="14">
        <f t="shared" si="2"/>
        <v>3.152</v>
      </c>
      <c r="K368" s="15" t="str">
        <f t="shared" si="3"/>
        <v>Baja</v>
      </c>
    </row>
    <row r="369" ht="14.25" customHeight="1">
      <c r="A369" s="6" t="s">
        <v>766</v>
      </c>
      <c r="B369" s="9" t="s">
        <v>2325</v>
      </c>
      <c r="C369" s="10">
        <v>1.0</v>
      </c>
      <c r="D369" s="10">
        <v>1.0</v>
      </c>
      <c r="E369" s="10">
        <v>3.0</v>
      </c>
      <c r="F369" s="10">
        <v>2.0</v>
      </c>
      <c r="G369" s="10">
        <v>1.0</v>
      </c>
      <c r="H369" s="12">
        <f t="shared" si="1"/>
        <v>1.576</v>
      </c>
      <c r="I369" s="13">
        <v>2.0</v>
      </c>
      <c r="J369" s="14">
        <f t="shared" si="2"/>
        <v>3.152</v>
      </c>
      <c r="K369" s="15" t="str">
        <f t="shared" si="3"/>
        <v>Baja</v>
      </c>
    </row>
    <row r="370" ht="14.25" customHeight="1">
      <c r="A370" s="6" t="s">
        <v>766</v>
      </c>
      <c r="B370" s="9" t="s">
        <v>2333</v>
      </c>
      <c r="C370" s="10">
        <v>1.0</v>
      </c>
      <c r="D370" s="10">
        <v>1.0</v>
      </c>
      <c r="E370" s="10">
        <v>3.0</v>
      </c>
      <c r="F370" s="10">
        <v>2.0</v>
      </c>
      <c r="G370" s="10">
        <v>1.0</v>
      </c>
      <c r="H370" s="12">
        <f t="shared" si="1"/>
        <v>1.576</v>
      </c>
      <c r="I370" s="13">
        <v>2.0</v>
      </c>
      <c r="J370" s="14">
        <f t="shared" si="2"/>
        <v>3.152</v>
      </c>
      <c r="K370" s="15" t="str">
        <f t="shared" si="3"/>
        <v>Baja</v>
      </c>
    </row>
    <row r="371" ht="14.25" customHeight="1">
      <c r="A371" s="6" t="s">
        <v>779</v>
      </c>
      <c r="B371" s="27" t="s">
        <v>1339</v>
      </c>
      <c r="C371" s="10">
        <v>1.0</v>
      </c>
      <c r="D371" s="10">
        <v>1.0</v>
      </c>
      <c r="E371" s="10">
        <v>3.0</v>
      </c>
      <c r="F371" s="10">
        <v>2.0</v>
      </c>
      <c r="G371" s="10">
        <v>1.0</v>
      </c>
      <c r="H371" s="12">
        <f t="shared" si="1"/>
        <v>1.576</v>
      </c>
      <c r="I371" s="13">
        <v>3.0</v>
      </c>
      <c r="J371" s="14">
        <f t="shared" si="2"/>
        <v>4.728</v>
      </c>
      <c r="K371" s="15" t="str">
        <f t="shared" si="3"/>
        <v>Media</v>
      </c>
    </row>
    <row r="372" ht="14.25" customHeight="1">
      <c r="A372" s="6" t="s">
        <v>779</v>
      </c>
      <c r="B372" s="27" t="s">
        <v>1786</v>
      </c>
      <c r="C372" s="10">
        <v>1.0</v>
      </c>
      <c r="D372" s="10">
        <v>1.0</v>
      </c>
      <c r="E372" s="10">
        <v>2.0</v>
      </c>
      <c r="F372" s="10">
        <v>1.0</v>
      </c>
      <c r="G372" s="10">
        <v>1.0</v>
      </c>
      <c r="H372" s="12">
        <f t="shared" si="1"/>
        <v>1.24</v>
      </c>
      <c r="I372" s="13">
        <v>3.0</v>
      </c>
      <c r="J372" s="14">
        <f t="shared" si="2"/>
        <v>3.72</v>
      </c>
      <c r="K372" s="15" t="str">
        <f t="shared" si="3"/>
        <v>Baja</v>
      </c>
    </row>
    <row r="373" ht="14.25" customHeight="1">
      <c r="A373" s="6" t="s">
        <v>779</v>
      </c>
      <c r="B373" s="27" t="s">
        <v>1350</v>
      </c>
      <c r="C373" s="10">
        <v>1.0</v>
      </c>
      <c r="D373" s="10">
        <v>1.0</v>
      </c>
      <c r="E373" s="10">
        <v>2.0</v>
      </c>
      <c r="F373" s="10">
        <v>1.0</v>
      </c>
      <c r="G373" s="10">
        <v>1.0</v>
      </c>
      <c r="H373" s="12">
        <f t="shared" si="1"/>
        <v>1.24</v>
      </c>
      <c r="I373" s="13">
        <v>3.0</v>
      </c>
      <c r="J373" s="14">
        <f t="shared" si="2"/>
        <v>3.72</v>
      </c>
      <c r="K373" s="15" t="str">
        <f t="shared" si="3"/>
        <v>Baja</v>
      </c>
    </row>
    <row r="374" ht="14.25" customHeight="1">
      <c r="A374" s="6" t="s">
        <v>779</v>
      </c>
      <c r="B374" s="27" t="s">
        <v>1794</v>
      </c>
      <c r="C374" s="10">
        <v>1.0</v>
      </c>
      <c r="D374" s="10">
        <v>1.0</v>
      </c>
      <c r="E374" s="10">
        <v>3.0</v>
      </c>
      <c r="F374" s="10">
        <v>3.0</v>
      </c>
      <c r="G374" s="10">
        <v>1.0</v>
      </c>
      <c r="H374" s="12">
        <f t="shared" si="1"/>
        <v>1.672</v>
      </c>
      <c r="I374" s="13">
        <v>2.0</v>
      </c>
      <c r="J374" s="14">
        <f t="shared" si="2"/>
        <v>3.344</v>
      </c>
      <c r="K374" s="15" t="str">
        <f t="shared" si="3"/>
        <v>Baja</v>
      </c>
    </row>
    <row r="375" ht="14.25" customHeight="1">
      <c r="A375" s="6" t="s">
        <v>779</v>
      </c>
      <c r="B375" s="27" t="s">
        <v>2376</v>
      </c>
      <c r="C375" s="10">
        <v>1.0</v>
      </c>
      <c r="D375" s="10">
        <v>1.0</v>
      </c>
      <c r="E375" s="10">
        <v>2.0</v>
      </c>
      <c r="F375" s="10">
        <v>1.0</v>
      </c>
      <c r="G375" s="10">
        <v>1.0</v>
      </c>
      <c r="H375" s="12">
        <f t="shared" si="1"/>
        <v>1.24</v>
      </c>
      <c r="I375" s="13">
        <v>3.0</v>
      </c>
      <c r="J375" s="14">
        <f t="shared" si="2"/>
        <v>3.72</v>
      </c>
      <c r="K375" s="15" t="str">
        <f t="shared" si="3"/>
        <v>Baja</v>
      </c>
    </row>
    <row r="376" ht="14.25" customHeight="1">
      <c r="A376" s="6" t="s">
        <v>788</v>
      </c>
      <c r="B376" s="9" t="s">
        <v>1305</v>
      </c>
      <c r="C376" s="10">
        <v>1.0</v>
      </c>
      <c r="D376" s="10">
        <v>1.0</v>
      </c>
      <c r="E376" s="10">
        <v>3.0</v>
      </c>
      <c r="F376" s="10">
        <v>3.0</v>
      </c>
      <c r="G376" s="10">
        <v>1.0</v>
      </c>
      <c r="H376" s="12">
        <f t="shared" si="1"/>
        <v>1.672</v>
      </c>
      <c r="I376" s="13">
        <v>1.0</v>
      </c>
      <c r="J376" s="14">
        <f t="shared" si="2"/>
        <v>1.672</v>
      </c>
      <c r="K376" s="15" t="str">
        <f t="shared" si="3"/>
        <v>Baja</v>
      </c>
    </row>
    <row r="377" ht="14.25" customHeight="1">
      <c r="A377" s="6" t="s">
        <v>788</v>
      </c>
      <c r="B377" s="9" t="s">
        <v>1311</v>
      </c>
      <c r="C377" s="10">
        <v>1.0</v>
      </c>
      <c r="D377" s="10">
        <v>1.0</v>
      </c>
      <c r="E377" s="10">
        <v>3.0</v>
      </c>
      <c r="F377" s="10">
        <v>2.0</v>
      </c>
      <c r="G377" s="10">
        <v>1.0</v>
      </c>
      <c r="H377" s="12">
        <f t="shared" si="1"/>
        <v>1.576</v>
      </c>
      <c r="I377" s="13">
        <v>1.0</v>
      </c>
      <c r="J377" s="14">
        <f t="shared" si="2"/>
        <v>1.576</v>
      </c>
      <c r="K377" s="15" t="str">
        <f t="shared" si="3"/>
        <v>Baja</v>
      </c>
    </row>
    <row r="378" ht="14.25" customHeight="1">
      <c r="A378" s="6" t="s">
        <v>788</v>
      </c>
      <c r="B378" s="9" t="s">
        <v>1315</v>
      </c>
      <c r="C378" s="10">
        <v>1.0</v>
      </c>
      <c r="D378" s="10">
        <v>1.0</v>
      </c>
      <c r="E378" s="10">
        <v>3.0</v>
      </c>
      <c r="F378" s="10">
        <v>2.0</v>
      </c>
      <c r="G378" s="10">
        <v>1.0</v>
      </c>
      <c r="H378" s="12">
        <f t="shared" si="1"/>
        <v>1.576</v>
      </c>
      <c r="I378" s="13">
        <v>2.0</v>
      </c>
      <c r="J378" s="14">
        <f t="shared" si="2"/>
        <v>3.152</v>
      </c>
      <c r="K378" s="15" t="str">
        <f t="shared" si="3"/>
        <v>Baja</v>
      </c>
    </row>
    <row r="379" ht="14.25" customHeight="1">
      <c r="A379" s="6" t="s">
        <v>788</v>
      </c>
      <c r="B379" s="9" t="s">
        <v>1325</v>
      </c>
      <c r="C379" s="10">
        <v>1.0</v>
      </c>
      <c r="D379" s="10">
        <v>1.0</v>
      </c>
      <c r="E379" s="10">
        <v>3.0</v>
      </c>
      <c r="F379" s="10">
        <v>2.0</v>
      </c>
      <c r="G379" s="10">
        <v>1.0</v>
      </c>
      <c r="H379" s="12">
        <f t="shared" si="1"/>
        <v>1.576</v>
      </c>
      <c r="I379" s="13">
        <v>2.0</v>
      </c>
      <c r="J379" s="14">
        <f t="shared" si="2"/>
        <v>3.152</v>
      </c>
      <c r="K379" s="15" t="str">
        <f t="shared" si="3"/>
        <v>Baja</v>
      </c>
    </row>
    <row r="380" ht="14.25" customHeight="1">
      <c r="A380" s="6" t="s">
        <v>788</v>
      </c>
      <c r="B380" s="9" t="s">
        <v>1333</v>
      </c>
      <c r="C380" s="10">
        <v>1.0</v>
      </c>
      <c r="D380" s="10">
        <v>1.0</v>
      </c>
      <c r="E380" s="10">
        <v>3.0</v>
      </c>
      <c r="F380" s="10">
        <v>2.0</v>
      </c>
      <c r="G380" s="10">
        <v>1.0</v>
      </c>
      <c r="H380" s="12">
        <f t="shared" si="1"/>
        <v>1.576</v>
      </c>
      <c r="I380" s="13">
        <v>1.0</v>
      </c>
      <c r="J380" s="14">
        <f t="shared" si="2"/>
        <v>1.576</v>
      </c>
      <c r="K380" s="15" t="str">
        <f t="shared" si="3"/>
        <v>Baja</v>
      </c>
    </row>
    <row r="381" ht="14.25" customHeight="1">
      <c r="A381" s="6" t="s">
        <v>796</v>
      </c>
      <c r="B381" s="27" t="s">
        <v>2410</v>
      </c>
      <c r="C381" s="10">
        <v>3.0</v>
      </c>
      <c r="D381" s="10">
        <v>3.0</v>
      </c>
      <c r="E381" s="10">
        <v>3.0</v>
      </c>
      <c r="F381" s="10">
        <v>3.0</v>
      </c>
      <c r="G381" s="10">
        <v>2.0</v>
      </c>
      <c r="H381" s="12">
        <f t="shared" si="1"/>
        <v>2.9</v>
      </c>
      <c r="I381" s="13">
        <v>2.0</v>
      </c>
      <c r="J381" s="14">
        <f t="shared" si="2"/>
        <v>5.8</v>
      </c>
      <c r="K381" s="15" t="str">
        <f t="shared" si="3"/>
        <v>Media</v>
      </c>
    </row>
    <row r="382" ht="14.25" customHeight="1">
      <c r="A382" s="6" t="s">
        <v>796</v>
      </c>
      <c r="B382" s="27" t="s">
        <v>2413</v>
      </c>
      <c r="C382" s="10">
        <v>2.0</v>
      </c>
      <c r="D382" s="10">
        <v>2.0</v>
      </c>
      <c r="E382" s="10">
        <v>3.0</v>
      </c>
      <c r="F382" s="10">
        <v>1.0</v>
      </c>
      <c r="G382" s="10">
        <v>1.0</v>
      </c>
      <c r="H382" s="12">
        <f t="shared" si="1"/>
        <v>2.044</v>
      </c>
      <c r="I382" s="13">
        <v>2.0</v>
      </c>
      <c r="J382" s="14">
        <f t="shared" si="2"/>
        <v>4.088</v>
      </c>
      <c r="K382" s="15" t="str">
        <f t="shared" si="3"/>
        <v>Media</v>
      </c>
    </row>
    <row r="383" ht="14.25" customHeight="1">
      <c r="A383" s="6" t="s">
        <v>796</v>
      </c>
      <c r="B383" s="27" t="s">
        <v>2415</v>
      </c>
      <c r="C383" s="10">
        <v>2.0</v>
      </c>
      <c r="D383" s="10">
        <v>2.0</v>
      </c>
      <c r="E383" s="10">
        <v>3.0</v>
      </c>
      <c r="F383" s="10">
        <v>3.0</v>
      </c>
      <c r="G383" s="10">
        <v>1.0</v>
      </c>
      <c r="H383" s="12">
        <f t="shared" si="1"/>
        <v>2.236</v>
      </c>
      <c r="I383" s="13">
        <v>3.0</v>
      </c>
      <c r="J383" s="14">
        <f t="shared" si="2"/>
        <v>6.708</v>
      </c>
      <c r="K383" s="15" t="str">
        <f t="shared" si="3"/>
        <v>Media</v>
      </c>
    </row>
    <row r="384" ht="14.25" customHeight="1">
      <c r="A384" s="6" t="s">
        <v>810</v>
      </c>
      <c r="B384" s="9" t="s">
        <v>999</v>
      </c>
      <c r="C384" s="10">
        <v>2.0</v>
      </c>
      <c r="D384" s="10">
        <v>2.0</v>
      </c>
      <c r="E384" s="10">
        <v>3.0</v>
      </c>
      <c r="F384" s="10">
        <v>3.0</v>
      </c>
      <c r="G384" s="10">
        <v>1.0</v>
      </c>
      <c r="H384" s="12">
        <f t="shared" si="1"/>
        <v>2.236</v>
      </c>
      <c r="I384" s="13">
        <v>2.0</v>
      </c>
      <c r="J384" s="14">
        <f t="shared" si="2"/>
        <v>4.472</v>
      </c>
      <c r="K384" s="15" t="str">
        <f t="shared" si="3"/>
        <v>Media</v>
      </c>
    </row>
    <row r="385" ht="14.25" customHeight="1">
      <c r="A385" s="6" t="s">
        <v>810</v>
      </c>
      <c r="B385" s="9" t="s">
        <v>1005</v>
      </c>
      <c r="C385" s="10">
        <v>2.0</v>
      </c>
      <c r="D385" s="10">
        <v>2.0</v>
      </c>
      <c r="E385" s="10">
        <v>2.0</v>
      </c>
      <c r="F385" s="10">
        <v>3.0</v>
      </c>
      <c r="G385" s="10">
        <v>1.0</v>
      </c>
      <c r="H385" s="12">
        <f t="shared" si="1"/>
        <v>1.996</v>
      </c>
      <c r="I385" s="13">
        <v>1.0</v>
      </c>
      <c r="J385" s="14">
        <f t="shared" si="2"/>
        <v>1.996</v>
      </c>
      <c r="K385" s="15" t="str">
        <f t="shared" si="3"/>
        <v>Baja</v>
      </c>
    </row>
    <row r="386" ht="14.25" customHeight="1">
      <c r="A386" s="6" t="s">
        <v>810</v>
      </c>
      <c r="B386" s="9" t="s">
        <v>1017</v>
      </c>
      <c r="C386" s="10">
        <v>2.0</v>
      </c>
      <c r="D386" s="10">
        <v>2.0</v>
      </c>
      <c r="E386" s="10">
        <v>3.0</v>
      </c>
      <c r="F386" s="10">
        <v>3.0</v>
      </c>
      <c r="G386" s="10">
        <v>1.0</v>
      </c>
      <c r="H386" s="12">
        <f t="shared" si="1"/>
        <v>2.236</v>
      </c>
      <c r="I386" s="13">
        <v>2.0</v>
      </c>
      <c r="J386" s="14">
        <f t="shared" si="2"/>
        <v>4.472</v>
      </c>
      <c r="K386" s="15" t="str">
        <f t="shared" si="3"/>
        <v>Media</v>
      </c>
    </row>
    <row r="387" ht="14.25" customHeight="1">
      <c r="A387" s="6" t="s">
        <v>810</v>
      </c>
      <c r="B387" s="9" t="s">
        <v>727</v>
      </c>
      <c r="C387" s="10">
        <v>1.0</v>
      </c>
      <c r="D387" s="10">
        <v>1.0</v>
      </c>
      <c r="E387" s="10">
        <v>3.0</v>
      </c>
      <c r="F387" s="10">
        <v>3.0</v>
      </c>
      <c r="G387" s="10">
        <v>1.0</v>
      </c>
      <c r="H387" s="12">
        <f t="shared" si="1"/>
        <v>1.672</v>
      </c>
      <c r="I387" s="13">
        <v>2.0</v>
      </c>
      <c r="J387" s="14">
        <f t="shared" si="2"/>
        <v>3.344</v>
      </c>
      <c r="K387" s="15" t="str">
        <f t="shared" si="3"/>
        <v>Baja</v>
      </c>
    </row>
    <row r="388" ht="14.25" customHeight="1">
      <c r="A388" s="6" t="s">
        <v>810</v>
      </c>
      <c r="B388" s="9" t="s">
        <v>1036</v>
      </c>
      <c r="C388" s="10">
        <v>1.0</v>
      </c>
      <c r="D388" s="10">
        <v>1.0</v>
      </c>
      <c r="E388" s="10">
        <v>3.0</v>
      </c>
      <c r="F388" s="10">
        <v>1.0</v>
      </c>
      <c r="G388" s="10">
        <v>1.0</v>
      </c>
      <c r="H388" s="12">
        <f t="shared" si="1"/>
        <v>1.48</v>
      </c>
      <c r="I388" s="13">
        <v>2.0</v>
      </c>
      <c r="J388" s="14">
        <f t="shared" si="2"/>
        <v>2.96</v>
      </c>
      <c r="K388" s="15" t="str">
        <f t="shared" si="3"/>
        <v>Baja</v>
      </c>
    </row>
    <row r="389" ht="14.25" customHeight="1">
      <c r="A389" s="6" t="s">
        <v>810</v>
      </c>
      <c r="B389" s="9" t="s">
        <v>1421</v>
      </c>
      <c r="C389" s="10">
        <v>1.0</v>
      </c>
      <c r="D389" s="10">
        <v>1.0</v>
      </c>
      <c r="E389" s="10">
        <v>2.0</v>
      </c>
      <c r="F389" s="10">
        <v>1.0</v>
      </c>
      <c r="G389" s="10">
        <v>1.0</v>
      </c>
      <c r="H389" s="12">
        <f t="shared" si="1"/>
        <v>1.24</v>
      </c>
      <c r="I389" s="13">
        <v>2.0</v>
      </c>
      <c r="J389" s="14">
        <f t="shared" si="2"/>
        <v>2.48</v>
      </c>
      <c r="K389" s="15" t="str">
        <f t="shared" si="3"/>
        <v>Baja</v>
      </c>
    </row>
    <row r="390" ht="14.25" customHeight="1">
      <c r="A390" s="6" t="s">
        <v>810</v>
      </c>
      <c r="B390" s="9" t="s">
        <v>1426</v>
      </c>
      <c r="C390" s="10">
        <v>1.0</v>
      </c>
      <c r="D390" s="10">
        <v>1.0</v>
      </c>
      <c r="E390" s="10">
        <v>2.0</v>
      </c>
      <c r="F390" s="10">
        <v>1.0</v>
      </c>
      <c r="G390" s="10">
        <v>1.0</v>
      </c>
      <c r="H390" s="12">
        <f t="shared" si="1"/>
        <v>1.24</v>
      </c>
      <c r="I390" s="13">
        <v>3.0</v>
      </c>
      <c r="J390" s="14">
        <f t="shared" si="2"/>
        <v>3.72</v>
      </c>
      <c r="K390" s="15" t="str">
        <f t="shared" si="3"/>
        <v>Baja</v>
      </c>
    </row>
    <row r="391" ht="14.25" customHeight="1">
      <c r="A391" s="6" t="s">
        <v>815</v>
      </c>
      <c r="B391" s="27" t="s">
        <v>999</v>
      </c>
      <c r="C391" s="10">
        <v>2.0</v>
      </c>
      <c r="D391" s="10">
        <v>2.0</v>
      </c>
      <c r="E391" s="10">
        <v>3.0</v>
      </c>
      <c r="F391" s="10">
        <v>3.0</v>
      </c>
      <c r="G391" s="10">
        <v>1.0</v>
      </c>
      <c r="H391" s="12">
        <f t="shared" si="1"/>
        <v>2.236</v>
      </c>
      <c r="I391" s="13">
        <v>2.0</v>
      </c>
      <c r="J391" s="14">
        <f t="shared" si="2"/>
        <v>4.472</v>
      </c>
      <c r="K391" s="15" t="str">
        <f t="shared" si="3"/>
        <v>Media</v>
      </c>
    </row>
    <row r="392" ht="14.25" customHeight="1">
      <c r="A392" s="6" t="s">
        <v>815</v>
      </c>
      <c r="B392" s="27" t="s">
        <v>1005</v>
      </c>
      <c r="C392" s="10">
        <v>2.0</v>
      </c>
      <c r="D392" s="10">
        <v>2.0</v>
      </c>
      <c r="E392" s="10">
        <v>2.0</v>
      </c>
      <c r="F392" s="10">
        <v>3.0</v>
      </c>
      <c r="G392" s="10">
        <v>1.0</v>
      </c>
      <c r="H392" s="12">
        <f t="shared" si="1"/>
        <v>1.996</v>
      </c>
      <c r="I392" s="13">
        <v>1.0</v>
      </c>
      <c r="J392" s="14">
        <f t="shared" si="2"/>
        <v>1.996</v>
      </c>
      <c r="K392" s="15" t="str">
        <f t="shared" si="3"/>
        <v>Baja</v>
      </c>
    </row>
    <row r="393" ht="14.25" customHeight="1">
      <c r="A393" s="6" t="s">
        <v>815</v>
      </c>
      <c r="B393" s="27" t="s">
        <v>1017</v>
      </c>
      <c r="C393" s="10">
        <v>2.0</v>
      </c>
      <c r="D393" s="10">
        <v>2.0</v>
      </c>
      <c r="E393" s="10">
        <v>3.0</v>
      </c>
      <c r="F393" s="10">
        <v>3.0</v>
      </c>
      <c r="G393" s="10">
        <v>1.0</v>
      </c>
      <c r="H393" s="12">
        <f t="shared" si="1"/>
        <v>2.236</v>
      </c>
      <c r="I393" s="13">
        <v>2.0</v>
      </c>
      <c r="J393" s="14">
        <f t="shared" si="2"/>
        <v>4.472</v>
      </c>
      <c r="K393" s="15" t="str">
        <f t="shared" si="3"/>
        <v>Media</v>
      </c>
    </row>
    <row r="394" ht="14.25" customHeight="1">
      <c r="A394" s="6" t="s">
        <v>815</v>
      </c>
      <c r="B394" s="27" t="s">
        <v>727</v>
      </c>
      <c r="C394" s="10">
        <v>1.0</v>
      </c>
      <c r="D394" s="10">
        <v>1.0</v>
      </c>
      <c r="E394" s="10">
        <v>3.0</v>
      </c>
      <c r="F394" s="10">
        <v>3.0</v>
      </c>
      <c r="G394" s="10">
        <v>1.0</v>
      </c>
      <c r="H394" s="12">
        <f t="shared" si="1"/>
        <v>1.672</v>
      </c>
      <c r="I394" s="13">
        <v>2.0</v>
      </c>
      <c r="J394" s="14">
        <f t="shared" si="2"/>
        <v>3.344</v>
      </c>
      <c r="K394" s="15" t="str">
        <f t="shared" si="3"/>
        <v>Baja</v>
      </c>
    </row>
    <row r="395" ht="14.25" customHeight="1">
      <c r="A395" s="6" t="s">
        <v>815</v>
      </c>
      <c r="B395" s="27" t="s">
        <v>1031</v>
      </c>
      <c r="C395" s="10">
        <v>1.0</v>
      </c>
      <c r="D395" s="10">
        <v>1.0</v>
      </c>
      <c r="E395" s="10">
        <v>2.0</v>
      </c>
      <c r="F395" s="10">
        <v>1.0</v>
      </c>
      <c r="G395" s="10">
        <v>1.0</v>
      </c>
      <c r="H395" s="12">
        <f t="shared" si="1"/>
        <v>1.24</v>
      </c>
      <c r="I395" s="13">
        <v>3.0</v>
      </c>
      <c r="J395" s="14">
        <f t="shared" si="2"/>
        <v>3.72</v>
      </c>
      <c r="K395" s="15" t="str">
        <f t="shared" si="3"/>
        <v>Baja</v>
      </c>
    </row>
    <row r="396" ht="14.25" customHeight="1">
      <c r="A396" s="6" t="s">
        <v>815</v>
      </c>
      <c r="B396" s="27" t="s">
        <v>1036</v>
      </c>
      <c r="C396" s="10">
        <v>1.0</v>
      </c>
      <c r="D396" s="10">
        <v>1.0</v>
      </c>
      <c r="E396" s="10">
        <v>3.0</v>
      </c>
      <c r="F396" s="10">
        <v>1.0</v>
      </c>
      <c r="G396" s="10">
        <v>1.0</v>
      </c>
      <c r="H396" s="12">
        <f t="shared" si="1"/>
        <v>1.48</v>
      </c>
      <c r="I396" s="13">
        <v>2.0</v>
      </c>
      <c r="J396" s="14">
        <f t="shared" si="2"/>
        <v>2.96</v>
      </c>
      <c r="K396" s="15" t="str">
        <f t="shared" si="3"/>
        <v>Baja</v>
      </c>
    </row>
    <row r="397" ht="14.25" customHeight="1">
      <c r="A397" s="6" t="s">
        <v>815</v>
      </c>
      <c r="B397" s="27" t="s">
        <v>1041</v>
      </c>
      <c r="C397" s="10">
        <v>1.0</v>
      </c>
      <c r="D397" s="10">
        <v>1.0</v>
      </c>
      <c r="E397" s="10">
        <v>2.0</v>
      </c>
      <c r="F397" s="10">
        <v>1.0</v>
      </c>
      <c r="G397" s="10">
        <v>1.0</v>
      </c>
      <c r="H397" s="12">
        <f t="shared" si="1"/>
        <v>1.24</v>
      </c>
      <c r="I397" s="13">
        <v>2.0</v>
      </c>
      <c r="J397" s="14">
        <f t="shared" si="2"/>
        <v>2.48</v>
      </c>
      <c r="K397" s="15" t="str">
        <f t="shared" si="3"/>
        <v>Baja</v>
      </c>
    </row>
    <row r="398" ht="14.25" customHeight="1">
      <c r="A398" s="6" t="s">
        <v>815</v>
      </c>
      <c r="B398" s="27" t="s">
        <v>1047</v>
      </c>
      <c r="C398" s="10">
        <v>1.0</v>
      </c>
      <c r="D398" s="10">
        <v>1.0</v>
      </c>
      <c r="E398" s="10">
        <v>2.0</v>
      </c>
      <c r="F398" s="10">
        <v>1.0</v>
      </c>
      <c r="G398" s="10">
        <v>1.0</v>
      </c>
      <c r="H398" s="12">
        <f t="shared" si="1"/>
        <v>1.24</v>
      </c>
      <c r="I398" s="13">
        <v>3.0</v>
      </c>
      <c r="J398" s="14">
        <f t="shared" si="2"/>
        <v>3.72</v>
      </c>
      <c r="K398" s="15" t="str">
        <f t="shared" si="3"/>
        <v>Baja</v>
      </c>
    </row>
    <row r="399" ht="14.25" customHeight="1">
      <c r="A399" s="6" t="s">
        <v>819</v>
      </c>
      <c r="B399" s="9" t="s">
        <v>854</v>
      </c>
      <c r="C399" s="10">
        <v>1.0</v>
      </c>
      <c r="D399" s="10">
        <v>1.0</v>
      </c>
      <c r="E399" s="10">
        <v>3.0</v>
      </c>
      <c r="F399" s="10">
        <v>2.0</v>
      </c>
      <c r="G399" s="10">
        <v>1.0</v>
      </c>
      <c r="H399" s="12">
        <f t="shared" si="1"/>
        <v>1.576</v>
      </c>
      <c r="I399" s="13">
        <v>3.0</v>
      </c>
      <c r="J399" s="14">
        <f t="shared" si="2"/>
        <v>4.728</v>
      </c>
      <c r="K399" s="15" t="str">
        <f t="shared" si="3"/>
        <v>Media</v>
      </c>
    </row>
    <row r="400" ht="14.25" customHeight="1">
      <c r="A400" s="6" t="s">
        <v>819</v>
      </c>
      <c r="B400" s="9" t="s">
        <v>855</v>
      </c>
      <c r="C400" s="10">
        <v>1.0</v>
      </c>
      <c r="D400" s="10">
        <v>1.0</v>
      </c>
      <c r="E400" s="10">
        <v>3.0</v>
      </c>
      <c r="F400" s="10">
        <v>2.0</v>
      </c>
      <c r="G400" s="10">
        <v>1.0</v>
      </c>
      <c r="H400" s="12">
        <f t="shared" si="1"/>
        <v>1.576</v>
      </c>
      <c r="I400" s="13">
        <v>2.0</v>
      </c>
      <c r="J400" s="14">
        <f t="shared" si="2"/>
        <v>3.152</v>
      </c>
      <c r="K400" s="15" t="str">
        <f t="shared" si="3"/>
        <v>Baja</v>
      </c>
    </row>
    <row r="401" ht="14.25" customHeight="1">
      <c r="A401" s="6" t="s">
        <v>819</v>
      </c>
      <c r="B401" s="9" t="s">
        <v>865</v>
      </c>
      <c r="C401" s="10">
        <v>1.0</v>
      </c>
      <c r="D401" s="10">
        <v>1.0</v>
      </c>
      <c r="E401" s="10">
        <v>2.0</v>
      </c>
      <c r="F401" s="10">
        <v>1.0</v>
      </c>
      <c r="G401" s="10">
        <v>1.0</v>
      </c>
      <c r="H401" s="12">
        <f t="shared" si="1"/>
        <v>1.24</v>
      </c>
      <c r="I401" s="13">
        <v>3.0</v>
      </c>
      <c r="J401" s="14">
        <f t="shared" si="2"/>
        <v>3.72</v>
      </c>
      <c r="K401" s="15" t="str">
        <f t="shared" si="3"/>
        <v>Baja</v>
      </c>
    </row>
    <row r="402" ht="14.25" customHeight="1">
      <c r="A402" s="6" t="s">
        <v>819</v>
      </c>
      <c r="B402" s="9" t="s">
        <v>874</v>
      </c>
      <c r="C402" s="10">
        <v>1.0</v>
      </c>
      <c r="D402" s="10">
        <v>1.0</v>
      </c>
      <c r="E402" s="10">
        <v>3.0</v>
      </c>
      <c r="F402" s="10">
        <v>2.0</v>
      </c>
      <c r="G402" s="10">
        <v>1.0</v>
      </c>
      <c r="H402" s="12">
        <f t="shared" si="1"/>
        <v>1.576</v>
      </c>
      <c r="I402" s="13">
        <v>2.0</v>
      </c>
      <c r="J402" s="14">
        <f t="shared" si="2"/>
        <v>3.152</v>
      </c>
      <c r="K402" s="15" t="str">
        <f t="shared" si="3"/>
        <v>Baja</v>
      </c>
    </row>
    <row r="403" ht="14.25" customHeight="1">
      <c r="A403" s="6" t="s">
        <v>819</v>
      </c>
      <c r="B403" s="9" t="s">
        <v>882</v>
      </c>
      <c r="C403" s="10">
        <v>1.0</v>
      </c>
      <c r="D403" s="10">
        <v>1.0</v>
      </c>
      <c r="E403" s="10">
        <v>2.0</v>
      </c>
      <c r="F403" s="10">
        <v>1.0</v>
      </c>
      <c r="G403" s="10">
        <v>1.0</v>
      </c>
      <c r="H403" s="12">
        <f t="shared" si="1"/>
        <v>1.24</v>
      </c>
      <c r="I403" s="13">
        <v>3.0</v>
      </c>
      <c r="J403" s="14">
        <f t="shared" si="2"/>
        <v>3.72</v>
      </c>
      <c r="K403" s="15" t="str">
        <f t="shared" si="3"/>
        <v>Baja</v>
      </c>
    </row>
    <row r="404" ht="14.25" customHeight="1">
      <c r="A404" s="6" t="s">
        <v>819</v>
      </c>
      <c r="B404" s="9" t="s">
        <v>887</v>
      </c>
      <c r="C404" s="10">
        <v>1.0</v>
      </c>
      <c r="D404" s="10">
        <v>1.0</v>
      </c>
      <c r="E404" s="10">
        <v>2.0</v>
      </c>
      <c r="F404" s="10">
        <v>1.0</v>
      </c>
      <c r="G404" s="10">
        <v>1.0</v>
      </c>
      <c r="H404" s="12">
        <f t="shared" si="1"/>
        <v>1.24</v>
      </c>
      <c r="I404" s="13">
        <v>3.0</v>
      </c>
      <c r="J404" s="14">
        <f t="shared" si="2"/>
        <v>3.72</v>
      </c>
      <c r="K404" s="15" t="str">
        <f t="shared" si="3"/>
        <v>Baja</v>
      </c>
    </row>
    <row r="405" ht="14.25" customHeight="1">
      <c r="A405" s="6" t="s">
        <v>819</v>
      </c>
      <c r="B405" s="9" t="s">
        <v>898</v>
      </c>
      <c r="C405" s="10">
        <v>1.0</v>
      </c>
      <c r="D405" s="10">
        <v>1.0</v>
      </c>
      <c r="E405" s="10">
        <v>3.0</v>
      </c>
      <c r="F405" s="10">
        <v>2.0</v>
      </c>
      <c r="G405" s="10">
        <v>1.0</v>
      </c>
      <c r="H405" s="12">
        <f t="shared" si="1"/>
        <v>1.576</v>
      </c>
      <c r="I405" s="13">
        <v>3.0</v>
      </c>
      <c r="J405" s="14">
        <f t="shared" si="2"/>
        <v>4.728</v>
      </c>
      <c r="K405" s="15" t="str">
        <f t="shared" si="3"/>
        <v>Media</v>
      </c>
    </row>
    <row r="406" ht="14.25" customHeight="1">
      <c r="A406" s="6" t="s">
        <v>819</v>
      </c>
      <c r="B406" s="9" t="s">
        <v>902</v>
      </c>
      <c r="C406" s="10">
        <v>1.0</v>
      </c>
      <c r="D406" s="10">
        <v>1.0</v>
      </c>
      <c r="E406" s="10">
        <v>2.0</v>
      </c>
      <c r="F406" s="10">
        <v>1.0</v>
      </c>
      <c r="G406" s="10">
        <v>1.0</v>
      </c>
      <c r="H406" s="12">
        <f t="shared" si="1"/>
        <v>1.24</v>
      </c>
      <c r="I406" s="13">
        <v>3.0</v>
      </c>
      <c r="J406" s="14">
        <f t="shared" si="2"/>
        <v>3.72</v>
      </c>
      <c r="K406" s="15" t="str">
        <f t="shared" si="3"/>
        <v>Baja</v>
      </c>
    </row>
    <row r="407" ht="14.25" customHeight="1">
      <c r="A407" s="6" t="s">
        <v>826</v>
      </c>
      <c r="B407" s="27" t="s">
        <v>910</v>
      </c>
      <c r="C407" s="10">
        <v>1.0</v>
      </c>
      <c r="D407" s="10">
        <v>1.0</v>
      </c>
      <c r="E407" s="10">
        <v>2.0</v>
      </c>
      <c r="F407" s="10">
        <v>1.0</v>
      </c>
      <c r="G407" s="10">
        <v>1.0</v>
      </c>
      <c r="H407" s="12">
        <f t="shared" si="1"/>
        <v>1.24</v>
      </c>
      <c r="I407" s="13">
        <v>1.0</v>
      </c>
      <c r="J407" s="14">
        <f t="shared" si="2"/>
        <v>1.24</v>
      </c>
      <c r="K407" s="15" t="str">
        <f t="shared" si="3"/>
        <v>Baja</v>
      </c>
    </row>
    <row r="408" ht="14.25" customHeight="1">
      <c r="A408" s="6" t="s">
        <v>826</v>
      </c>
      <c r="B408" s="27" t="s">
        <v>854</v>
      </c>
      <c r="C408" s="10">
        <v>1.0</v>
      </c>
      <c r="D408" s="10">
        <v>1.0</v>
      </c>
      <c r="E408" s="10">
        <v>3.0</v>
      </c>
      <c r="F408" s="10">
        <v>2.0</v>
      </c>
      <c r="G408" s="10">
        <v>1.0</v>
      </c>
      <c r="H408" s="12">
        <f t="shared" si="1"/>
        <v>1.576</v>
      </c>
      <c r="I408" s="13">
        <v>3.0</v>
      </c>
      <c r="J408" s="14">
        <f t="shared" si="2"/>
        <v>4.728</v>
      </c>
      <c r="K408" s="15" t="str">
        <f t="shared" si="3"/>
        <v>Media</v>
      </c>
    </row>
    <row r="409" ht="14.25" customHeight="1">
      <c r="A409" s="6" t="s">
        <v>826</v>
      </c>
      <c r="B409" s="27" t="s">
        <v>930</v>
      </c>
      <c r="C409" s="10">
        <v>1.0</v>
      </c>
      <c r="D409" s="10">
        <v>1.0</v>
      </c>
      <c r="E409" s="10">
        <v>2.0</v>
      </c>
      <c r="F409" s="10">
        <v>1.0</v>
      </c>
      <c r="G409" s="10">
        <v>1.0</v>
      </c>
      <c r="H409" s="12">
        <f t="shared" si="1"/>
        <v>1.24</v>
      </c>
      <c r="I409" s="13">
        <v>1.0</v>
      </c>
      <c r="J409" s="14">
        <f t="shared" si="2"/>
        <v>1.24</v>
      </c>
      <c r="K409" s="15" t="str">
        <f t="shared" si="3"/>
        <v>Baja</v>
      </c>
    </row>
    <row r="410" ht="14.25" customHeight="1">
      <c r="A410" s="6" t="s">
        <v>826</v>
      </c>
      <c r="B410" s="27" t="s">
        <v>874</v>
      </c>
      <c r="C410" s="10">
        <v>1.0</v>
      </c>
      <c r="D410" s="10">
        <v>1.0</v>
      </c>
      <c r="E410" s="10">
        <v>3.0</v>
      </c>
      <c r="F410" s="10">
        <v>2.0</v>
      </c>
      <c r="G410" s="10">
        <v>1.0</v>
      </c>
      <c r="H410" s="12">
        <f t="shared" si="1"/>
        <v>1.576</v>
      </c>
      <c r="I410" s="13">
        <v>2.0</v>
      </c>
      <c r="J410" s="14">
        <f t="shared" si="2"/>
        <v>3.152</v>
      </c>
      <c r="K410" s="15" t="str">
        <f t="shared" si="3"/>
        <v>Baja</v>
      </c>
    </row>
    <row r="411" ht="14.25" customHeight="1">
      <c r="A411" s="6" t="s">
        <v>826</v>
      </c>
      <c r="B411" s="27" t="s">
        <v>948</v>
      </c>
      <c r="C411" s="10">
        <v>1.0</v>
      </c>
      <c r="D411" s="10">
        <v>1.0</v>
      </c>
      <c r="E411" s="10">
        <v>2.0</v>
      </c>
      <c r="F411" s="10">
        <v>1.0</v>
      </c>
      <c r="G411" s="10">
        <v>1.0</v>
      </c>
      <c r="H411" s="12">
        <f t="shared" si="1"/>
        <v>1.24</v>
      </c>
      <c r="I411" s="13">
        <v>3.0</v>
      </c>
      <c r="J411" s="14">
        <f t="shared" si="2"/>
        <v>3.72</v>
      </c>
      <c r="K411" s="15" t="str">
        <f t="shared" si="3"/>
        <v>Baja</v>
      </c>
    </row>
    <row r="412" ht="14.25" customHeight="1">
      <c r="A412" s="6" t="s">
        <v>826</v>
      </c>
      <c r="B412" s="27" t="s">
        <v>955</v>
      </c>
      <c r="C412" s="10">
        <v>1.0</v>
      </c>
      <c r="D412" s="10">
        <v>1.0</v>
      </c>
      <c r="E412" s="10">
        <v>2.0</v>
      </c>
      <c r="F412" s="10">
        <v>1.0</v>
      </c>
      <c r="G412" s="10">
        <v>1.0</v>
      </c>
      <c r="H412" s="12">
        <f t="shared" si="1"/>
        <v>1.24</v>
      </c>
      <c r="I412" s="13">
        <v>2.0</v>
      </c>
      <c r="J412" s="14">
        <f t="shared" si="2"/>
        <v>2.48</v>
      </c>
      <c r="K412" s="15" t="str">
        <f t="shared" si="3"/>
        <v>Baja</v>
      </c>
    </row>
    <row r="413" ht="14.25" customHeight="1">
      <c r="A413" s="6" t="s">
        <v>826</v>
      </c>
      <c r="B413" s="27" t="s">
        <v>966</v>
      </c>
      <c r="C413" s="10">
        <v>1.0</v>
      </c>
      <c r="D413" s="10">
        <v>1.0</v>
      </c>
      <c r="E413" s="10">
        <v>2.0</v>
      </c>
      <c r="F413" s="10">
        <v>1.0</v>
      </c>
      <c r="G413" s="10">
        <v>1.0</v>
      </c>
      <c r="H413" s="12">
        <f t="shared" si="1"/>
        <v>1.24</v>
      </c>
      <c r="I413" s="13">
        <v>3.0</v>
      </c>
      <c r="J413" s="14">
        <f t="shared" si="2"/>
        <v>3.72</v>
      </c>
      <c r="K413" s="15" t="str">
        <f t="shared" si="3"/>
        <v>Baja</v>
      </c>
    </row>
    <row r="414" ht="14.25" customHeight="1">
      <c r="A414" s="6" t="s">
        <v>830</v>
      </c>
      <c r="B414" s="9" t="s">
        <v>1570</v>
      </c>
      <c r="C414" s="10">
        <v>1.0</v>
      </c>
      <c r="D414" s="10">
        <v>1.0</v>
      </c>
      <c r="E414" s="10">
        <v>3.0</v>
      </c>
      <c r="F414" s="10">
        <v>3.0</v>
      </c>
      <c r="G414" s="10">
        <v>1.0</v>
      </c>
      <c r="H414" s="12">
        <f t="shared" si="1"/>
        <v>1.672</v>
      </c>
      <c r="I414" s="13">
        <v>3.0</v>
      </c>
      <c r="J414" s="14">
        <f t="shared" si="2"/>
        <v>5.016</v>
      </c>
      <c r="K414" s="15" t="str">
        <f t="shared" si="3"/>
        <v>Media</v>
      </c>
    </row>
    <row r="415" ht="14.25" customHeight="1">
      <c r="A415" s="6" t="s">
        <v>830</v>
      </c>
      <c r="B415" s="9" t="s">
        <v>1576</v>
      </c>
      <c r="C415" s="10">
        <v>1.0</v>
      </c>
      <c r="D415" s="10">
        <v>1.0</v>
      </c>
      <c r="E415" s="10">
        <v>2.0</v>
      </c>
      <c r="F415" s="10">
        <v>3.0</v>
      </c>
      <c r="G415" s="10">
        <v>1.0</v>
      </c>
      <c r="H415" s="12">
        <f t="shared" si="1"/>
        <v>1.432</v>
      </c>
      <c r="I415" s="13">
        <v>1.0</v>
      </c>
      <c r="J415" s="14">
        <f t="shared" si="2"/>
        <v>1.432</v>
      </c>
      <c r="K415" s="15" t="str">
        <f t="shared" si="3"/>
        <v>Baja</v>
      </c>
    </row>
    <row r="416" ht="14.25" customHeight="1">
      <c r="A416" s="6" t="s">
        <v>830</v>
      </c>
      <c r="B416" s="9" t="s">
        <v>1585</v>
      </c>
      <c r="C416" s="10">
        <v>1.0</v>
      </c>
      <c r="D416" s="10">
        <v>1.0</v>
      </c>
      <c r="E416" s="10">
        <v>3.0</v>
      </c>
      <c r="F416" s="10">
        <v>3.0</v>
      </c>
      <c r="G416" s="10">
        <v>1.0</v>
      </c>
      <c r="H416" s="12">
        <f t="shared" si="1"/>
        <v>1.672</v>
      </c>
      <c r="I416" s="13">
        <v>2.0</v>
      </c>
      <c r="J416" s="14">
        <f t="shared" si="2"/>
        <v>3.344</v>
      </c>
      <c r="K416" s="15" t="str">
        <f t="shared" si="3"/>
        <v>Baja</v>
      </c>
    </row>
    <row r="417" ht="14.25" customHeight="1">
      <c r="A417" s="6" t="s">
        <v>830</v>
      </c>
      <c r="B417" s="9" t="s">
        <v>1590</v>
      </c>
      <c r="C417" s="10">
        <v>1.0</v>
      </c>
      <c r="D417" s="10">
        <v>1.0</v>
      </c>
      <c r="E417" s="10">
        <v>3.0</v>
      </c>
      <c r="F417" s="10">
        <v>3.0</v>
      </c>
      <c r="G417" s="10">
        <v>1.0</v>
      </c>
      <c r="H417" s="12">
        <f t="shared" si="1"/>
        <v>1.672</v>
      </c>
      <c r="I417" s="13">
        <v>2.0</v>
      </c>
      <c r="J417" s="14">
        <f t="shared" si="2"/>
        <v>3.344</v>
      </c>
      <c r="K417" s="15" t="str">
        <f t="shared" si="3"/>
        <v>Baja</v>
      </c>
    </row>
    <row r="418" ht="14.25" customHeight="1">
      <c r="A418" s="6" t="s">
        <v>830</v>
      </c>
      <c r="B418" s="9" t="s">
        <v>1596</v>
      </c>
      <c r="C418" s="10">
        <v>1.0</v>
      </c>
      <c r="D418" s="10">
        <v>1.0</v>
      </c>
      <c r="E418" s="10">
        <v>2.0</v>
      </c>
      <c r="F418" s="10">
        <v>3.0</v>
      </c>
      <c r="G418" s="10">
        <v>1.0</v>
      </c>
      <c r="H418" s="12">
        <f t="shared" si="1"/>
        <v>1.432</v>
      </c>
      <c r="I418" s="13">
        <v>3.0</v>
      </c>
      <c r="J418" s="14">
        <f t="shared" si="2"/>
        <v>4.296</v>
      </c>
      <c r="K418" s="15" t="str">
        <f t="shared" si="3"/>
        <v>Media</v>
      </c>
    </row>
    <row r="419" ht="14.25" customHeight="1">
      <c r="A419" s="6" t="s">
        <v>840</v>
      </c>
      <c r="B419" s="27" t="s">
        <v>1157</v>
      </c>
      <c r="C419" s="10">
        <v>1.0</v>
      </c>
      <c r="D419" s="10">
        <v>1.0</v>
      </c>
      <c r="E419" s="10">
        <v>3.0</v>
      </c>
      <c r="F419" s="10">
        <v>1.0</v>
      </c>
      <c r="G419" s="10">
        <v>1.0</v>
      </c>
      <c r="H419" s="12">
        <f t="shared" si="1"/>
        <v>1.48</v>
      </c>
      <c r="I419" s="13">
        <v>2.0</v>
      </c>
      <c r="J419" s="14">
        <f t="shared" si="2"/>
        <v>2.96</v>
      </c>
      <c r="K419" s="15" t="str">
        <f t="shared" si="3"/>
        <v>Baja</v>
      </c>
    </row>
    <row r="420" ht="14.25" customHeight="1">
      <c r="A420" s="6" t="s">
        <v>840</v>
      </c>
      <c r="B420" s="27" t="s">
        <v>1167</v>
      </c>
      <c r="C420" s="10">
        <v>1.0</v>
      </c>
      <c r="D420" s="10">
        <v>1.0</v>
      </c>
      <c r="E420" s="10">
        <v>2.0</v>
      </c>
      <c r="F420" s="10">
        <v>1.0</v>
      </c>
      <c r="G420" s="10">
        <v>1.0</v>
      </c>
      <c r="H420" s="12">
        <f t="shared" si="1"/>
        <v>1.24</v>
      </c>
      <c r="I420" s="13">
        <v>1.0</v>
      </c>
      <c r="J420" s="14">
        <f t="shared" si="2"/>
        <v>1.24</v>
      </c>
      <c r="K420" s="15" t="str">
        <f t="shared" si="3"/>
        <v>Baja</v>
      </c>
    </row>
    <row r="421" ht="14.25" customHeight="1">
      <c r="A421" s="6" t="s">
        <v>840</v>
      </c>
      <c r="B421" s="27" t="s">
        <v>1176</v>
      </c>
      <c r="C421" s="10">
        <v>1.0</v>
      </c>
      <c r="D421" s="10">
        <v>1.0</v>
      </c>
      <c r="E421" s="10">
        <v>2.0</v>
      </c>
      <c r="F421" s="10">
        <v>1.0</v>
      </c>
      <c r="G421" s="10">
        <v>1.0</v>
      </c>
      <c r="H421" s="12">
        <f t="shared" si="1"/>
        <v>1.24</v>
      </c>
      <c r="I421" s="13">
        <v>3.0</v>
      </c>
      <c r="J421" s="14">
        <f t="shared" si="2"/>
        <v>3.72</v>
      </c>
      <c r="K421" s="15" t="str">
        <f t="shared" si="3"/>
        <v>Baja</v>
      </c>
    </row>
    <row r="422" ht="14.25" customHeight="1">
      <c r="A422" s="6" t="s">
        <v>840</v>
      </c>
      <c r="B422" s="27" t="s">
        <v>1184</v>
      </c>
      <c r="C422" s="10">
        <v>1.0</v>
      </c>
      <c r="D422" s="10">
        <v>1.0</v>
      </c>
      <c r="E422" s="10">
        <v>2.0</v>
      </c>
      <c r="F422" s="10">
        <v>1.0</v>
      </c>
      <c r="G422" s="10">
        <v>1.0</v>
      </c>
      <c r="H422" s="12">
        <f t="shared" si="1"/>
        <v>1.24</v>
      </c>
      <c r="I422" s="13">
        <v>2.0</v>
      </c>
      <c r="J422" s="14">
        <f t="shared" si="2"/>
        <v>2.48</v>
      </c>
      <c r="K422" s="15" t="str">
        <f t="shared" si="3"/>
        <v>Baja</v>
      </c>
    </row>
    <row r="423" ht="14.25" customHeight="1">
      <c r="A423" s="6" t="s">
        <v>847</v>
      </c>
      <c r="B423" s="9" t="s">
        <v>1191</v>
      </c>
      <c r="C423" s="10">
        <v>1.0</v>
      </c>
      <c r="D423" s="10">
        <v>2.0</v>
      </c>
      <c r="E423" s="10">
        <v>2.0</v>
      </c>
      <c r="F423" s="10">
        <v>1.0</v>
      </c>
      <c r="G423" s="10">
        <v>1.0</v>
      </c>
      <c r="H423" s="12">
        <f t="shared" si="1"/>
        <v>1.42</v>
      </c>
      <c r="I423" s="13">
        <v>3.0</v>
      </c>
      <c r="J423" s="14">
        <f t="shared" si="2"/>
        <v>4.26</v>
      </c>
      <c r="K423" s="15" t="str">
        <f t="shared" si="3"/>
        <v>Media</v>
      </c>
    </row>
    <row r="424" ht="14.25" customHeight="1">
      <c r="A424" s="6" t="s">
        <v>847</v>
      </c>
      <c r="B424" s="9" t="s">
        <v>1195</v>
      </c>
      <c r="C424" s="10">
        <v>1.0</v>
      </c>
      <c r="D424" s="10">
        <v>2.0</v>
      </c>
      <c r="E424" s="10">
        <v>2.0</v>
      </c>
      <c r="F424" s="10">
        <v>1.0</v>
      </c>
      <c r="G424" s="10">
        <v>1.0</v>
      </c>
      <c r="H424" s="12">
        <f t="shared" si="1"/>
        <v>1.42</v>
      </c>
      <c r="I424" s="13">
        <v>2.0</v>
      </c>
      <c r="J424" s="14">
        <f t="shared" si="2"/>
        <v>2.84</v>
      </c>
      <c r="K424" s="15" t="str">
        <f t="shared" si="3"/>
        <v>Baja</v>
      </c>
    </row>
    <row r="425" ht="14.25" customHeight="1">
      <c r="A425" s="6" t="s">
        <v>847</v>
      </c>
      <c r="B425" s="9" t="s">
        <v>1204</v>
      </c>
      <c r="C425" s="10">
        <v>1.0</v>
      </c>
      <c r="D425" s="10">
        <v>2.0</v>
      </c>
      <c r="E425" s="10">
        <v>2.0</v>
      </c>
      <c r="F425" s="10">
        <v>1.0</v>
      </c>
      <c r="G425" s="10">
        <v>1.0</v>
      </c>
      <c r="H425" s="12">
        <f t="shared" si="1"/>
        <v>1.42</v>
      </c>
      <c r="I425" s="13">
        <v>1.0</v>
      </c>
      <c r="J425" s="14">
        <f t="shared" si="2"/>
        <v>1.42</v>
      </c>
      <c r="K425" s="15" t="str">
        <f t="shared" si="3"/>
        <v>Baja</v>
      </c>
    </row>
    <row r="426" ht="14.25" customHeight="1">
      <c r="A426" s="6" t="s">
        <v>847</v>
      </c>
      <c r="B426" s="9" t="s">
        <v>1210</v>
      </c>
      <c r="C426" s="10">
        <v>1.0</v>
      </c>
      <c r="D426" s="10">
        <v>2.0</v>
      </c>
      <c r="E426" s="10">
        <v>2.0</v>
      </c>
      <c r="F426" s="10">
        <v>1.0</v>
      </c>
      <c r="G426" s="10">
        <v>1.0</v>
      </c>
      <c r="H426" s="12">
        <f t="shared" si="1"/>
        <v>1.42</v>
      </c>
      <c r="I426" s="13">
        <v>3.0</v>
      </c>
      <c r="J426" s="14">
        <f t="shared" si="2"/>
        <v>4.26</v>
      </c>
      <c r="K426" s="15" t="str">
        <f t="shared" si="3"/>
        <v>Media</v>
      </c>
    </row>
    <row r="427" ht="14.25" customHeight="1">
      <c r="A427" s="6" t="s">
        <v>847</v>
      </c>
      <c r="B427" s="9" t="s">
        <v>1219</v>
      </c>
      <c r="C427" s="10">
        <v>1.0</v>
      </c>
      <c r="D427" s="10">
        <v>2.0</v>
      </c>
      <c r="E427" s="10">
        <v>2.0</v>
      </c>
      <c r="F427" s="10">
        <v>1.0</v>
      </c>
      <c r="G427" s="10">
        <v>1.0</v>
      </c>
      <c r="H427" s="12">
        <f t="shared" si="1"/>
        <v>1.42</v>
      </c>
      <c r="I427" s="13">
        <v>3.0</v>
      </c>
      <c r="J427" s="14">
        <f t="shared" si="2"/>
        <v>4.26</v>
      </c>
      <c r="K427" s="15" t="str">
        <f t="shared" si="3"/>
        <v>Media</v>
      </c>
    </row>
    <row r="428" ht="14.25" customHeight="1">
      <c r="A428" s="6" t="s">
        <v>847</v>
      </c>
      <c r="B428" s="9" t="s">
        <v>1228</v>
      </c>
      <c r="C428" s="10">
        <v>1.0</v>
      </c>
      <c r="D428" s="10">
        <v>1.0</v>
      </c>
      <c r="E428" s="10">
        <v>2.0</v>
      </c>
      <c r="F428" s="10">
        <v>1.0</v>
      </c>
      <c r="G428" s="10">
        <v>1.0</v>
      </c>
      <c r="H428" s="12">
        <f t="shared" si="1"/>
        <v>1.24</v>
      </c>
      <c r="I428" s="13">
        <v>2.0</v>
      </c>
      <c r="J428" s="14">
        <f t="shared" si="2"/>
        <v>2.48</v>
      </c>
      <c r="K428" s="15" t="str">
        <f t="shared" si="3"/>
        <v>Baja</v>
      </c>
    </row>
    <row r="429" ht="14.25" customHeight="1">
      <c r="A429" s="6" t="s">
        <v>847</v>
      </c>
      <c r="B429" s="9" t="s">
        <v>1233</v>
      </c>
      <c r="C429" s="10">
        <v>1.0</v>
      </c>
      <c r="D429" s="10">
        <v>1.0</v>
      </c>
      <c r="E429" s="10">
        <v>2.0</v>
      </c>
      <c r="F429" s="10">
        <v>1.0</v>
      </c>
      <c r="G429" s="10">
        <v>1.0</v>
      </c>
      <c r="H429" s="12">
        <f t="shared" si="1"/>
        <v>1.24</v>
      </c>
      <c r="I429" s="13">
        <v>3.0</v>
      </c>
      <c r="J429" s="14">
        <f t="shared" si="2"/>
        <v>3.72</v>
      </c>
      <c r="K429" s="15" t="str">
        <f t="shared" si="3"/>
        <v>Baja</v>
      </c>
    </row>
    <row r="430" ht="14.25" customHeight="1">
      <c r="A430" s="6" t="s">
        <v>853</v>
      </c>
      <c r="B430" s="27" t="s">
        <v>1191</v>
      </c>
      <c r="C430" s="10">
        <v>1.0</v>
      </c>
      <c r="D430" s="10">
        <v>2.0</v>
      </c>
      <c r="E430" s="10">
        <v>2.0</v>
      </c>
      <c r="F430" s="10">
        <v>1.0</v>
      </c>
      <c r="G430" s="10">
        <v>1.0</v>
      </c>
      <c r="H430" s="12">
        <f t="shared" si="1"/>
        <v>1.42</v>
      </c>
      <c r="I430" s="13">
        <v>3.0</v>
      </c>
      <c r="J430" s="14">
        <f t="shared" si="2"/>
        <v>4.26</v>
      </c>
      <c r="K430" s="15" t="str">
        <f t="shared" si="3"/>
        <v>Media</v>
      </c>
    </row>
    <row r="431" ht="14.25" customHeight="1">
      <c r="A431" s="6" t="s">
        <v>853</v>
      </c>
      <c r="B431" s="27" t="s">
        <v>1204</v>
      </c>
      <c r="C431" s="10">
        <v>1.0</v>
      </c>
      <c r="D431" s="10">
        <v>2.0</v>
      </c>
      <c r="E431" s="10">
        <v>2.0</v>
      </c>
      <c r="F431" s="10">
        <v>1.0</v>
      </c>
      <c r="G431" s="10">
        <v>1.0</v>
      </c>
      <c r="H431" s="12">
        <f t="shared" si="1"/>
        <v>1.42</v>
      </c>
      <c r="I431" s="13">
        <v>1.0</v>
      </c>
      <c r="J431" s="14">
        <f t="shared" si="2"/>
        <v>1.42</v>
      </c>
      <c r="K431" s="15" t="str">
        <f t="shared" si="3"/>
        <v>Baja</v>
      </c>
    </row>
    <row r="432" ht="14.25" customHeight="1">
      <c r="A432" s="6" t="s">
        <v>853</v>
      </c>
      <c r="B432" s="27" t="s">
        <v>1228</v>
      </c>
      <c r="C432" s="10">
        <v>1.0</v>
      </c>
      <c r="D432" s="10">
        <v>1.0</v>
      </c>
      <c r="E432" s="10">
        <v>2.0</v>
      </c>
      <c r="F432" s="10">
        <v>1.0</v>
      </c>
      <c r="G432" s="10">
        <v>1.0</v>
      </c>
      <c r="H432" s="12">
        <f t="shared" si="1"/>
        <v>1.24</v>
      </c>
      <c r="I432" s="13">
        <v>2.0</v>
      </c>
      <c r="J432" s="14">
        <f t="shared" si="2"/>
        <v>2.48</v>
      </c>
      <c r="K432" s="15" t="str">
        <f t="shared" si="3"/>
        <v>Baja</v>
      </c>
    </row>
    <row r="433" ht="14.25" customHeight="1">
      <c r="A433" s="6" t="s">
        <v>859</v>
      </c>
      <c r="B433" s="9" t="s">
        <v>910</v>
      </c>
      <c r="C433" s="10">
        <v>4.0</v>
      </c>
      <c r="D433" s="10">
        <v>1.0</v>
      </c>
      <c r="E433" s="10">
        <v>2.0</v>
      </c>
      <c r="F433" s="10">
        <v>1.0</v>
      </c>
      <c r="G433" s="10">
        <v>1.0</v>
      </c>
      <c r="H433" s="12">
        <f t="shared" si="1"/>
        <v>2.392</v>
      </c>
      <c r="I433" s="13">
        <v>1.0</v>
      </c>
      <c r="J433" s="14">
        <f t="shared" si="2"/>
        <v>2.392</v>
      </c>
      <c r="K433" s="15" t="str">
        <f t="shared" si="3"/>
        <v>Baja</v>
      </c>
    </row>
    <row r="434" ht="14.25" customHeight="1">
      <c r="A434" s="6" t="s">
        <v>859</v>
      </c>
      <c r="B434" s="9" t="s">
        <v>2738</v>
      </c>
      <c r="C434" s="10">
        <v>4.0</v>
      </c>
      <c r="D434" s="10">
        <v>1.0</v>
      </c>
      <c r="E434" s="10">
        <v>3.0</v>
      </c>
      <c r="F434" s="10">
        <v>2.0</v>
      </c>
      <c r="G434" s="10">
        <v>1.0</v>
      </c>
      <c r="H434" s="12">
        <f t="shared" si="1"/>
        <v>2.728</v>
      </c>
      <c r="I434" s="13">
        <v>2.0</v>
      </c>
      <c r="J434" s="14">
        <f t="shared" si="2"/>
        <v>5.456</v>
      </c>
      <c r="K434" s="15" t="str">
        <f t="shared" si="3"/>
        <v>Media</v>
      </c>
    </row>
    <row r="435" ht="14.25" customHeight="1">
      <c r="A435" s="6" t="s">
        <v>859</v>
      </c>
      <c r="B435" s="9" t="s">
        <v>2750</v>
      </c>
      <c r="C435" s="10">
        <v>1.0</v>
      </c>
      <c r="D435" s="10">
        <v>1.0</v>
      </c>
      <c r="E435" s="10">
        <v>3.0</v>
      </c>
      <c r="F435" s="10">
        <v>3.0</v>
      </c>
      <c r="G435" s="10">
        <v>1.0</v>
      </c>
      <c r="H435" s="12">
        <f t="shared" si="1"/>
        <v>1.672</v>
      </c>
      <c r="I435" s="13">
        <v>2.0</v>
      </c>
      <c r="J435" s="14">
        <f t="shared" si="2"/>
        <v>3.344</v>
      </c>
      <c r="K435" s="15" t="str">
        <f t="shared" si="3"/>
        <v>Baja</v>
      </c>
    </row>
    <row r="436" ht="14.25" customHeight="1">
      <c r="A436" s="6" t="s">
        <v>859</v>
      </c>
      <c r="B436" s="9" t="s">
        <v>948</v>
      </c>
      <c r="C436" s="10">
        <v>1.0</v>
      </c>
      <c r="D436" s="10">
        <v>1.0</v>
      </c>
      <c r="E436" s="10">
        <v>2.0</v>
      </c>
      <c r="F436" s="10">
        <v>1.0</v>
      </c>
      <c r="G436" s="10">
        <v>1.0</v>
      </c>
      <c r="H436" s="12">
        <f t="shared" si="1"/>
        <v>1.24</v>
      </c>
      <c r="I436" s="13">
        <v>3.0</v>
      </c>
      <c r="J436" s="14">
        <f t="shared" si="2"/>
        <v>3.72</v>
      </c>
      <c r="K436" s="15" t="str">
        <f t="shared" si="3"/>
        <v>Baja</v>
      </c>
    </row>
    <row r="437" ht="14.25" customHeight="1">
      <c r="A437" s="6" t="s">
        <v>859</v>
      </c>
      <c r="B437" s="9" t="s">
        <v>2764</v>
      </c>
      <c r="C437" s="10">
        <v>1.0</v>
      </c>
      <c r="D437" s="10">
        <v>1.0</v>
      </c>
      <c r="E437" s="10">
        <v>2.0</v>
      </c>
      <c r="F437" s="10">
        <v>1.0</v>
      </c>
      <c r="G437" s="10">
        <v>1.0</v>
      </c>
      <c r="H437" s="12">
        <f t="shared" si="1"/>
        <v>1.24</v>
      </c>
      <c r="I437" s="13">
        <v>2.0</v>
      </c>
      <c r="J437" s="14">
        <f t="shared" si="2"/>
        <v>2.48</v>
      </c>
      <c r="K437" s="15" t="str">
        <f t="shared" si="3"/>
        <v>Baja</v>
      </c>
    </row>
    <row r="438" ht="14.25" customHeight="1">
      <c r="A438" s="6" t="s">
        <v>859</v>
      </c>
      <c r="B438" s="9" t="s">
        <v>2771</v>
      </c>
      <c r="C438" s="10">
        <v>3.0</v>
      </c>
      <c r="D438" s="10">
        <v>1.0</v>
      </c>
      <c r="E438" s="10">
        <v>3.0</v>
      </c>
      <c r="F438" s="10">
        <v>1.0</v>
      </c>
      <c r="G438" s="10">
        <v>1.0</v>
      </c>
      <c r="H438" s="12">
        <f t="shared" si="1"/>
        <v>2.248</v>
      </c>
      <c r="I438" s="13">
        <v>2.0</v>
      </c>
      <c r="J438" s="14">
        <f t="shared" si="2"/>
        <v>4.496</v>
      </c>
      <c r="K438" s="15" t="str">
        <f t="shared" si="3"/>
        <v>Media</v>
      </c>
    </row>
    <row r="439" ht="14.25" customHeight="1">
      <c r="A439" s="6" t="s">
        <v>869</v>
      </c>
      <c r="B439" s="27" t="s">
        <v>2780</v>
      </c>
      <c r="C439" s="10">
        <v>4.0</v>
      </c>
      <c r="D439" s="10">
        <v>1.0</v>
      </c>
      <c r="E439" s="10">
        <v>3.0</v>
      </c>
      <c r="F439" s="10">
        <v>2.0</v>
      </c>
      <c r="G439" s="10">
        <v>1.0</v>
      </c>
      <c r="H439" s="12">
        <f t="shared" si="1"/>
        <v>2.728</v>
      </c>
      <c r="I439" s="13">
        <v>1.0</v>
      </c>
      <c r="J439" s="14">
        <f t="shared" si="2"/>
        <v>2.728</v>
      </c>
      <c r="K439" s="15" t="str">
        <f t="shared" si="3"/>
        <v>Baja</v>
      </c>
    </row>
    <row r="440" ht="14.25" customHeight="1">
      <c r="A440" s="6" t="s">
        <v>869</v>
      </c>
      <c r="B440" s="27" t="s">
        <v>2787</v>
      </c>
      <c r="C440" s="10">
        <v>1.0</v>
      </c>
      <c r="D440" s="10">
        <v>1.0</v>
      </c>
      <c r="E440" s="10">
        <v>3.0</v>
      </c>
      <c r="F440" s="10">
        <v>2.0</v>
      </c>
      <c r="G440" s="10">
        <v>1.0</v>
      </c>
      <c r="H440" s="12">
        <f t="shared" si="1"/>
        <v>1.576</v>
      </c>
      <c r="I440" s="13">
        <v>3.0</v>
      </c>
      <c r="J440" s="14">
        <f t="shared" si="2"/>
        <v>4.728</v>
      </c>
      <c r="K440" s="15" t="str">
        <f t="shared" si="3"/>
        <v>Media</v>
      </c>
    </row>
    <row r="441" ht="14.25" customHeight="1">
      <c r="A441" s="6" t="s">
        <v>869</v>
      </c>
      <c r="B441" s="27" t="s">
        <v>2792</v>
      </c>
      <c r="C441" s="10">
        <v>3.0</v>
      </c>
      <c r="D441" s="10">
        <v>1.0</v>
      </c>
      <c r="E441" s="10">
        <v>2.0</v>
      </c>
      <c r="F441" s="10">
        <v>1.0</v>
      </c>
      <c r="G441" s="10">
        <v>1.0</v>
      </c>
      <c r="H441" s="12">
        <f t="shared" si="1"/>
        <v>2.008</v>
      </c>
      <c r="I441" s="13">
        <v>2.0</v>
      </c>
      <c r="J441" s="14">
        <f t="shared" si="2"/>
        <v>4.016</v>
      </c>
      <c r="K441" s="15" t="str">
        <f t="shared" si="3"/>
        <v>Media</v>
      </c>
    </row>
    <row r="442" ht="14.25" customHeight="1">
      <c r="A442" s="6" t="s">
        <v>881</v>
      </c>
      <c r="B442" s="9" t="s">
        <v>1744</v>
      </c>
      <c r="C442" s="10">
        <v>3.0</v>
      </c>
      <c r="D442" s="10">
        <v>2.0</v>
      </c>
      <c r="E442" s="10">
        <v>3.0</v>
      </c>
      <c r="F442" s="10">
        <v>1.0</v>
      </c>
      <c r="G442" s="10">
        <v>1.0</v>
      </c>
      <c r="H442" s="12">
        <f t="shared" si="1"/>
        <v>2.428</v>
      </c>
      <c r="I442" s="13">
        <v>1.0</v>
      </c>
      <c r="J442" s="14">
        <f t="shared" si="2"/>
        <v>2.428</v>
      </c>
      <c r="K442" s="15" t="str">
        <f t="shared" si="3"/>
        <v>Baja</v>
      </c>
    </row>
    <row r="443" ht="14.25" customHeight="1">
      <c r="A443" s="6" t="s">
        <v>881</v>
      </c>
      <c r="B443" s="9" t="s">
        <v>1749</v>
      </c>
      <c r="C443" s="10">
        <v>1.0</v>
      </c>
      <c r="D443" s="10">
        <v>1.0</v>
      </c>
      <c r="E443" s="10">
        <v>2.0</v>
      </c>
      <c r="F443" s="10">
        <v>1.0</v>
      </c>
      <c r="G443" s="10">
        <v>1.0</v>
      </c>
      <c r="H443" s="12">
        <f t="shared" si="1"/>
        <v>1.24</v>
      </c>
      <c r="I443" s="13">
        <v>2.0</v>
      </c>
      <c r="J443" s="14">
        <f t="shared" si="2"/>
        <v>2.48</v>
      </c>
      <c r="K443" s="15" t="str">
        <f t="shared" si="3"/>
        <v>Baja</v>
      </c>
    </row>
    <row r="444" ht="14.25" customHeight="1">
      <c r="A444" s="6" t="s">
        <v>881</v>
      </c>
      <c r="B444" s="9" t="s">
        <v>1751</v>
      </c>
      <c r="C444" s="10">
        <v>2.0</v>
      </c>
      <c r="D444" s="10">
        <v>1.0</v>
      </c>
      <c r="E444" s="10">
        <v>3.0</v>
      </c>
      <c r="F444" s="10">
        <v>1.0</v>
      </c>
      <c r="G444" s="10">
        <v>1.0</v>
      </c>
      <c r="H444" s="12">
        <f t="shared" si="1"/>
        <v>1.864</v>
      </c>
      <c r="I444" s="13">
        <v>2.0</v>
      </c>
      <c r="J444" s="14">
        <f t="shared" si="2"/>
        <v>3.728</v>
      </c>
      <c r="K444" s="15" t="str">
        <f t="shared" si="3"/>
        <v>Baja</v>
      </c>
    </row>
    <row r="445" ht="14.25" customHeight="1">
      <c r="A445" s="6" t="s">
        <v>881</v>
      </c>
      <c r="B445" s="9" t="s">
        <v>1753</v>
      </c>
      <c r="C445" s="10">
        <v>2.0</v>
      </c>
      <c r="D445" s="10">
        <v>1.0</v>
      </c>
      <c r="E445" s="10">
        <v>2.0</v>
      </c>
      <c r="F445" s="10">
        <v>1.0</v>
      </c>
      <c r="G445" s="10">
        <v>1.0</v>
      </c>
      <c r="H445" s="12">
        <f t="shared" si="1"/>
        <v>1.624</v>
      </c>
      <c r="I445" s="13">
        <v>2.0</v>
      </c>
      <c r="J445" s="14">
        <f t="shared" si="2"/>
        <v>3.248</v>
      </c>
      <c r="K445" s="15" t="str">
        <f t="shared" si="3"/>
        <v>Baja</v>
      </c>
    </row>
    <row r="446" ht="14.25" customHeight="1">
      <c r="A446" s="6" t="s">
        <v>881</v>
      </c>
      <c r="B446" s="9" t="s">
        <v>1755</v>
      </c>
      <c r="C446" s="10">
        <v>2.0</v>
      </c>
      <c r="D446" s="10">
        <v>1.0</v>
      </c>
      <c r="E446" s="10">
        <v>2.0</v>
      </c>
      <c r="F446" s="10">
        <v>1.0</v>
      </c>
      <c r="G446" s="10">
        <v>1.0</v>
      </c>
      <c r="H446" s="12">
        <f t="shared" si="1"/>
        <v>1.624</v>
      </c>
      <c r="I446" s="13">
        <v>3.0</v>
      </c>
      <c r="J446" s="14">
        <f t="shared" si="2"/>
        <v>4.872</v>
      </c>
      <c r="K446" s="15" t="str">
        <f t="shared" si="3"/>
        <v>Media</v>
      </c>
    </row>
    <row r="447" ht="14.25" customHeight="1">
      <c r="A447" s="6" t="s">
        <v>889</v>
      </c>
      <c r="B447" s="27" t="s">
        <v>2843</v>
      </c>
      <c r="C447" s="10">
        <v>1.0</v>
      </c>
      <c r="D447" s="10">
        <v>1.0</v>
      </c>
      <c r="E447" s="10">
        <v>3.0</v>
      </c>
      <c r="F447" s="10">
        <v>1.0</v>
      </c>
      <c r="G447" s="10">
        <v>1.0</v>
      </c>
      <c r="H447" s="12">
        <f t="shared" si="1"/>
        <v>1.48</v>
      </c>
      <c r="I447" s="13">
        <v>1.0</v>
      </c>
      <c r="J447" s="14">
        <f t="shared" si="2"/>
        <v>1.48</v>
      </c>
      <c r="K447" s="15" t="str">
        <f t="shared" si="3"/>
        <v>Baja</v>
      </c>
    </row>
    <row r="448" ht="14.25" customHeight="1">
      <c r="A448" s="6" t="s">
        <v>889</v>
      </c>
      <c r="B448" s="27" t="s">
        <v>2852</v>
      </c>
      <c r="C448" s="10">
        <v>1.0</v>
      </c>
      <c r="D448" s="10">
        <v>1.0</v>
      </c>
      <c r="E448" s="10">
        <v>2.0</v>
      </c>
      <c r="F448" s="10">
        <v>1.0</v>
      </c>
      <c r="G448" s="10">
        <v>1.0</v>
      </c>
      <c r="H448" s="12">
        <f t="shared" si="1"/>
        <v>1.24</v>
      </c>
      <c r="I448" s="13">
        <v>3.0</v>
      </c>
      <c r="J448" s="14">
        <f t="shared" si="2"/>
        <v>3.72</v>
      </c>
      <c r="K448" s="15" t="str">
        <f t="shared" si="3"/>
        <v>Baja</v>
      </c>
    </row>
    <row r="449" ht="14.25" customHeight="1">
      <c r="A449" s="6" t="s">
        <v>889</v>
      </c>
      <c r="B449" s="27" t="s">
        <v>2861</v>
      </c>
      <c r="C449" s="10">
        <v>1.0</v>
      </c>
      <c r="D449" s="10">
        <v>1.0</v>
      </c>
      <c r="E449" s="10">
        <v>2.0</v>
      </c>
      <c r="F449" s="10">
        <v>1.0</v>
      </c>
      <c r="G449" s="10">
        <v>1.0</v>
      </c>
      <c r="H449" s="12">
        <f t="shared" si="1"/>
        <v>1.24</v>
      </c>
      <c r="I449" s="13">
        <v>2.0</v>
      </c>
      <c r="J449" s="14">
        <f t="shared" si="2"/>
        <v>2.48</v>
      </c>
      <c r="K449" s="15" t="str">
        <f t="shared" si="3"/>
        <v>Baja</v>
      </c>
    </row>
    <row r="450" ht="14.25" customHeight="1">
      <c r="A450" s="6" t="s">
        <v>889</v>
      </c>
      <c r="B450" s="27" t="s">
        <v>2874</v>
      </c>
      <c r="C450" s="10">
        <v>1.0</v>
      </c>
      <c r="D450" s="10">
        <v>1.0</v>
      </c>
      <c r="E450" s="10">
        <v>2.0</v>
      </c>
      <c r="F450" s="10">
        <v>1.0</v>
      </c>
      <c r="G450" s="10">
        <v>1.0</v>
      </c>
      <c r="H450" s="12">
        <f t="shared" si="1"/>
        <v>1.24</v>
      </c>
      <c r="I450" s="13">
        <v>3.0</v>
      </c>
      <c r="J450" s="14">
        <f t="shared" si="2"/>
        <v>3.72</v>
      </c>
      <c r="K450" s="15" t="str">
        <f t="shared" si="3"/>
        <v>Baja</v>
      </c>
    </row>
    <row r="451" ht="14.25" customHeight="1">
      <c r="A451" s="6" t="s">
        <v>899</v>
      </c>
      <c r="B451" s="9" t="s">
        <v>2843</v>
      </c>
      <c r="C451" s="10">
        <v>1.0</v>
      </c>
      <c r="D451" s="10">
        <v>1.0</v>
      </c>
      <c r="E451" s="10">
        <v>3.0</v>
      </c>
      <c r="F451" s="10">
        <v>1.0</v>
      </c>
      <c r="G451" s="10">
        <v>1.0</v>
      </c>
      <c r="H451" s="12">
        <f t="shared" si="1"/>
        <v>1.48</v>
      </c>
      <c r="I451" s="13">
        <v>1.0</v>
      </c>
      <c r="J451" s="14">
        <f t="shared" si="2"/>
        <v>1.48</v>
      </c>
      <c r="K451" s="15" t="str">
        <f t="shared" si="3"/>
        <v>Baja</v>
      </c>
    </row>
    <row r="452" ht="14.25" customHeight="1">
      <c r="A452" s="6" t="s">
        <v>899</v>
      </c>
      <c r="B452" s="9" t="s">
        <v>2861</v>
      </c>
      <c r="C452" s="10">
        <v>1.0</v>
      </c>
      <c r="D452" s="10">
        <v>1.0</v>
      </c>
      <c r="E452" s="10">
        <v>2.0</v>
      </c>
      <c r="F452" s="10">
        <v>1.0</v>
      </c>
      <c r="G452" s="10">
        <v>1.0</v>
      </c>
      <c r="H452" s="12">
        <f t="shared" si="1"/>
        <v>1.24</v>
      </c>
      <c r="I452" s="13">
        <v>2.0</v>
      </c>
      <c r="J452" s="14">
        <f t="shared" si="2"/>
        <v>2.48</v>
      </c>
      <c r="K452" s="15" t="str">
        <f t="shared" si="3"/>
        <v>Baja</v>
      </c>
    </row>
    <row r="453" ht="14.25" customHeight="1">
      <c r="A453" s="6" t="s">
        <v>899</v>
      </c>
      <c r="B453" s="9" t="s">
        <v>2874</v>
      </c>
      <c r="C453" s="10">
        <v>1.0</v>
      </c>
      <c r="D453" s="10">
        <v>1.0</v>
      </c>
      <c r="E453" s="10">
        <v>2.0</v>
      </c>
      <c r="F453" s="10">
        <v>1.0</v>
      </c>
      <c r="G453" s="10">
        <v>1.0</v>
      </c>
      <c r="H453" s="12">
        <f t="shared" si="1"/>
        <v>1.24</v>
      </c>
      <c r="I453" s="13">
        <v>3.0</v>
      </c>
      <c r="J453" s="14">
        <f t="shared" si="2"/>
        <v>3.72</v>
      </c>
      <c r="K453" s="15" t="str">
        <f t="shared" si="3"/>
        <v>Baja</v>
      </c>
    </row>
    <row r="454" ht="14.25" customHeight="1">
      <c r="A454" s="6" t="s">
        <v>907</v>
      </c>
      <c r="B454" s="27" t="s">
        <v>2899</v>
      </c>
      <c r="C454" s="10">
        <v>2.0</v>
      </c>
      <c r="D454" s="10">
        <v>2.0</v>
      </c>
      <c r="E454" s="10">
        <v>3.0</v>
      </c>
      <c r="F454" s="10">
        <v>3.0</v>
      </c>
      <c r="G454" s="10">
        <v>1.0</v>
      </c>
      <c r="H454" s="12">
        <f t="shared" si="1"/>
        <v>2.236</v>
      </c>
      <c r="I454" s="13">
        <v>3.0</v>
      </c>
      <c r="J454" s="14">
        <f t="shared" si="2"/>
        <v>6.708</v>
      </c>
      <c r="K454" s="15" t="str">
        <f t="shared" si="3"/>
        <v>Media</v>
      </c>
    </row>
    <row r="455" ht="14.25" customHeight="1">
      <c r="A455" s="6" t="s">
        <v>907</v>
      </c>
      <c r="B455" s="27" t="s">
        <v>2907</v>
      </c>
      <c r="C455" s="10">
        <v>2.0</v>
      </c>
      <c r="D455" s="10">
        <v>2.0</v>
      </c>
      <c r="E455" s="10">
        <v>3.0</v>
      </c>
      <c r="F455" s="10">
        <v>3.0</v>
      </c>
      <c r="G455" s="10">
        <v>1.0</v>
      </c>
      <c r="H455" s="12">
        <f t="shared" si="1"/>
        <v>2.236</v>
      </c>
      <c r="I455" s="13">
        <v>1.0</v>
      </c>
      <c r="J455" s="14">
        <f t="shared" si="2"/>
        <v>2.236</v>
      </c>
      <c r="K455" s="15" t="str">
        <f t="shared" si="3"/>
        <v>Baja</v>
      </c>
    </row>
    <row r="456" ht="14.25" customHeight="1">
      <c r="A456" s="6" t="s">
        <v>907</v>
      </c>
      <c r="B456" s="27" t="s">
        <v>2913</v>
      </c>
      <c r="C456" s="10">
        <v>1.0</v>
      </c>
      <c r="D456" s="10">
        <v>1.0</v>
      </c>
      <c r="E456" s="10">
        <v>3.0</v>
      </c>
      <c r="F456" s="10">
        <v>3.0</v>
      </c>
      <c r="G456" s="10">
        <v>1.0</v>
      </c>
      <c r="H456" s="12">
        <f t="shared" si="1"/>
        <v>1.672</v>
      </c>
      <c r="I456" s="13">
        <v>1.0</v>
      </c>
      <c r="J456" s="14">
        <f t="shared" si="2"/>
        <v>1.672</v>
      </c>
      <c r="K456" s="15" t="str">
        <f t="shared" si="3"/>
        <v>Baja</v>
      </c>
    </row>
    <row r="457" ht="14.25" customHeight="1">
      <c r="A457" s="6" t="s">
        <v>907</v>
      </c>
      <c r="B457" s="27" t="s">
        <v>2922</v>
      </c>
      <c r="C457" s="10">
        <v>1.0</v>
      </c>
      <c r="D457" s="10">
        <v>1.0</v>
      </c>
      <c r="E457" s="10">
        <v>2.0</v>
      </c>
      <c r="F457" s="10">
        <v>1.0</v>
      </c>
      <c r="G457" s="10">
        <v>1.0</v>
      </c>
      <c r="H457" s="12">
        <f t="shared" si="1"/>
        <v>1.24</v>
      </c>
      <c r="I457" s="13">
        <v>2.0</v>
      </c>
      <c r="J457" s="14">
        <f t="shared" si="2"/>
        <v>2.48</v>
      </c>
      <c r="K457" s="15" t="str">
        <f t="shared" si="3"/>
        <v>Baja</v>
      </c>
    </row>
    <row r="458" ht="14.25" customHeight="1">
      <c r="A458" s="6" t="s">
        <v>907</v>
      </c>
      <c r="B458" s="27" t="s">
        <v>2929</v>
      </c>
      <c r="C458" s="10">
        <v>1.0</v>
      </c>
      <c r="D458" s="10">
        <v>1.0</v>
      </c>
      <c r="E458" s="10">
        <v>2.0</v>
      </c>
      <c r="F458" s="10">
        <v>3.0</v>
      </c>
      <c r="G458" s="10">
        <v>1.0</v>
      </c>
      <c r="H458" s="12">
        <f t="shared" si="1"/>
        <v>1.432</v>
      </c>
      <c r="I458" s="13">
        <v>2.0</v>
      </c>
      <c r="J458" s="14">
        <f t="shared" si="2"/>
        <v>2.864</v>
      </c>
      <c r="K458" s="15" t="str">
        <f t="shared" si="3"/>
        <v>Baja</v>
      </c>
    </row>
    <row r="459" ht="14.25" customHeight="1">
      <c r="A459" s="6" t="s">
        <v>907</v>
      </c>
      <c r="B459" s="27" t="s">
        <v>2936</v>
      </c>
      <c r="C459" s="10">
        <v>1.0</v>
      </c>
      <c r="D459" s="10">
        <v>1.0</v>
      </c>
      <c r="E459" s="10">
        <v>3.0</v>
      </c>
      <c r="F459" s="10">
        <v>3.0</v>
      </c>
      <c r="G459" s="10">
        <v>1.0</v>
      </c>
      <c r="H459" s="12">
        <f t="shared" si="1"/>
        <v>1.672</v>
      </c>
      <c r="I459" s="13">
        <v>2.0</v>
      </c>
      <c r="J459" s="14">
        <f t="shared" si="2"/>
        <v>3.344</v>
      </c>
      <c r="K459" s="15" t="str">
        <f t="shared" si="3"/>
        <v>Baja</v>
      </c>
    </row>
    <row r="460" ht="14.25" customHeight="1">
      <c r="A460" s="6" t="s">
        <v>922</v>
      </c>
      <c r="B460" s="9" t="s">
        <v>2009</v>
      </c>
      <c r="C460" s="10">
        <v>1.0</v>
      </c>
      <c r="D460" s="10">
        <v>2.0</v>
      </c>
      <c r="E460" s="10">
        <v>3.0</v>
      </c>
      <c r="F460" s="10">
        <v>4.0</v>
      </c>
      <c r="G460" s="10">
        <v>1.0</v>
      </c>
      <c r="H460" s="12">
        <f t="shared" si="1"/>
        <v>1.948</v>
      </c>
      <c r="I460" s="13">
        <v>1.0</v>
      </c>
      <c r="J460" s="14">
        <f t="shared" si="2"/>
        <v>1.948</v>
      </c>
      <c r="K460" s="15" t="str">
        <f t="shared" si="3"/>
        <v>Baja</v>
      </c>
    </row>
    <row r="461" ht="14.25" customHeight="1">
      <c r="A461" s="6" t="s">
        <v>922</v>
      </c>
      <c r="B461" s="9" t="s">
        <v>2944</v>
      </c>
      <c r="C461" s="10">
        <v>1.0</v>
      </c>
      <c r="D461" s="10">
        <v>2.0</v>
      </c>
      <c r="E461" s="10">
        <v>3.0</v>
      </c>
      <c r="F461" s="10">
        <v>3.0</v>
      </c>
      <c r="G461" s="10">
        <v>1.0</v>
      </c>
      <c r="H461" s="12">
        <f t="shared" si="1"/>
        <v>1.852</v>
      </c>
      <c r="I461" s="13">
        <v>1.0</v>
      </c>
      <c r="J461" s="14">
        <f t="shared" si="2"/>
        <v>1.852</v>
      </c>
      <c r="K461" s="15" t="str">
        <f t="shared" si="3"/>
        <v>Baja</v>
      </c>
    </row>
    <row r="462" ht="14.25" customHeight="1">
      <c r="A462" s="6" t="s">
        <v>922</v>
      </c>
      <c r="B462" s="9" t="s">
        <v>2953</v>
      </c>
      <c r="C462" s="10">
        <v>1.0</v>
      </c>
      <c r="D462" s="10">
        <v>2.0</v>
      </c>
      <c r="E462" s="10">
        <v>2.0</v>
      </c>
      <c r="F462" s="10">
        <v>1.0</v>
      </c>
      <c r="G462" s="10">
        <v>1.0</v>
      </c>
      <c r="H462" s="12">
        <f t="shared" si="1"/>
        <v>1.42</v>
      </c>
      <c r="I462" s="13">
        <v>2.0</v>
      </c>
      <c r="J462" s="14">
        <f t="shared" si="2"/>
        <v>2.84</v>
      </c>
      <c r="K462" s="15" t="str">
        <f t="shared" si="3"/>
        <v>Baja</v>
      </c>
    </row>
    <row r="463" ht="14.25" customHeight="1">
      <c r="A463" s="6" t="s">
        <v>922</v>
      </c>
      <c r="B463" s="9" t="s">
        <v>623</v>
      </c>
      <c r="C463" s="10">
        <v>1.0</v>
      </c>
      <c r="D463" s="10">
        <v>1.0</v>
      </c>
      <c r="E463" s="10">
        <v>3.0</v>
      </c>
      <c r="F463" s="10">
        <v>4.0</v>
      </c>
      <c r="G463" s="10">
        <v>1.0</v>
      </c>
      <c r="H463" s="12">
        <f t="shared" si="1"/>
        <v>1.768</v>
      </c>
      <c r="I463" s="13">
        <v>2.0</v>
      </c>
      <c r="J463" s="14">
        <f t="shared" si="2"/>
        <v>3.536</v>
      </c>
      <c r="K463" s="15" t="str">
        <f t="shared" si="3"/>
        <v>Baja</v>
      </c>
    </row>
    <row r="464" ht="14.25" customHeight="1">
      <c r="A464" s="6" t="s">
        <v>934</v>
      </c>
      <c r="B464" s="27" t="s">
        <v>1339</v>
      </c>
      <c r="C464" s="10">
        <v>1.0</v>
      </c>
      <c r="D464" s="10">
        <v>1.0</v>
      </c>
      <c r="E464" s="10">
        <v>3.0</v>
      </c>
      <c r="F464" s="10">
        <v>2.0</v>
      </c>
      <c r="G464" s="10">
        <v>1.0</v>
      </c>
      <c r="H464" s="12">
        <f t="shared" si="1"/>
        <v>1.576</v>
      </c>
      <c r="I464" s="13">
        <v>3.0</v>
      </c>
      <c r="J464" s="14">
        <f t="shared" si="2"/>
        <v>4.728</v>
      </c>
      <c r="K464" s="15" t="str">
        <f t="shared" si="3"/>
        <v>Media</v>
      </c>
    </row>
    <row r="465" ht="14.25" customHeight="1">
      <c r="A465" s="6" t="s">
        <v>934</v>
      </c>
      <c r="B465" s="27" t="s">
        <v>1786</v>
      </c>
      <c r="C465" s="10">
        <v>1.0</v>
      </c>
      <c r="D465" s="10">
        <v>1.0</v>
      </c>
      <c r="E465" s="10">
        <v>2.0</v>
      </c>
      <c r="F465" s="10">
        <v>1.0</v>
      </c>
      <c r="G465" s="10">
        <v>1.0</v>
      </c>
      <c r="H465" s="12">
        <f t="shared" si="1"/>
        <v>1.24</v>
      </c>
      <c r="I465" s="13">
        <v>3.0</v>
      </c>
      <c r="J465" s="14">
        <f t="shared" si="2"/>
        <v>3.72</v>
      </c>
      <c r="K465" s="15" t="str">
        <f t="shared" si="3"/>
        <v>Baja</v>
      </c>
    </row>
    <row r="466" ht="14.25" customHeight="1">
      <c r="A466" s="6" t="s">
        <v>934</v>
      </c>
      <c r="B466" s="27" t="s">
        <v>1350</v>
      </c>
      <c r="C466" s="10">
        <v>1.0</v>
      </c>
      <c r="D466" s="10">
        <v>1.0</v>
      </c>
      <c r="E466" s="10">
        <v>2.0</v>
      </c>
      <c r="F466" s="10">
        <v>1.0</v>
      </c>
      <c r="G466" s="10">
        <v>1.0</v>
      </c>
      <c r="H466" s="12">
        <f t="shared" si="1"/>
        <v>1.24</v>
      </c>
      <c r="I466" s="13">
        <v>3.0</v>
      </c>
      <c r="J466" s="14">
        <f t="shared" si="2"/>
        <v>3.72</v>
      </c>
      <c r="K466" s="15" t="str">
        <f t="shared" si="3"/>
        <v>Baja</v>
      </c>
    </row>
    <row r="467" ht="14.25" customHeight="1">
      <c r="A467" s="6" t="s">
        <v>934</v>
      </c>
      <c r="B467" s="27" t="s">
        <v>1794</v>
      </c>
      <c r="C467" s="10">
        <v>1.0</v>
      </c>
      <c r="D467" s="10">
        <v>1.0</v>
      </c>
      <c r="E467" s="10">
        <v>3.0</v>
      </c>
      <c r="F467" s="10">
        <v>3.0</v>
      </c>
      <c r="G467" s="10">
        <v>1.0</v>
      </c>
      <c r="H467" s="12">
        <f t="shared" si="1"/>
        <v>1.672</v>
      </c>
      <c r="I467" s="13">
        <v>2.0</v>
      </c>
      <c r="J467" s="14">
        <f t="shared" si="2"/>
        <v>3.344</v>
      </c>
      <c r="K467" s="15" t="str">
        <f t="shared" si="3"/>
        <v>Baja</v>
      </c>
    </row>
    <row r="468" ht="14.25" customHeight="1">
      <c r="A468" s="6" t="s">
        <v>934</v>
      </c>
      <c r="B468" s="27" t="s">
        <v>2376</v>
      </c>
      <c r="C468" s="10">
        <v>1.0</v>
      </c>
      <c r="D468" s="10">
        <v>1.0</v>
      </c>
      <c r="E468" s="10">
        <v>2.0</v>
      </c>
      <c r="F468" s="10">
        <v>1.0</v>
      </c>
      <c r="G468" s="10">
        <v>1.0</v>
      </c>
      <c r="H468" s="12">
        <f t="shared" si="1"/>
        <v>1.24</v>
      </c>
      <c r="I468" s="13">
        <v>3.0</v>
      </c>
      <c r="J468" s="14">
        <f t="shared" si="2"/>
        <v>3.72</v>
      </c>
      <c r="K468" s="15" t="str">
        <f t="shared" si="3"/>
        <v>Baja</v>
      </c>
    </row>
    <row r="469" ht="14.25" customHeight="1">
      <c r="A469" s="6" t="s">
        <v>947</v>
      </c>
      <c r="B469" s="9" t="s">
        <v>1770</v>
      </c>
      <c r="C469" s="10">
        <v>1.0</v>
      </c>
      <c r="D469" s="10">
        <v>1.0</v>
      </c>
      <c r="E469" s="10">
        <v>3.0</v>
      </c>
      <c r="F469" s="10">
        <v>2.0</v>
      </c>
      <c r="G469" s="10">
        <v>1.0</v>
      </c>
      <c r="H469" s="12">
        <f t="shared" si="1"/>
        <v>1.576</v>
      </c>
      <c r="I469" s="13">
        <v>1.0</v>
      </c>
      <c r="J469" s="14">
        <f t="shared" si="2"/>
        <v>1.576</v>
      </c>
      <c r="K469" s="15" t="str">
        <f t="shared" si="3"/>
        <v>Baja</v>
      </c>
    </row>
    <row r="470" ht="14.25" customHeight="1">
      <c r="A470" s="6" t="s">
        <v>947</v>
      </c>
      <c r="B470" s="9" t="s">
        <v>1775</v>
      </c>
      <c r="C470" s="10">
        <v>1.0</v>
      </c>
      <c r="D470" s="10">
        <v>1.0</v>
      </c>
      <c r="E470" s="10">
        <v>3.0</v>
      </c>
      <c r="F470" s="10">
        <v>2.0</v>
      </c>
      <c r="G470" s="10">
        <v>1.0</v>
      </c>
      <c r="H470" s="12">
        <f t="shared" si="1"/>
        <v>1.576</v>
      </c>
      <c r="I470" s="13">
        <v>2.0</v>
      </c>
      <c r="J470" s="14">
        <f t="shared" si="2"/>
        <v>3.152</v>
      </c>
      <c r="K470" s="15" t="str">
        <f t="shared" si="3"/>
        <v>Baja</v>
      </c>
    </row>
    <row r="471" ht="14.25" customHeight="1">
      <c r="A471" s="6" t="s">
        <v>947</v>
      </c>
      <c r="B471" s="9" t="s">
        <v>1779</v>
      </c>
      <c r="C471" s="10">
        <v>1.0</v>
      </c>
      <c r="D471" s="10">
        <v>1.0</v>
      </c>
      <c r="E471" s="10">
        <v>3.0</v>
      </c>
      <c r="F471" s="10">
        <v>2.0</v>
      </c>
      <c r="G471" s="10">
        <v>1.0</v>
      </c>
      <c r="H471" s="12">
        <f t="shared" si="1"/>
        <v>1.576</v>
      </c>
      <c r="I471" s="13">
        <v>1.0</v>
      </c>
      <c r="J471" s="14">
        <f t="shared" si="2"/>
        <v>1.576</v>
      </c>
      <c r="K471" s="15" t="str">
        <f t="shared" si="3"/>
        <v>Baja</v>
      </c>
    </row>
    <row r="472" ht="14.25" customHeight="1">
      <c r="A472" s="6" t="s">
        <v>957</v>
      </c>
      <c r="B472" s="27" t="s">
        <v>1609</v>
      </c>
      <c r="C472" s="10">
        <v>3.0</v>
      </c>
      <c r="D472" s="10">
        <v>3.0</v>
      </c>
      <c r="E472" s="10">
        <v>3.0</v>
      </c>
      <c r="F472" s="10">
        <v>3.0</v>
      </c>
      <c r="G472" s="10">
        <v>2.0</v>
      </c>
      <c r="H472" s="12">
        <f t="shared" si="1"/>
        <v>2.9</v>
      </c>
      <c r="I472" s="13">
        <v>1.0</v>
      </c>
      <c r="J472" s="14">
        <f t="shared" si="2"/>
        <v>2.9</v>
      </c>
      <c r="K472" s="15" t="str">
        <f t="shared" si="3"/>
        <v>Baja</v>
      </c>
    </row>
    <row r="473" ht="14.25" customHeight="1">
      <c r="A473" s="6" t="s">
        <v>957</v>
      </c>
      <c r="B473" s="27" t="s">
        <v>1615</v>
      </c>
      <c r="C473" s="10">
        <v>3.0</v>
      </c>
      <c r="D473" s="10">
        <v>3.0</v>
      </c>
      <c r="E473" s="10">
        <v>3.0</v>
      </c>
      <c r="F473" s="10">
        <v>2.0</v>
      </c>
      <c r="G473" s="10">
        <v>2.0</v>
      </c>
      <c r="H473" s="12">
        <f t="shared" si="1"/>
        <v>2.804</v>
      </c>
      <c r="I473" s="13">
        <v>1.0</v>
      </c>
      <c r="J473" s="14">
        <f t="shared" si="2"/>
        <v>2.804</v>
      </c>
      <c r="K473" s="15" t="str">
        <f t="shared" si="3"/>
        <v>Baja</v>
      </c>
    </row>
    <row r="474" ht="14.25" customHeight="1">
      <c r="A474" s="6" t="s">
        <v>957</v>
      </c>
      <c r="B474" s="27" t="s">
        <v>1622</v>
      </c>
      <c r="C474" s="10">
        <v>2.0</v>
      </c>
      <c r="D474" s="10">
        <v>2.0</v>
      </c>
      <c r="E474" s="10">
        <v>3.0</v>
      </c>
      <c r="F474" s="10">
        <v>3.0</v>
      </c>
      <c r="G474" s="10">
        <v>1.0</v>
      </c>
      <c r="H474" s="12">
        <f t="shared" si="1"/>
        <v>2.236</v>
      </c>
      <c r="I474" s="13">
        <v>1.0</v>
      </c>
      <c r="J474" s="14">
        <f t="shared" si="2"/>
        <v>2.236</v>
      </c>
      <c r="K474" s="15" t="str">
        <f t="shared" si="3"/>
        <v>Baja</v>
      </c>
    </row>
    <row r="475" ht="14.25" customHeight="1">
      <c r="A475" s="6" t="s">
        <v>957</v>
      </c>
      <c r="B475" s="27" t="s">
        <v>1625</v>
      </c>
      <c r="C475" s="10">
        <v>2.0</v>
      </c>
      <c r="D475" s="10">
        <v>2.0</v>
      </c>
      <c r="E475" s="10">
        <v>3.0</v>
      </c>
      <c r="F475" s="10">
        <v>2.0</v>
      </c>
      <c r="G475" s="10">
        <v>1.0</v>
      </c>
      <c r="H475" s="12">
        <f t="shared" si="1"/>
        <v>2.14</v>
      </c>
      <c r="I475" s="13">
        <v>2.0</v>
      </c>
      <c r="J475" s="14">
        <f t="shared" si="2"/>
        <v>4.28</v>
      </c>
      <c r="K475" s="15" t="str">
        <f t="shared" si="3"/>
        <v>Media</v>
      </c>
    </row>
    <row r="476" ht="14.25" customHeight="1">
      <c r="A476" s="6" t="s">
        <v>968</v>
      </c>
      <c r="B476" s="9" t="s">
        <v>1127</v>
      </c>
      <c r="C476" s="10">
        <v>3.0</v>
      </c>
      <c r="D476" s="10">
        <v>3.0</v>
      </c>
      <c r="E476" s="10">
        <v>3.0</v>
      </c>
      <c r="F476" s="10">
        <v>3.0</v>
      </c>
      <c r="G476" s="10">
        <v>2.0</v>
      </c>
      <c r="H476" s="12">
        <f t="shared" si="1"/>
        <v>2.9</v>
      </c>
      <c r="I476" s="13">
        <v>1.0</v>
      </c>
      <c r="J476" s="14">
        <f t="shared" si="2"/>
        <v>2.9</v>
      </c>
      <c r="K476" s="15" t="str">
        <f t="shared" si="3"/>
        <v>Baja</v>
      </c>
    </row>
    <row r="477" ht="14.25" customHeight="1">
      <c r="A477" s="6" t="s">
        <v>968</v>
      </c>
      <c r="B477" s="9" t="s">
        <v>1134</v>
      </c>
      <c r="C477" s="10">
        <v>2.0</v>
      </c>
      <c r="D477" s="10">
        <v>2.0</v>
      </c>
      <c r="E477" s="10">
        <v>3.0</v>
      </c>
      <c r="F477" s="10">
        <v>3.0</v>
      </c>
      <c r="G477" s="10">
        <v>1.0</v>
      </c>
      <c r="H477" s="12">
        <f t="shared" si="1"/>
        <v>2.236</v>
      </c>
      <c r="I477" s="13">
        <v>3.0</v>
      </c>
      <c r="J477" s="14">
        <f t="shared" si="2"/>
        <v>6.708</v>
      </c>
      <c r="K477" s="15" t="str">
        <f t="shared" si="3"/>
        <v>Media</v>
      </c>
    </row>
    <row r="478" ht="14.25" customHeight="1">
      <c r="A478" s="6" t="s">
        <v>968</v>
      </c>
      <c r="B478" s="9" t="s">
        <v>1141</v>
      </c>
      <c r="C478" s="10">
        <v>2.0</v>
      </c>
      <c r="D478" s="10">
        <v>2.0</v>
      </c>
      <c r="E478" s="10">
        <v>2.0</v>
      </c>
      <c r="F478" s="10">
        <v>1.0</v>
      </c>
      <c r="G478" s="10">
        <v>1.0</v>
      </c>
      <c r="H478" s="12">
        <f t="shared" si="1"/>
        <v>1.804</v>
      </c>
      <c r="I478" s="13">
        <v>3.0</v>
      </c>
      <c r="J478" s="14">
        <f t="shared" si="2"/>
        <v>5.412</v>
      </c>
      <c r="K478" s="15" t="str">
        <f t="shared" si="3"/>
        <v>Media</v>
      </c>
    </row>
    <row r="479" ht="14.25" customHeight="1">
      <c r="A479" s="6" t="s">
        <v>968</v>
      </c>
      <c r="B479" s="9" t="s">
        <v>1147</v>
      </c>
      <c r="C479" s="10">
        <v>2.0</v>
      </c>
      <c r="D479" s="10">
        <v>2.0</v>
      </c>
      <c r="E479" s="10">
        <v>3.0</v>
      </c>
      <c r="F479" s="10">
        <v>3.0</v>
      </c>
      <c r="G479" s="10">
        <v>1.0</v>
      </c>
      <c r="H479" s="12">
        <f t="shared" si="1"/>
        <v>2.236</v>
      </c>
      <c r="I479" s="13">
        <v>3.0</v>
      </c>
      <c r="J479" s="14">
        <f t="shared" si="2"/>
        <v>6.708</v>
      </c>
      <c r="K479" s="15" t="str">
        <f t="shared" si="3"/>
        <v>Media</v>
      </c>
    </row>
    <row r="480" ht="14.25" customHeight="1">
      <c r="A480" s="6" t="s">
        <v>973</v>
      </c>
      <c r="B480" s="27" t="s">
        <v>1644</v>
      </c>
      <c r="C480" s="10">
        <v>3.0</v>
      </c>
      <c r="D480" s="10">
        <v>3.0</v>
      </c>
      <c r="E480" s="10">
        <v>3.0</v>
      </c>
      <c r="F480" s="10">
        <v>2.0</v>
      </c>
      <c r="G480" s="10">
        <v>2.0</v>
      </c>
      <c r="H480" s="12">
        <f t="shared" si="1"/>
        <v>2.804</v>
      </c>
      <c r="I480" s="13">
        <v>1.0</v>
      </c>
      <c r="J480" s="14">
        <f t="shared" si="2"/>
        <v>2.804</v>
      </c>
      <c r="K480" s="15" t="str">
        <f t="shared" si="3"/>
        <v>Baja</v>
      </c>
    </row>
    <row r="481" ht="14.25" customHeight="1">
      <c r="A481" s="6" t="s">
        <v>973</v>
      </c>
      <c r="B481" s="27" t="s">
        <v>1650</v>
      </c>
      <c r="C481" s="10">
        <v>2.0</v>
      </c>
      <c r="D481" s="10">
        <v>2.0</v>
      </c>
      <c r="E481" s="10">
        <v>3.0</v>
      </c>
      <c r="F481" s="10">
        <v>2.0</v>
      </c>
      <c r="G481" s="10">
        <v>1.0</v>
      </c>
      <c r="H481" s="12">
        <f t="shared" si="1"/>
        <v>2.14</v>
      </c>
      <c r="I481" s="13">
        <v>1.0</v>
      </c>
      <c r="J481" s="14">
        <f t="shared" si="2"/>
        <v>2.14</v>
      </c>
      <c r="K481" s="15" t="str">
        <f t="shared" si="3"/>
        <v>Baja</v>
      </c>
    </row>
    <row r="482" ht="14.25" customHeight="1">
      <c r="A482" s="6" t="s">
        <v>973</v>
      </c>
      <c r="B482" s="27" t="s">
        <v>1655</v>
      </c>
      <c r="C482" s="10">
        <v>2.0</v>
      </c>
      <c r="D482" s="10">
        <v>2.0</v>
      </c>
      <c r="E482" s="10">
        <v>3.0</v>
      </c>
      <c r="F482" s="10">
        <v>3.0</v>
      </c>
      <c r="G482" s="10">
        <v>1.0</v>
      </c>
      <c r="H482" s="12">
        <f t="shared" si="1"/>
        <v>2.236</v>
      </c>
      <c r="I482" s="13">
        <v>1.0</v>
      </c>
      <c r="J482" s="14">
        <f t="shared" si="2"/>
        <v>2.236</v>
      </c>
      <c r="K482" s="15" t="str">
        <f t="shared" si="3"/>
        <v>Baja</v>
      </c>
    </row>
    <row r="483" ht="14.25" customHeight="1">
      <c r="A483" s="6" t="s">
        <v>977</v>
      </c>
      <c r="B483" s="9" t="s">
        <v>1127</v>
      </c>
      <c r="C483" s="10">
        <v>3.0</v>
      </c>
      <c r="D483" s="10">
        <v>3.0</v>
      </c>
      <c r="E483" s="10">
        <v>3.0</v>
      </c>
      <c r="F483" s="10">
        <v>3.0</v>
      </c>
      <c r="G483" s="10">
        <v>2.0</v>
      </c>
      <c r="H483" s="12">
        <f t="shared" si="1"/>
        <v>2.9</v>
      </c>
      <c r="I483" s="13">
        <v>1.0</v>
      </c>
      <c r="J483" s="14">
        <f t="shared" si="2"/>
        <v>2.9</v>
      </c>
      <c r="K483" s="15" t="str">
        <f t="shared" si="3"/>
        <v>Baja</v>
      </c>
    </row>
    <row r="484" ht="14.25" customHeight="1">
      <c r="A484" s="6" t="s">
        <v>977</v>
      </c>
      <c r="B484" s="9" t="s">
        <v>3154</v>
      </c>
      <c r="C484" s="10">
        <v>2.0</v>
      </c>
      <c r="D484" s="10">
        <v>2.0</v>
      </c>
      <c r="E484" s="10">
        <v>3.0</v>
      </c>
      <c r="F484" s="10">
        <v>3.0</v>
      </c>
      <c r="G484" s="10">
        <v>1.0</v>
      </c>
      <c r="H484" s="12">
        <f t="shared" si="1"/>
        <v>2.236</v>
      </c>
      <c r="I484" s="13">
        <v>3.0</v>
      </c>
      <c r="J484" s="14">
        <f t="shared" si="2"/>
        <v>6.708</v>
      </c>
      <c r="K484" s="15" t="str">
        <f t="shared" si="3"/>
        <v>Media</v>
      </c>
    </row>
    <row r="485" ht="14.25" customHeight="1">
      <c r="A485" s="6" t="s">
        <v>977</v>
      </c>
      <c r="B485" s="9" t="s">
        <v>1141</v>
      </c>
      <c r="C485" s="10">
        <v>2.0</v>
      </c>
      <c r="D485" s="10">
        <v>2.0</v>
      </c>
      <c r="E485" s="10">
        <v>2.0</v>
      </c>
      <c r="F485" s="10">
        <v>1.0</v>
      </c>
      <c r="G485" s="10">
        <v>1.0</v>
      </c>
      <c r="H485" s="12">
        <f t="shared" si="1"/>
        <v>1.804</v>
      </c>
      <c r="I485" s="13">
        <v>3.0</v>
      </c>
      <c r="J485" s="14">
        <f t="shared" si="2"/>
        <v>5.412</v>
      </c>
      <c r="K485" s="15" t="str">
        <f t="shared" si="3"/>
        <v>Media</v>
      </c>
    </row>
    <row r="486" ht="14.25" customHeight="1">
      <c r="A486" s="6" t="s">
        <v>985</v>
      </c>
      <c r="B486" s="27" t="s">
        <v>2410</v>
      </c>
      <c r="C486" s="10">
        <v>3.0</v>
      </c>
      <c r="D486" s="10">
        <v>3.0</v>
      </c>
      <c r="E486" s="10">
        <v>3.0</v>
      </c>
      <c r="F486" s="10">
        <v>3.0</v>
      </c>
      <c r="G486" s="10">
        <v>2.0</v>
      </c>
      <c r="H486" s="12">
        <f t="shared" si="1"/>
        <v>2.9</v>
      </c>
      <c r="I486" s="13">
        <v>2.0</v>
      </c>
      <c r="J486" s="14">
        <f t="shared" si="2"/>
        <v>5.8</v>
      </c>
      <c r="K486" s="15" t="str">
        <f t="shared" si="3"/>
        <v>Media</v>
      </c>
    </row>
    <row r="487" ht="14.25" customHeight="1">
      <c r="A487" s="6" t="s">
        <v>985</v>
      </c>
      <c r="B487" s="27" t="s">
        <v>2413</v>
      </c>
      <c r="C487" s="10">
        <v>2.0</v>
      </c>
      <c r="D487" s="10">
        <v>2.0</v>
      </c>
      <c r="E487" s="10">
        <v>3.0</v>
      </c>
      <c r="F487" s="10">
        <v>1.0</v>
      </c>
      <c r="G487" s="10">
        <v>1.0</v>
      </c>
      <c r="H487" s="12">
        <f t="shared" si="1"/>
        <v>2.044</v>
      </c>
      <c r="I487" s="13">
        <v>2.0</v>
      </c>
      <c r="J487" s="14">
        <f t="shared" si="2"/>
        <v>4.088</v>
      </c>
      <c r="K487" s="15" t="str">
        <f t="shared" si="3"/>
        <v>Media</v>
      </c>
    </row>
    <row r="488" ht="14.25" customHeight="1">
      <c r="A488" s="6" t="s">
        <v>985</v>
      </c>
      <c r="B488" s="27" t="s">
        <v>2415</v>
      </c>
      <c r="C488" s="10">
        <v>2.0</v>
      </c>
      <c r="D488" s="10">
        <v>2.0</v>
      </c>
      <c r="E488" s="10">
        <v>3.0</v>
      </c>
      <c r="F488" s="10">
        <v>3.0</v>
      </c>
      <c r="G488" s="10">
        <v>1.0</v>
      </c>
      <c r="H488" s="12">
        <f t="shared" si="1"/>
        <v>2.236</v>
      </c>
      <c r="I488" s="13">
        <v>3.0</v>
      </c>
      <c r="J488" s="14">
        <f t="shared" si="2"/>
        <v>6.708</v>
      </c>
      <c r="K488" s="15" t="str">
        <f t="shared" si="3"/>
        <v>Media</v>
      </c>
    </row>
    <row r="489" ht="14.25" customHeight="1">
      <c r="A489" s="6" t="s">
        <v>995</v>
      </c>
      <c r="B489" s="9" t="s">
        <v>2243</v>
      </c>
      <c r="C489" s="10">
        <v>4.0</v>
      </c>
      <c r="D489" s="10">
        <v>1.0</v>
      </c>
      <c r="E489" s="10">
        <v>3.0</v>
      </c>
      <c r="F489" s="10">
        <v>1.0</v>
      </c>
      <c r="G489" s="10">
        <v>1.0</v>
      </c>
      <c r="H489" s="12">
        <f t="shared" si="1"/>
        <v>2.632</v>
      </c>
      <c r="I489" s="13">
        <v>1.0</v>
      </c>
      <c r="J489" s="14">
        <f t="shared" si="2"/>
        <v>2.632</v>
      </c>
      <c r="K489" s="15" t="str">
        <f t="shared" si="3"/>
        <v>Baja</v>
      </c>
    </row>
    <row r="490" ht="14.25" customHeight="1">
      <c r="A490" s="6" t="s">
        <v>995</v>
      </c>
      <c r="B490" s="9" t="s">
        <v>2249</v>
      </c>
      <c r="C490" s="10">
        <v>4.0</v>
      </c>
      <c r="D490" s="10">
        <v>1.0</v>
      </c>
      <c r="E490" s="10">
        <v>2.0</v>
      </c>
      <c r="F490" s="10">
        <v>2.0</v>
      </c>
      <c r="G490" s="10">
        <v>1.0</v>
      </c>
      <c r="H490" s="12">
        <f t="shared" si="1"/>
        <v>2.488</v>
      </c>
      <c r="I490" s="13">
        <v>3.0</v>
      </c>
      <c r="J490" s="14">
        <f t="shared" si="2"/>
        <v>7.464</v>
      </c>
      <c r="K490" s="15" t="str">
        <f t="shared" si="3"/>
        <v>Media</v>
      </c>
    </row>
    <row r="491" ht="14.25" customHeight="1">
      <c r="A491" s="6" t="s">
        <v>995</v>
      </c>
      <c r="B491" s="9" t="s">
        <v>2258</v>
      </c>
      <c r="C491" s="10">
        <v>3.0</v>
      </c>
      <c r="D491" s="10">
        <v>1.0</v>
      </c>
      <c r="E491" s="10">
        <v>3.0</v>
      </c>
      <c r="F491" s="10">
        <v>2.0</v>
      </c>
      <c r="G491" s="10">
        <v>1.0</v>
      </c>
      <c r="H491" s="12">
        <f t="shared" si="1"/>
        <v>2.344</v>
      </c>
      <c r="I491" s="13">
        <v>2.0</v>
      </c>
      <c r="J491" s="14">
        <f t="shared" si="2"/>
        <v>4.688</v>
      </c>
      <c r="K491" s="15" t="str">
        <f t="shared" si="3"/>
        <v>Media</v>
      </c>
    </row>
    <row r="492" ht="14.25" customHeight="1">
      <c r="A492" s="6" t="s">
        <v>1007</v>
      </c>
      <c r="B492" s="27" t="s">
        <v>3185</v>
      </c>
      <c r="C492" s="10">
        <v>3.0</v>
      </c>
      <c r="D492" s="10">
        <v>2.0</v>
      </c>
      <c r="E492" s="10">
        <v>3.0</v>
      </c>
      <c r="F492" s="10">
        <v>2.0</v>
      </c>
      <c r="G492" s="10">
        <v>1.0</v>
      </c>
      <c r="H492" s="12">
        <f t="shared" si="1"/>
        <v>2.524</v>
      </c>
      <c r="I492" s="13">
        <v>3.0</v>
      </c>
      <c r="J492" s="14">
        <f t="shared" si="2"/>
        <v>7.572</v>
      </c>
      <c r="K492" s="15" t="str">
        <f t="shared" si="3"/>
        <v>Media</v>
      </c>
    </row>
    <row r="493" ht="14.25" customHeight="1">
      <c r="A493" s="6" t="s">
        <v>1007</v>
      </c>
      <c r="B493" s="27" t="s">
        <v>3190</v>
      </c>
      <c r="C493" s="10">
        <v>3.0</v>
      </c>
      <c r="D493" s="10">
        <v>2.0</v>
      </c>
      <c r="E493" s="10">
        <v>2.0</v>
      </c>
      <c r="F493" s="10">
        <v>1.0</v>
      </c>
      <c r="G493" s="10">
        <v>1.0</v>
      </c>
      <c r="H493" s="12">
        <f t="shared" si="1"/>
        <v>2.188</v>
      </c>
      <c r="I493" s="13">
        <v>2.0</v>
      </c>
      <c r="J493" s="14">
        <f t="shared" si="2"/>
        <v>4.376</v>
      </c>
      <c r="K493" s="15" t="str">
        <f t="shared" si="3"/>
        <v>Media</v>
      </c>
    </row>
    <row r="494" ht="14.25" customHeight="1">
      <c r="A494" s="6" t="s">
        <v>1007</v>
      </c>
      <c r="B494" s="27" t="s">
        <v>3196</v>
      </c>
      <c r="C494" s="10">
        <v>3.0</v>
      </c>
      <c r="D494" s="10">
        <v>2.0</v>
      </c>
      <c r="E494" s="10">
        <v>3.0</v>
      </c>
      <c r="F494" s="10">
        <v>2.0</v>
      </c>
      <c r="G494" s="10">
        <v>1.0</v>
      </c>
      <c r="H494" s="12">
        <f t="shared" si="1"/>
        <v>2.524</v>
      </c>
      <c r="I494" s="13">
        <v>2.0</v>
      </c>
      <c r="J494" s="14">
        <f t="shared" si="2"/>
        <v>5.048</v>
      </c>
      <c r="K494" s="15" t="str">
        <f t="shared" si="3"/>
        <v>Media</v>
      </c>
    </row>
    <row r="495" ht="14.25" customHeight="1">
      <c r="A495" s="6" t="s">
        <v>1007</v>
      </c>
      <c r="B495" s="27" t="s">
        <v>3201</v>
      </c>
      <c r="C495" s="10">
        <v>2.0</v>
      </c>
      <c r="D495" s="10">
        <v>1.0</v>
      </c>
      <c r="E495" s="10">
        <v>2.0</v>
      </c>
      <c r="F495" s="10">
        <v>1.0</v>
      </c>
      <c r="G495" s="10">
        <v>1.0</v>
      </c>
      <c r="H495" s="12">
        <f t="shared" si="1"/>
        <v>1.624</v>
      </c>
      <c r="I495" s="13">
        <v>1.0</v>
      </c>
      <c r="J495" s="14">
        <f t="shared" si="2"/>
        <v>1.624</v>
      </c>
      <c r="K495" s="15" t="str">
        <f t="shared" si="3"/>
        <v>Baja</v>
      </c>
    </row>
    <row r="496" ht="14.25" customHeight="1">
      <c r="A496" s="6" t="s">
        <v>1021</v>
      </c>
      <c r="B496" s="9" t="s">
        <v>3210</v>
      </c>
      <c r="C496" s="10">
        <v>2.0</v>
      </c>
      <c r="D496" s="10">
        <v>1.0</v>
      </c>
      <c r="E496" s="10">
        <v>3.0</v>
      </c>
      <c r="F496" s="10">
        <v>2.0</v>
      </c>
      <c r="G496" s="10">
        <v>1.0</v>
      </c>
      <c r="H496" s="12">
        <f t="shared" si="1"/>
        <v>1.96</v>
      </c>
      <c r="I496" s="13">
        <v>1.0</v>
      </c>
      <c r="J496" s="14">
        <f t="shared" si="2"/>
        <v>1.96</v>
      </c>
      <c r="K496" s="15" t="str">
        <f t="shared" si="3"/>
        <v>Baja</v>
      </c>
    </row>
    <row r="497" ht="14.25" customHeight="1">
      <c r="A497" s="6" t="s">
        <v>1021</v>
      </c>
      <c r="B497" s="9" t="s">
        <v>3217</v>
      </c>
      <c r="C497" s="10">
        <v>1.0</v>
      </c>
      <c r="D497" s="10">
        <v>1.0</v>
      </c>
      <c r="E497" s="10">
        <v>3.0</v>
      </c>
      <c r="F497" s="10">
        <v>2.0</v>
      </c>
      <c r="G497" s="10">
        <v>1.0</v>
      </c>
      <c r="H497" s="12">
        <f t="shared" si="1"/>
        <v>1.576</v>
      </c>
      <c r="I497" s="13">
        <v>1.0</v>
      </c>
      <c r="J497" s="14">
        <f t="shared" si="2"/>
        <v>1.576</v>
      </c>
      <c r="K497" s="15" t="str">
        <f t="shared" si="3"/>
        <v>Baja</v>
      </c>
    </row>
    <row r="498" ht="14.25" customHeight="1">
      <c r="A498" s="6" t="s">
        <v>1021</v>
      </c>
      <c r="B498" s="9" t="s">
        <v>3225</v>
      </c>
      <c r="C498" s="10">
        <v>1.0</v>
      </c>
      <c r="D498" s="10">
        <v>1.0</v>
      </c>
      <c r="E498" s="10">
        <v>3.0</v>
      </c>
      <c r="F498" s="10">
        <v>2.0</v>
      </c>
      <c r="G498" s="10">
        <v>1.0</v>
      </c>
      <c r="H498" s="12">
        <f t="shared" si="1"/>
        <v>1.576</v>
      </c>
      <c r="I498" s="13">
        <v>3.0</v>
      </c>
      <c r="J498" s="14">
        <f t="shared" si="2"/>
        <v>4.728</v>
      </c>
      <c r="K498" s="15" t="str">
        <f t="shared" si="3"/>
        <v>Media</v>
      </c>
    </row>
    <row r="499" ht="14.25" customHeight="1">
      <c r="A499" s="6" t="s">
        <v>1030</v>
      </c>
      <c r="B499" s="27" t="s">
        <v>1813</v>
      </c>
      <c r="C499" s="10">
        <v>3.0</v>
      </c>
      <c r="D499" s="10">
        <v>2.0</v>
      </c>
      <c r="E499" s="10">
        <v>3.0</v>
      </c>
      <c r="F499" s="10">
        <v>2.0</v>
      </c>
      <c r="G499" s="10">
        <v>1.0</v>
      </c>
      <c r="H499" s="12">
        <f t="shared" si="1"/>
        <v>2.524</v>
      </c>
      <c r="I499" s="13">
        <v>1.0</v>
      </c>
      <c r="J499" s="14">
        <f t="shared" si="2"/>
        <v>2.524</v>
      </c>
      <c r="K499" s="15" t="str">
        <f t="shared" si="3"/>
        <v>Baja</v>
      </c>
    </row>
    <row r="500" ht="14.25" customHeight="1">
      <c r="A500" s="6" t="s">
        <v>1030</v>
      </c>
      <c r="B500" s="27" t="s">
        <v>2009</v>
      </c>
      <c r="C500" s="10">
        <v>3.0</v>
      </c>
      <c r="D500" s="10">
        <v>2.0</v>
      </c>
      <c r="E500" s="10">
        <v>3.0</v>
      </c>
      <c r="F500" s="10">
        <v>4.0</v>
      </c>
      <c r="G500" s="10">
        <v>1.0</v>
      </c>
      <c r="H500" s="12">
        <f t="shared" si="1"/>
        <v>2.716</v>
      </c>
      <c r="I500" s="13">
        <v>1.0</v>
      </c>
      <c r="J500" s="14">
        <f t="shared" si="2"/>
        <v>2.716</v>
      </c>
      <c r="K500" s="15" t="str">
        <f t="shared" si="3"/>
        <v>Baja</v>
      </c>
    </row>
    <row r="501" ht="14.25" customHeight="1">
      <c r="A501" s="6" t="s">
        <v>1030</v>
      </c>
      <c r="B501" s="27" t="s">
        <v>1822</v>
      </c>
      <c r="C501" s="10">
        <v>2.0</v>
      </c>
      <c r="D501" s="10">
        <v>1.0</v>
      </c>
      <c r="E501" s="10">
        <v>2.0</v>
      </c>
      <c r="F501" s="10">
        <v>1.0</v>
      </c>
      <c r="G501" s="10">
        <v>1.0</v>
      </c>
      <c r="H501" s="12">
        <f t="shared" si="1"/>
        <v>1.624</v>
      </c>
      <c r="I501" s="13">
        <v>3.0</v>
      </c>
      <c r="J501" s="14">
        <f t="shared" si="2"/>
        <v>4.872</v>
      </c>
      <c r="K501" s="15" t="str">
        <f t="shared" si="3"/>
        <v>Media</v>
      </c>
    </row>
    <row r="502" ht="14.25" customHeight="1">
      <c r="A502" s="6" t="s">
        <v>1030</v>
      </c>
      <c r="B502" s="27" t="s">
        <v>2011</v>
      </c>
      <c r="C502" s="10">
        <v>2.0</v>
      </c>
      <c r="D502" s="10">
        <v>1.0</v>
      </c>
      <c r="E502" s="10">
        <v>3.0</v>
      </c>
      <c r="F502" s="10">
        <v>2.0</v>
      </c>
      <c r="G502" s="10">
        <v>1.0</v>
      </c>
      <c r="H502" s="12">
        <f t="shared" si="1"/>
        <v>1.96</v>
      </c>
      <c r="I502" s="13">
        <v>3.0</v>
      </c>
      <c r="J502" s="14">
        <f t="shared" si="2"/>
        <v>5.88</v>
      </c>
      <c r="K502" s="15" t="str">
        <f t="shared" si="3"/>
        <v>Media</v>
      </c>
    </row>
    <row r="503" ht="14.25" customHeight="1">
      <c r="A503" s="6" t="s">
        <v>1038</v>
      </c>
      <c r="B503" s="9" t="s">
        <v>999</v>
      </c>
      <c r="C503" s="10">
        <v>2.0</v>
      </c>
      <c r="D503" s="10">
        <v>2.0</v>
      </c>
      <c r="E503" s="10">
        <v>3.0</v>
      </c>
      <c r="F503" s="10">
        <v>3.0</v>
      </c>
      <c r="G503" s="10">
        <v>1.0</v>
      </c>
      <c r="H503" s="12">
        <f t="shared" si="1"/>
        <v>2.236</v>
      </c>
      <c r="I503" s="13">
        <v>2.0</v>
      </c>
      <c r="J503" s="14">
        <f t="shared" si="2"/>
        <v>4.472</v>
      </c>
      <c r="K503" s="15" t="str">
        <f t="shared" si="3"/>
        <v>Media</v>
      </c>
    </row>
    <row r="504" ht="14.25" customHeight="1">
      <c r="A504" s="6" t="s">
        <v>1038</v>
      </c>
      <c r="B504" s="9" t="s">
        <v>1005</v>
      </c>
      <c r="C504" s="10">
        <v>2.0</v>
      </c>
      <c r="D504" s="10">
        <v>2.0</v>
      </c>
      <c r="E504" s="10">
        <v>2.0</v>
      </c>
      <c r="F504" s="10">
        <v>3.0</v>
      </c>
      <c r="G504" s="10">
        <v>1.0</v>
      </c>
      <c r="H504" s="12">
        <f t="shared" si="1"/>
        <v>1.996</v>
      </c>
      <c r="I504" s="13">
        <v>1.0</v>
      </c>
      <c r="J504" s="14">
        <f t="shared" si="2"/>
        <v>1.996</v>
      </c>
      <c r="K504" s="15" t="str">
        <f t="shared" si="3"/>
        <v>Baja</v>
      </c>
    </row>
    <row r="505" ht="14.25" customHeight="1">
      <c r="A505" s="6" t="s">
        <v>1038</v>
      </c>
      <c r="B505" s="9" t="s">
        <v>1017</v>
      </c>
      <c r="C505" s="10">
        <v>2.0</v>
      </c>
      <c r="D505" s="10">
        <v>2.0</v>
      </c>
      <c r="E505" s="10">
        <v>3.0</v>
      </c>
      <c r="F505" s="10">
        <v>3.0</v>
      </c>
      <c r="G505" s="10">
        <v>1.0</v>
      </c>
      <c r="H505" s="12">
        <f t="shared" si="1"/>
        <v>2.236</v>
      </c>
      <c r="I505" s="13">
        <v>2.0</v>
      </c>
      <c r="J505" s="14">
        <f t="shared" si="2"/>
        <v>4.472</v>
      </c>
      <c r="K505" s="15" t="str">
        <f t="shared" si="3"/>
        <v>Media</v>
      </c>
    </row>
    <row r="506" ht="14.25" customHeight="1">
      <c r="A506" s="6" t="s">
        <v>1038</v>
      </c>
      <c r="B506" s="9" t="s">
        <v>727</v>
      </c>
      <c r="C506" s="10">
        <v>1.0</v>
      </c>
      <c r="D506" s="10">
        <v>1.0</v>
      </c>
      <c r="E506" s="10">
        <v>3.0</v>
      </c>
      <c r="F506" s="10">
        <v>3.0</v>
      </c>
      <c r="G506" s="10">
        <v>1.0</v>
      </c>
      <c r="H506" s="12">
        <f t="shared" si="1"/>
        <v>1.672</v>
      </c>
      <c r="I506" s="13">
        <v>2.0</v>
      </c>
      <c r="J506" s="14">
        <f t="shared" si="2"/>
        <v>3.344</v>
      </c>
      <c r="K506" s="15" t="str">
        <f t="shared" si="3"/>
        <v>Baja</v>
      </c>
    </row>
    <row r="507" ht="14.25" customHeight="1">
      <c r="A507" s="6" t="s">
        <v>1038</v>
      </c>
      <c r="B507" s="9" t="s">
        <v>1036</v>
      </c>
      <c r="C507" s="10">
        <v>1.0</v>
      </c>
      <c r="D507" s="10">
        <v>1.0</v>
      </c>
      <c r="E507" s="10">
        <v>3.0</v>
      </c>
      <c r="F507" s="10">
        <v>1.0</v>
      </c>
      <c r="G507" s="10">
        <v>1.0</v>
      </c>
      <c r="H507" s="12">
        <f t="shared" si="1"/>
        <v>1.48</v>
      </c>
      <c r="I507" s="13">
        <v>2.0</v>
      </c>
      <c r="J507" s="14">
        <f t="shared" si="2"/>
        <v>2.96</v>
      </c>
      <c r="K507" s="15" t="str">
        <f t="shared" si="3"/>
        <v>Baja</v>
      </c>
    </row>
    <row r="508" ht="14.25" customHeight="1">
      <c r="A508" s="6" t="s">
        <v>1038</v>
      </c>
      <c r="B508" s="9" t="s">
        <v>1421</v>
      </c>
      <c r="C508" s="10">
        <v>1.0</v>
      </c>
      <c r="D508" s="10">
        <v>1.0</v>
      </c>
      <c r="E508" s="10">
        <v>2.0</v>
      </c>
      <c r="F508" s="10">
        <v>1.0</v>
      </c>
      <c r="G508" s="10">
        <v>1.0</v>
      </c>
      <c r="H508" s="12">
        <f t="shared" si="1"/>
        <v>1.24</v>
      </c>
      <c r="I508" s="13">
        <v>2.0</v>
      </c>
      <c r="J508" s="14">
        <f t="shared" si="2"/>
        <v>2.48</v>
      </c>
      <c r="K508" s="15" t="str">
        <f t="shared" si="3"/>
        <v>Baja</v>
      </c>
    </row>
    <row r="509" ht="14.25" customHeight="1">
      <c r="A509" s="6" t="s">
        <v>1038</v>
      </c>
      <c r="B509" s="9" t="s">
        <v>1426</v>
      </c>
      <c r="C509" s="10">
        <v>1.0</v>
      </c>
      <c r="D509" s="10">
        <v>1.0</v>
      </c>
      <c r="E509" s="10">
        <v>2.0</v>
      </c>
      <c r="F509" s="10">
        <v>1.0</v>
      </c>
      <c r="G509" s="10">
        <v>1.0</v>
      </c>
      <c r="H509" s="12">
        <f t="shared" si="1"/>
        <v>1.24</v>
      </c>
      <c r="I509" s="13">
        <v>3.0</v>
      </c>
      <c r="J509" s="14">
        <f t="shared" si="2"/>
        <v>3.72</v>
      </c>
      <c r="K509" s="15" t="str">
        <f t="shared" si="3"/>
        <v>Baja</v>
      </c>
    </row>
    <row r="510" ht="14.25" customHeight="1">
      <c r="A510" s="6" t="s">
        <v>1045</v>
      </c>
      <c r="B510" s="27" t="s">
        <v>999</v>
      </c>
      <c r="C510" s="10">
        <v>2.0</v>
      </c>
      <c r="D510" s="10">
        <v>2.0</v>
      </c>
      <c r="E510" s="10">
        <v>3.0</v>
      </c>
      <c r="F510" s="10">
        <v>3.0</v>
      </c>
      <c r="G510" s="10">
        <v>1.0</v>
      </c>
      <c r="H510" s="12">
        <f t="shared" si="1"/>
        <v>2.236</v>
      </c>
      <c r="I510" s="13">
        <v>2.0</v>
      </c>
      <c r="J510" s="14">
        <f t="shared" si="2"/>
        <v>4.472</v>
      </c>
      <c r="K510" s="15" t="str">
        <f t="shared" si="3"/>
        <v>Media</v>
      </c>
    </row>
    <row r="511" ht="14.25" customHeight="1">
      <c r="A511" s="6" t="s">
        <v>1045</v>
      </c>
      <c r="B511" s="27" t="s">
        <v>1005</v>
      </c>
      <c r="C511" s="10">
        <v>2.0</v>
      </c>
      <c r="D511" s="10">
        <v>2.0</v>
      </c>
      <c r="E511" s="10">
        <v>2.0</v>
      </c>
      <c r="F511" s="10">
        <v>3.0</v>
      </c>
      <c r="G511" s="10">
        <v>1.0</v>
      </c>
      <c r="H511" s="12">
        <f t="shared" si="1"/>
        <v>1.996</v>
      </c>
      <c r="I511" s="13">
        <v>1.0</v>
      </c>
      <c r="J511" s="14">
        <f t="shared" si="2"/>
        <v>1.996</v>
      </c>
      <c r="K511" s="15" t="str">
        <f t="shared" si="3"/>
        <v>Baja</v>
      </c>
    </row>
    <row r="512" ht="14.25" customHeight="1">
      <c r="A512" s="6" t="s">
        <v>1045</v>
      </c>
      <c r="B512" s="27" t="s">
        <v>1017</v>
      </c>
      <c r="C512" s="10">
        <v>2.0</v>
      </c>
      <c r="D512" s="10">
        <v>2.0</v>
      </c>
      <c r="E512" s="10">
        <v>3.0</v>
      </c>
      <c r="F512" s="10">
        <v>3.0</v>
      </c>
      <c r="G512" s="10">
        <v>1.0</v>
      </c>
      <c r="H512" s="12">
        <f t="shared" si="1"/>
        <v>2.236</v>
      </c>
      <c r="I512" s="13">
        <v>2.0</v>
      </c>
      <c r="J512" s="14">
        <f t="shared" si="2"/>
        <v>4.472</v>
      </c>
      <c r="K512" s="15" t="str">
        <f t="shared" si="3"/>
        <v>Media</v>
      </c>
    </row>
    <row r="513" ht="14.25" customHeight="1">
      <c r="A513" s="6" t="s">
        <v>1045</v>
      </c>
      <c r="B513" s="27" t="s">
        <v>727</v>
      </c>
      <c r="C513" s="10">
        <v>1.0</v>
      </c>
      <c r="D513" s="10">
        <v>1.0</v>
      </c>
      <c r="E513" s="10">
        <v>3.0</v>
      </c>
      <c r="F513" s="10">
        <v>3.0</v>
      </c>
      <c r="G513" s="10">
        <v>1.0</v>
      </c>
      <c r="H513" s="12">
        <f t="shared" si="1"/>
        <v>1.672</v>
      </c>
      <c r="I513" s="13">
        <v>2.0</v>
      </c>
      <c r="J513" s="14">
        <f t="shared" si="2"/>
        <v>3.344</v>
      </c>
      <c r="K513" s="15" t="str">
        <f t="shared" si="3"/>
        <v>Baja</v>
      </c>
    </row>
    <row r="514" ht="14.25" customHeight="1">
      <c r="A514" s="6" t="s">
        <v>1045</v>
      </c>
      <c r="B514" s="27" t="s">
        <v>1031</v>
      </c>
      <c r="C514" s="10">
        <v>1.0</v>
      </c>
      <c r="D514" s="10">
        <v>1.0</v>
      </c>
      <c r="E514" s="10">
        <v>2.0</v>
      </c>
      <c r="F514" s="10">
        <v>1.0</v>
      </c>
      <c r="G514" s="10">
        <v>1.0</v>
      </c>
      <c r="H514" s="12">
        <f t="shared" si="1"/>
        <v>1.24</v>
      </c>
      <c r="I514" s="13">
        <v>3.0</v>
      </c>
      <c r="J514" s="14">
        <f t="shared" si="2"/>
        <v>3.72</v>
      </c>
      <c r="K514" s="15" t="str">
        <f t="shared" si="3"/>
        <v>Baja</v>
      </c>
    </row>
    <row r="515" ht="14.25" customHeight="1">
      <c r="A515" s="6" t="s">
        <v>1045</v>
      </c>
      <c r="B515" s="27" t="s">
        <v>1036</v>
      </c>
      <c r="C515" s="10">
        <v>1.0</v>
      </c>
      <c r="D515" s="10">
        <v>1.0</v>
      </c>
      <c r="E515" s="10">
        <v>3.0</v>
      </c>
      <c r="F515" s="10">
        <v>1.0</v>
      </c>
      <c r="G515" s="10">
        <v>1.0</v>
      </c>
      <c r="H515" s="12">
        <f t="shared" si="1"/>
        <v>1.48</v>
      </c>
      <c r="I515" s="13">
        <v>2.0</v>
      </c>
      <c r="J515" s="14">
        <f t="shared" si="2"/>
        <v>2.96</v>
      </c>
      <c r="K515" s="15" t="str">
        <f t="shared" si="3"/>
        <v>Baja</v>
      </c>
    </row>
    <row r="516" ht="14.25" customHeight="1">
      <c r="A516" s="6" t="s">
        <v>1045</v>
      </c>
      <c r="B516" s="27" t="s">
        <v>1041</v>
      </c>
      <c r="C516" s="10">
        <v>1.0</v>
      </c>
      <c r="D516" s="10">
        <v>1.0</v>
      </c>
      <c r="E516" s="10">
        <v>2.0</v>
      </c>
      <c r="F516" s="10">
        <v>1.0</v>
      </c>
      <c r="G516" s="10">
        <v>1.0</v>
      </c>
      <c r="H516" s="12">
        <f t="shared" si="1"/>
        <v>1.24</v>
      </c>
      <c r="I516" s="13">
        <v>2.0</v>
      </c>
      <c r="J516" s="14">
        <f t="shared" si="2"/>
        <v>2.48</v>
      </c>
      <c r="K516" s="15" t="str">
        <f t="shared" si="3"/>
        <v>Baja</v>
      </c>
    </row>
    <row r="517" ht="14.25" customHeight="1">
      <c r="A517" s="6" t="s">
        <v>1045</v>
      </c>
      <c r="B517" s="27" t="s">
        <v>1047</v>
      </c>
      <c r="C517" s="10">
        <v>1.0</v>
      </c>
      <c r="D517" s="10">
        <v>1.0</v>
      </c>
      <c r="E517" s="10">
        <v>2.0</v>
      </c>
      <c r="F517" s="10">
        <v>1.0</v>
      </c>
      <c r="G517" s="10">
        <v>1.0</v>
      </c>
      <c r="H517" s="12">
        <f t="shared" si="1"/>
        <v>1.24</v>
      </c>
      <c r="I517" s="13">
        <v>3.0</v>
      </c>
      <c r="J517" s="14">
        <f t="shared" si="2"/>
        <v>3.72</v>
      </c>
      <c r="K517" s="15" t="str">
        <f t="shared" si="3"/>
        <v>Baja</v>
      </c>
    </row>
    <row r="518" ht="14.25" customHeight="1">
      <c r="A518" s="6" t="s">
        <v>1051</v>
      </c>
      <c r="B518" s="9" t="s">
        <v>820</v>
      </c>
      <c r="C518" s="10">
        <v>2.0</v>
      </c>
      <c r="D518" s="10">
        <v>1.0</v>
      </c>
      <c r="E518" s="10">
        <v>2.0</v>
      </c>
      <c r="F518" s="10">
        <v>1.0</v>
      </c>
      <c r="G518" s="10">
        <v>1.0</v>
      </c>
      <c r="H518" s="12">
        <f t="shared" si="1"/>
        <v>1.624</v>
      </c>
      <c r="I518" s="13">
        <v>3.0</v>
      </c>
      <c r="J518" s="14">
        <f t="shared" si="2"/>
        <v>4.872</v>
      </c>
      <c r="K518" s="15" t="str">
        <f t="shared" si="3"/>
        <v>Media</v>
      </c>
    </row>
    <row r="519" ht="14.25" customHeight="1">
      <c r="A519" s="6" t="s">
        <v>1051</v>
      </c>
      <c r="B519" s="9" t="s">
        <v>825</v>
      </c>
      <c r="C519" s="10">
        <v>2.0</v>
      </c>
      <c r="D519" s="10">
        <v>1.0</v>
      </c>
      <c r="E519" s="10">
        <v>2.0</v>
      </c>
      <c r="F519" s="10">
        <v>2.0</v>
      </c>
      <c r="G519" s="10">
        <v>1.0</v>
      </c>
      <c r="H519" s="12">
        <f t="shared" si="1"/>
        <v>1.72</v>
      </c>
      <c r="I519" s="13">
        <v>3.0</v>
      </c>
      <c r="J519" s="14">
        <f t="shared" si="2"/>
        <v>5.16</v>
      </c>
      <c r="K519" s="15" t="str">
        <f t="shared" si="3"/>
        <v>Media</v>
      </c>
    </row>
    <row r="520" ht="14.25" customHeight="1">
      <c r="A520" s="6" t="s">
        <v>1051</v>
      </c>
      <c r="B520" s="9" t="s">
        <v>827</v>
      </c>
      <c r="C520" s="10">
        <v>2.0</v>
      </c>
      <c r="D520" s="10">
        <v>1.0</v>
      </c>
      <c r="E520" s="10">
        <v>2.0</v>
      </c>
      <c r="F520" s="10">
        <v>2.0</v>
      </c>
      <c r="G520" s="10">
        <v>1.0</v>
      </c>
      <c r="H520" s="12">
        <f t="shared" si="1"/>
        <v>1.72</v>
      </c>
      <c r="I520" s="13">
        <v>3.0</v>
      </c>
      <c r="J520" s="14">
        <f t="shared" si="2"/>
        <v>5.16</v>
      </c>
      <c r="K520" s="15" t="str">
        <f t="shared" si="3"/>
        <v>Media</v>
      </c>
    </row>
    <row r="521" ht="14.25" customHeight="1">
      <c r="A521" s="6" t="s">
        <v>1051</v>
      </c>
      <c r="B521" s="9" t="s">
        <v>836</v>
      </c>
      <c r="C521" s="10">
        <v>1.0</v>
      </c>
      <c r="D521" s="10">
        <v>1.0</v>
      </c>
      <c r="E521" s="10">
        <v>2.0</v>
      </c>
      <c r="F521" s="10">
        <v>1.0</v>
      </c>
      <c r="G521" s="10">
        <v>1.0</v>
      </c>
      <c r="H521" s="12">
        <f t="shared" si="1"/>
        <v>1.24</v>
      </c>
      <c r="I521" s="13">
        <v>2.0</v>
      </c>
      <c r="J521" s="14">
        <f t="shared" si="2"/>
        <v>2.48</v>
      </c>
      <c r="K521" s="15" t="str">
        <f t="shared" si="3"/>
        <v>Baja</v>
      </c>
    </row>
    <row r="522" ht="14.25" customHeight="1">
      <c r="A522" s="6" t="s">
        <v>1051</v>
      </c>
      <c r="B522" s="9" t="s">
        <v>842</v>
      </c>
      <c r="C522" s="10">
        <v>1.0</v>
      </c>
      <c r="D522" s="10">
        <v>1.0</v>
      </c>
      <c r="E522" s="10">
        <v>2.0</v>
      </c>
      <c r="F522" s="10">
        <v>1.0</v>
      </c>
      <c r="G522" s="10">
        <v>1.0</v>
      </c>
      <c r="H522" s="12">
        <f t="shared" si="1"/>
        <v>1.24</v>
      </c>
      <c r="I522" s="13">
        <v>3.0</v>
      </c>
      <c r="J522" s="14">
        <f t="shared" si="2"/>
        <v>3.72</v>
      </c>
      <c r="K522" s="15" t="str">
        <f t="shared" si="3"/>
        <v>Baja</v>
      </c>
    </row>
    <row r="523" ht="14.25" customHeight="1">
      <c r="A523" s="6" t="s">
        <v>1051</v>
      </c>
      <c r="B523" s="9" t="s">
        <v>848</v>
      </c>
      <c r="C523" s="10">
        <v>1.0</v>
      </c>
      <c r="D523" s="10">
        <v>1.0</v>
      </c>
      <c r="E523" s="10">
        <v>2.0</v>
      </c>
      <c r="F523" s="10">
        <v>1.0</v>
      </c>
      <c r="G523" s="10">
        <v>1.0</v>
      </c>
      <c r="H523" s="12">
        <f t="shared" si="1"/>
        <v>1.24</v>
      </c>
      <c r="I523" s="13">
        <v>3.0</v>
      </c>
      <c r="J523" s="14">
        <f t="shared" si="2"/>
        <v>3.72</v>
      </c>
      <c r="K523" s="15" t="str">
        <f t="shared" si="3"/>
        <v>Baja</v>
      </c>
    </row>
    <row r="524" ht="14.25" customHeight="1">
      <c r="A524" s="6" t="s">
        <v>1060</v>
      </c>
      <c r="B524" s="27" t="s">
        <v>930</v>
      </c>
      <c r="C524" s="10">
        <v>2.0</v>
      </c>
      <c r="D524" s="10">
        <v>1.0</v>
      </c>
      <c r="E524" s="10">
        <v>2.0</v>
      </c>
      <c r="F524" s="10">
        <v>1.0</v>
      </c>
      <c r="G524" s="10">
        <v>2.0</v>
      </c>
      <c r="H524" s="12">
        <f t="shared" si="1"/>
        <v>1.724</v>
      </c>
      <c r="I524" s="13">
        <v>1.0</v>
      </c>
      <c r="J524" s="14">
        <f t="shared" si="2"/>
        <v>1.724</v>
      </c>
      <c r="K524" s="15" t="str">
        <f t="shared" si="3"/>
        <v>Baja</v>
      </c>
    </row>
    <row r="525" ht="14.25" customHeight="1">
      <c r="A525" s="6" t="s">
        <v>1060</v>
      </c>
      <c r="B525" s="27" t="s">
        <v>3294</v>
      </c>
      <c r="C525" s="10">
        <v>2.0</v>
      </c>
      <c r="D525" s="10">
        <v>1.0</v>
      </c>
      <c r="E525" s="10">
        <v>3.0</v>
      </c>
      <c r="F525" s="10">
        <v>1.0</v>
      </c>
      <c r="G525" s="10">
        <v>2.0</v>
      </c>
      <c r="H525" s="12">
        <f t="shared" si="1"/>
        <v>1.964</v>
      </c>
      <c r="I525" s="13">
        <v>3.0</v>
      </c>
      <c r="J525" s="14">
        <f t="shared" si="2"/>
        <v>5.892</v>
      </c>
      <c r="K525" s="15" t="str">
        <f t="shared" si="3"/>
        <v>Media</v>
      </c>
    </row>
    <row r="526" ht="14.25" customHeight="1">
      <c r="A526" s="6" t="s">
        <v>1060</v>
      </c>
      <c r="B526" s="27" t="s">
        <v>3295</v>
      </c>
      <c r="C526" s="10">
        <v>1.0</v>
      </c>
      <c r="D526" s="10">
        <v>1.0</v>
      </c>
      <c r="E526" s="10">
        <v>2.0</v>
      </c>
      <c r="F526" s="10">
        <v>1.0</v>
      </c>
      <c r="G526" s="10">
        <v>1.0</v>
      </c>
      <c r="H526" s="12">
        <f t="shared" si="1"/>
        <v>1.24</v>
      </c>
      <c r="I526" s="13">
        <v>3.0</v>
      </c>
      <c r="J526" s="14">
        <f t="shared" si="2"/>
        <v>3.72</v>
      </c>
      <c r="K526" s="15" t="str">
        <f t="shared" si="3"/>
        <v>Baja</v>
      </c>
    </row>
    <row r="527" ht="14.25" customHeight="1">
      <c r="A527" s="6" t="s">
        <v>1060</v>
      </c>
      <c r="B527" s="27" t="s">
        <v>3296</v>
      </c>
      <c r="C527" s="10">
        <v>1.0</v>
      </c>
      <c r="D527" s="10">
        <v>1.0</v>
      </c>
      <c r="E527" s="10">
        <v>2.0</v>
      </c>
      <c r="F527" s="10">
        <v>1.0</v>
      </c>
      <c r="G527" s="10">
        <v>1.0</v>
      </c>
      <c r="H527" s="12">
        <f t="shared" si="1"/>
        <v>1.24</v>
      </c>
      <c r="I527" s="13">
        <v>3.0</v>
      </c>
      <c r="J527" s="14">
        <f t="shared" si="2"/>
        <v>3.72</v>
      </c>
      <c r="K527" s="15" t="str">
        <f t="shared" si="3"/>
        <v>Baja</v>
      </c>
    </row>
    <row r="528" ht="14.25" customHeight="1">
      <c r="A528" s="6" t="s">
        <v>1060</v>
      </c>
      <c r="B528" s="27" t="s">
        <v>3299</v>
      </c>
      <c r="C528" s="10">
        <v>1.0</v>
      </c>
      <c r="D528" s="10">
        <v>1.0</v>
      </c>
      <c r="E528" s="10">
        <v>2.0</v>
      </c>
      <c r="F528" s="10">
        <v>1.0</v>
      </c>
      <c r="G528" s="10">
        <v>1.0</v>
      </c>
      <c r="H528" s="12">
        <f t="shared" si="1"/>
        <v>1.24</v>
      </c>
      <c r="I528" s="13">
        <v>3.0</v>
      </c>
      <c r="J528" s="14">
        <f t="shared" si="2"/>
        <v>3.72</v>
      </c>
      <c r="K528" s="15" t="str">
        <f t="shared" si="3"/>
        <v>Baja</v>
      </c>
    </row>
    <row r="529" ht="14.25" customHeight="1">
      <c r="A529" s="6" t="s">
        <v>1060</v>
      </c>
      <c r="B529" s="27" t="s">
        <v>3300</v>
      </c>
      <c r="C529" s="10">
        <v>1.0</v>
      </c>
      <c r="D529" s="10">
        <v>1.0</v>
      </c>
      <c r="E529" s="10">
        <v>2.0</v>
      </c>
      <c r="F529" s="10">
        <v>1.0</v>
      </c>
      <c r="G529" s="10">
        <v>1.0</v>
      </c>
      <c r="H529" s="12">
        <f t="shared" si="1"/>
        <v>1.24</v>
      </c>
      <c r="I529" s="13">
        <v>2.0</v>
      </c>
      <c r="J529" s="14">
        <f t="shared" si="2"/>
        <v>2.48</v>
      </c>
      <c r="K529" s="15" t="str">
        <f t="shared" si="3"/>
        <v>Baja</v>
      </c>
    </row>
    <row r="530" ht="14.25" customHeight="1">
      <c r="A530" s="6" t="s">
        <v>1077</v>
      </c>
      <c r="B530" s="9" t="s">
        <v>3303</v>
      </c>
      <c r="C530" s="10">
        <v>1.0</v>
      </c>
      <c r="D530" s="10">
        <v>2.0</v>
      </c>
      <c r="E530" s="10">
        <v>3.0</v>
      </c>
      <c r="F530" s="10">
        <v>4.0</v>
      </c>
      <c r="G530" s="10">
        <v>1.0</v>
      </c>
      <c r="H530" s="12">
        <f t="shared" si="1"/>
        <v>1.948</v>
      </c>
      <c r="I530" s="13">
        <v>2.0</v>
      </c>
      <c r="J530" s="14">
        <f t="shared" si="2"/>
        <v>3.896</v>
      </c>
      <c r="K530" s="15" t="str">
        <f t="shared" si="3"/>
        <v>Baja</v>
      </c>
    </row>
    <row r="531" ht="14.25" customHeight="1">
      <c r="A531" s="6" t="s">
        <v>1077</v>
      </c>
      <c r="B531" s="9" t="s">
        <v>2011</v>
      </c>
      <c r="C531" s="10">
        <v>1.0</v>
      </c>
      <c r="D531" s="10">
        <v>1.0</v>
      </c>
      <c r="E531" s="10">
        <v>3.0</v>
      </c>
      <c r="F531" s="10">
        <v>2.0</v>
      </c>
      <c r="G531" s="10">
        <v>1.0</v>
      </c>
      <c r="H531" s="12">
        <f t="shared" si="1"/>
        <v>1.576</v>
      </c>
      <c r="I531" s="13">
        <v>3.0</v>
      </c>
      <c r="J531" s="14">
        <f t="shared" si="2"/>
        <v>4.728</v>
      </c>
      <c r="K531" s="15" t="str">
        <f t="shared" si="3"/>
        <v>Media</v>
      </c>
    </row>
    <row r="532" ht="14.25" customHeight="1">
      <c r="A532" s="6" t="s">
        <v>1077</v>
      </c>
      <c r="B532" s="9" t="s">
        <v>1984</v>
      </c>
      <c r="C532" s="10">
        <v>1.0</v>
      </c>
      <c r="D532" s="10">
        <v>1.0</v>
      </c>
      <c r="E532" s="10">
        <v>2.0</v>
      </c>
      <c r="F532" s="10">
        <v>2.0</v>
      </c>
      <c r="G532" s="10">
        <v>1.0</v>
      </c>
      <c r="H532" s="12">
        <f t="shared" si="1"/>
        <v>1.336</v>
      </c>
      <c r="I532" s="13">
        <v>2.0</v>
      </c>
      <c r="J532" s="14">
        <f t="shared" si="2"/>
        <v>2.672</v>
      </c>
      <c r="K532" s="15" t="str">
        <f t="shared" si="3"/>
        <v>Baja</v>
      </c>
    </row>
    <row r="533" ht="14.25" customHeight="1">
      <c r="A533" s="6" t="s">
        <v>1089</v>
      </c>
      <c r="B533" s="27" t="s">
        <v>1108</v>
      </c>
      <c r="C533" s="10">
        <v>3.0</v>
      </c>
      <c r="D533" s="10">
        <v>3.0</v>
      </c>
      <c r="E533" s="10">
        <v>3.0</v>
      </c>
      <c r="F533" s="10">
        <v>1.0</v>
      </c>
      <c r="G533" s="10">
        <v>2.0</v>
      </c>
      <c r="H533" s="12">
        <f t="shared" si="1"/>
        <v>2.708</v>
      </c>
      <c r="I533" s="13">
        <v>1.0</v>
      </c>
      <c r="J533" s="14">
        <f t="shared" si="2"/>
        <v>2.708</v>
      </c>
      <c r="K533" s="15" t="str">
        <f t="shared" si="3"/>
        <v>Baja</v>
      </c>
    </row>
    <row r="534" ht="14.25" customHeight="1">
      <c r="A534" s="6" t="s">
        <v>1089</v>
      </c>
      <c r="B534" s="27" t="s">
        <v>1113</v>
      </c>
      <c r="C534" s="10">
        <v>3.0</v>
      </c>
      <c r="D534" s="10">
        <v>3.0</v>
      </c>
      <c r="E534" s="10">
        <v>3.0</v>
      </c>
      <c r="F534" s="10">
        <v>4.0</v>
      </c>
      <c r="G534" s="10">
        <v>2.0</v>
      </c>
      <c r="H534" s="12">
        <f t="shared" si="1"/>
        <v>2.996</v>
      </c>
      <c r="I534" s="13">
        <v>1.0</v>
      </c>
      <c r="J534" s="14">
        <f t="shared" si="2"/>
        <v>2.996</v>
      </c>
      <c r="K534" s="15" t="str">
        <f t="shared" si="3"/>
        <v>Baja</v>
      </c>
    </row>
    <row r="535" ht="14.25" customHeight="1">
      <c r="A535" s="6" t="s">
        <v>1089</v>
      </c>
      <c r="B535" s="27" t="s">
        <v>1119</v>
      </c>
      <c r="C535" s="10">
        <v>2.0</v>
      </c>
      <c r="D535" s="10">
        <v>2.0</v>
      </c>
      <c r="E535" s="10">
        <v>3.0</v>
      </c>
      <c r="F535" s="10">
        <v>1.0</v>
      </c>
      <c r="G535" s="10">
        <v>1.0</v>
      </c>
      <c r="H535" s="12">
        <f t="shared" si="1"/>
        <v>2.044</v>
      </c>
      <c r="I535" s="13">
        <v>3.0</v>
      </c>
      <c r="J535" s="14">
        <f t="shared" si="2"/>
        <v>6.132</v>
      </c>
      <c r="K535" s="15" t="str">
        <f t="shared" si="3"/>
        <v>Media</v>
      </c>
    </row>
    <row r="536" ht="14.25" customHeight="1">
      <c r="A536" s="6" t="s">
        <v>1089</v>
      </c>
      <c r="B536" s="27" t="s">
        <v>1124</v>
      </c>
      <c r="C536" s="10">
        <v>2.0</v>
      </c>
      <c r="D536" s="10">
        <v>2.0</v>
      </c>
      <c r="E536" s="10">
        <v>3.0</v>
      </c>
      <c r="F536" s="10">
        <v>1.0</v>
      </c>
      <c r="G536" s="10">
        <v>1.0</v>
      </c>
      <c r="H536" s="12">
        <f t="shared" si="1"/>
        <v>2.044</v>
      </c>
      <c r="I536" s="13">
        <v>1.0</v>
      </c>
      <c r="J536" s="14">
        <f t="shared" si="2"/>
        <v>2.044</v>
      </c>
      <c r="K536" s="15" t="str">
        <f t="shared" si="3"/>
        <v>Baja</v>
      </c>
    </row>
    <row r="537" ht="14.25" customHeight="1">
      <c r="A537" s="6" t="s">
        <v>1097</v>
      </c>
      <c r="B537" s="9" t="s">
        <v>1127</v>
      </c>
      <c r="C537" s="10">
        <v>3.0</v>
      </c>
      <c r="D537" s="10">
        <v>3.0</v>
      </c>
      <c r="E537" s="10">
        <v>3.0</v>
      </c>
      <c r="F537" s="10">
        <v>3.0</v>
      </c>
      <c r="G537" s="10">
        <v>2.0</v>
      </c>
      <c r="H537" s="12">
        <f t="shared" si="1"/>
        <v>2.9</v>
      </c>
      <c r="I537" s="13">
        <v>1.0</v>
      </c>
      <c r="J537" s="14">
        <f t="shared" si="2"/>
        <v>2.9</v>
      </c>
      <c r="K537" s="15" t="str">
        <f t="shared" si="3"/>
        <v>Baja</v>
      </c>
    </row>
    <row r="538" ht="14.25" customHeight="1">
      <c r="A538" s="6" t="s">
        <v>1097</v>
      </c>
      <c r="B538" s="9" t="s">
        <v>1134</v>
      </c>
      <c r="C538" s="10">
        <v>2.0</v>
      </c>
      <c r="D538" s="10">
        <v>2.0</v>
      </c>
      <c r="E538" s="10">
        <v>3.0</v>
      </c>
      <c r="F538" s="10">
        <v>3.0</v>
      </c>
      <c r="G538" s="10">
        <v>1.0</v>
      </c>
      <c r="H538" s="12">
        <f t="shared" si="1"/>
        <v>2.236</v>
      </c>
      <c r="I538" s="13">
        <v>3.0</v>
      </c>
      <c r="J538" s="14">
        <f t="shared" si="2"/>
        <v>6.708</v>
      </c>
      <c r="K538" s="15" t="str">
        <f t="shared" si="3"/>
        <v>Media</v>
      </c>
    </row>
    <row r="539" ht="14.25" customHeight="1">
      <c r="A539" s="6" t="s">
        <v>1097</v>
      </c>
      <c r="B539" s="9" t="s">
        <v>1141</v>
      </c>
      <c r="C539" s="10">
        <v>2.0</v>
      </c>
      <c r="D539" s="10">
        <v>2.0</v>
      </c>
      <c r="E539" s="10">
        <v>2.0</v>
      </c>
      <c r="F539" s="10">
        <v>1.0</v>
      </c>
      <c r="G539" s="10">
        <v>1.0</v>
      </c>
      <c r="H539" s="12">
        <f t="shared" si="1"/>
        <v>1.804</v>
      </c>
      <c r="I539" s="13">
        <v>3.0</v>
      </c>
      <c r="J539" s="14">
        <f t="shared" si="2"/>
        <v>5.412</v>
      </c>
      <c r="K539" s="15" t="str">
        <f t="shared" si="3"/>
        <v>Media</v>
      </c>
    </row>
    <row r="540" ht="14.25" customHeight="1">
      <c r="A540" s="6" t="s">
        <v>1097</v>
      </c>
      <c r="B540" s="9" t="s">
        <v>1147</v>
      </c>
      <c r="C540" s="10">
        <v>2.0</v>
      </c>
      <c r="D540" s="10">
        <v>2.0</v>
      </c>
      <c r="E540" s="10">
        <v>3.0</v>
      </c>
      <c r="F540" s="10">
        <v>3.0</v>
      </c>
      <c r="G540" s="10">
        <v>1.0</v>
      </c>
      <c r="H540" s="12">
        <f t="shared" si="1"/>
        <v>2.236</v>
      </c>
      <c r="I540" s="13">
        <v>3.0</v>
      </c>
      <c r="J540" s="14">
        <f t="shared" si="2"/>
        <v>6.708</v>
      </c>
      <c r="K540" s="15" t="str">
        <f t="shared" si="3"/>
        <v>Media</v>
      </c>
    </row>
    <row r="541" ht="14.25" customHeight="1">
      <c r="A541" s="6" t="s">
        <v>1104</v>
      </c>
      <c r="B541" s="27" t="s">
        <v>1305</v>
      </c>
      <c r="C541" s="10">
        <v>1.0</v>
      </c>
      <c r="D541" s="10">
        <v>1.0</v>
      </c>
      <c r="E541" s="10">
        <v>3.0</v>
      </c>
      <c r="F541" s="10">
        <v>3.0</v>
      </c>
      <c r="G541" s="10">
        <v>1.0</v>
      </c>
      <c r="H541" s="12">
        <f t="shared" si="1"/>
        <v>1.672</v>
      </c>
      <c r="I541" s="13">
        <v>1.0</v>
      </c>
      <c r="J541" s="14">
        <f t="shared" si="2"/>
        <v>1.672</v>
      </c>
      <c r="K541" s="15" t="str">
        <f t="shared" si="3"/>
        <v>Baja</v>
      </c>
    </row>
    <row r="542" ht="14.25" customHeight="1">
      <c r="A542" s="6" t="s">
        <v>1104</v>
      </c>
      <c r="B542" s="27" t="s">
        <v>1311</v>
      </c>
      <c r="C542" s="10">
        <v>1.0</v>
      </c>
      <c r="D542" s="10">
        <v>1.0</v>
      </c>
      <c r="E542" s="10">
        <v>3.0</v>
      </c>
      <c r="F542" s="10">
        <v>2.0</v>
      </c>
      <c r="G542" s="10">
        <v>1.0</v>
      </c>
      <c r="H542" s="12">
        <f t="shared" si="1"/>
        <v>1.576</v>
      </c>
      <c r="I542" s="13">
        <v>1.0</v>
      </c>
      <c r="J542" s="14">
        <f t="shared" si="2"/>
        <v>1.576</v>
      </c>
      <c r="K542" s="15" t="str">
        <f t="shared" si="3"/>
        <v>Baja</v>
      </c>
    </row>
    <row r="543" ht="14.25" customHeight="1">
      <c r="A543" s="6" t="s">
        <v>1104</v>
      </c>
      <c r="B543" s="27" t="s">
        <v>1315</v>
      </c>
      <c r="C543" s="10">
        <v>1.0</v>
      </c>
      <c r="D543" s="10">
        <v>1.0</v>
      </c>
      <c r="E543" s="10">
        <v>3.0</v>
      </c>
      <c r="F543" s="10">
        <v>2.0</v>
      </c>
      <c r="G543" s="10">
        <v>1.0</v>
      </c>
      <c r="H543" s="12">
        <f t="shared" si="1"/>
        <v>1.576</v>
      </c>
      <c r="I543" s="13">
        <v>2.0</v>
      </c>
      <c r="J543" s="14">
        <f t="shared" si="2"/>
        <v>3.152</v>
      </c>
      <c r="K543" s="15" t="str">
        <f t="shared" si="3"/>
        <v>Baja</v>
      </c>
    </row>
    <row r="544" ht="14.25" customHeight="1">
      <c r="A544" s="6" t="s">
        <v>1104</v>
      </c>
      <c r="B544" s="27" t="s">
        <v>1325</v>
      </c>
      <c r="C544" s="10">
        <v>1.0</v>
      </c>
      <c r="D544" s="10">
        <v>1.0</v>
      </c>
      <c r="E544" s="10">
        <v>3.0</v>
      </c>
      <c r="F544" s="10">
        <v>2.0</v>
      </c>
      <c r="G544" s="10">
        <v>1.0</v>
      </c>
      <c r="H544" s="12">
        <f t="shared" si="1"/>
        <v>1.576</v>
      </c>
      <c r="I544" s="13">
        <v>2.0</v>
      </c>
      <c r="J544" s="14">
        <f t="shared" si="2"/>
        <v>3.152</v>
      </c>
      <c r="K544" s="15" t="str">
        <f t="shared" si="3"/>
        <v>Baja</v>
      </c>
    </row>
    <row r="545" ht="14.25" customHeight="1">
      <c r="A545" s="6" t="s">
        <v>1104</v>
      </c>
      <c r="B545" s="27" t="s">
        <v>1333</v>
      </c>
      <c r="C545" s="10">
        <v>1.0</v>
      </c>
      <c r="D545" s="10">
        <v>1.0</v>
      </c>
      <c r="E545" s="10">
        <v>3.0</v>
      </c>
      <c r="F545" s="10">
        <v>2.0</v>
      </c>
      <c r="G545" s="10">
        <v>1.0</v>
      </c>
      <c r="H545" s="12">
        <f t="shared" si="1"/>
        <v>1.576</v>
      </c>
      <c r="I545" s="13">
        <v>1.0</v>
      </c>
      <c r="J545" s="14">
        <f t="shared" si="2"/>
        <v>1.576</v>
      </c>
      <c r="K545" s="15" t="str">
        <f t="shared" si="3"/>
        <v>Baja</v>
      </c>
    </row>
    <row r="546" ht="14.25" customHeight="1">
      <c r="A546" s="6" t="s">
        <v>1112</v>
      </c>
      <c r="B546" s="9" t="s">
        <v>1191</v>
      </c>
      <c r="C546" s="10">
        <v>1.0</v>
      </c>
      <c r="D546" s="10">
        <v>2.0</v>
      </c>
      <c r="E546" s="10">
        <v>2.0</v>
      </c>
      <c r="F546" s="10">
        <v>1.0</v>
      </c>
      <c r="G546" s="10">
        <v>1.0</v>
      </c>
      <c r="H546" s="12">
        <f t="shared" si="1"/>
        <v>1.42</v>
      </c>
      <c r="I546" s="13">
        <v>3.0</v>
      </c>
      <c r="J546" s="14">
        <f t="shared" si="2"/>
        <v>4.26</v>
      </c>
      <c r="K546" s="15" t="str">
        <f t="shared" si="3"/>
        <v>Media</v>
      </c>
    </row>
    <row r="547" ht="14.25" customHeight="1">
      <c r="A547" s="6" t="s">
        <v>1112</v>
      </c>
      <c r="B547" s="9" t="s">
        <v>1195</v>
      </c>
      <c r="C547" s="10">
        <v>1.0</v>
      </c>
      <c r="D547" s="10">
        <v>2.0</v>
      </c>
      <c r="E547" s="10">
        <v>2.0</v>
      </c>
      <c r="F547" s="10">
        <v>1.0</v>
      </c>
      <c r="G547" s="10">
        <v>1.0</v>
      </c>
      <c r="H547" s="12">
        <f t="shared" si="1"/>
        <v>1.42</v>
      </c>
      <c r="I547" s="13">
        <v>2.0</v>
      </c>
      <c r="J547" s="14">
        <f t="shared" si="2"/>
        <v>2.84</v>
      </c>
      <c r="K547" s="15" t="str">
        <f t="shared" si="3"/>
        <v>Baja</v>
      </c>
    </row>
    <row r="548" ht="14.25" customHeight="1">
      <c r="A548" s="6" t="s">
        <v>1112</v>
      </c>
      <c r="B548" s="9" t="s">
        <v>1204</v>
      </c>
      <c r="C548" s="10">
        <v>1.0</v>
      </c>
      <c r="D548" s="10">
        <v>2.0</v>
      </c>
      <c r="E548" s="10">
        <v>2.0</v>
      </c>
      <c r="F548" s="10">
        <v>1.0</v>
      </c>
      <c r="G548" s="10">
        <v>1.0</v>
      </c>
      <c r="H548" s="12">
        <f t="shared" si="1"/>
        <v>1.42</v>
      </c>
      <c r="I548" s="13">
        <v>1.0</v>
      </c>
      <c r="J548" s="14">
        <f t="shared" si="2"/>
        <v>1.42</v>
      </c>
      <c r="K548" s="15" t="str">
        <f t="shared" si="3"/>
        <v>Baja</v>
      </c>
    </row>
    <row r="549" ht="14.25" customHeight="1">
      <c r="A549" s="6" t="s">
        <v>1112</v>
      </c>
      <c r="B549" s="9" t="s">
        <v>1210</v>
      </c>
      <c r="C549" s="10">
        <v>1.0</v>
      </c>
      <c r="D549" s="10">
        <v>2.0</v>
      </c>
      <c r="E549" s="10">
        <v>2.0</v>
      </c>
      <c r="F549" s="10">
        <v>1.0</v>
      </c>
      <c r="G549" s="10">
        <v>1.0</v>
      </c>
      <c r="H549" s="12">
        <f t="shared" si="1"/>
        <v>1.42</v>
      </c>
      <c r="I549" s="13">
        <v>3.0</v>
      </c>
      <c r="J549" s="14">
        <f t="shared" si="2"/>
        <v>4.26</v>
      </c>
      <c r="K549" s="15" t="str">
        <f t="shared" si="3"/>
        <v>Media</v>
      </c>
    </row>
    <row r="550" ht="14.25" customHeight="1">
      <c r="A550" s="6" t="s">
        <v>1112</v>
      </c>
      <c r="B550" s="9" t="s">
        <v>1219</v>
      </c>
      <c r="C550" s="10">
        <v>1.0</v>
      </c>
      <c r="D550" s="10">
        <v>2.0</v>
      </c>
      <c r="E550" s="10">
        <v>2.0</v>
      </c>
      <c r="F550" s="10">
        <v>1.0</v>
      </c>
      <c r="G550" s="10">
        <v>1.0</v>
      </c>
      <c r="H550" s="12">
        <f t="shared" si="1"/>
        <v>1.42</v>
      </c>
      <c r="I550" s="13">
        <v>3.0</v>
      </c>
      <c r="J550" s="14">
        <f t="shared" si="2"/>
        <v>4.26</v>
      </c>
      <c r="K550" s="15" t="str">
        <f t="shared" si="3"/>
        <v>Media</v>
      </c>
    </row>
    <row r="551" ht="14.25" customHeight="1">
      <c r="A551" s="6" t="s">
        <v>1112</v>
      </c>
      <c r="B551" s="9" t="s">
        <v>1228</v>
      </c>
      <c r="C551" s="10">
        <v>1.0</v>
      </c>
      <c r="D551" s="10">
        <v>1.0</v>
      </c>
      <c r="E551" s="10">
        <v>2.0</v>
      </c>
      <c r="F551" s="10">
        <v>1.0</v>
      </c>
      <c r="G551" s="10">
        <v>1.0</v>
      </c>
      <c r="H551" s="12">
        <f t="shared" si="1"/>
        <v>1.24</v>
      </c>
      <c r="I551" s="13">
        <v>2.0</v>
      </c>
      <c r="J551" s="14">
        <f t="shared" si="2"/>
        <v>2.48</v>
      </c>
      <c r="K551" s="15" t="str">
        <f t="shared" si="3"/>
        <v>Baja</v>
      </c>
    </row>
    <row r="552" ht="14.25" customHeight="1">
      <c r="A552" s="6" t="s">
        <v>1112</v>
      </c>
      <c r="B552" s="9" t="s">
        <v>1233</v>
      </c>
      <c r="C552" s="10">
        <v>1.0</v>
      </c>
      <c r="D552" s="10">
        <v>1.0</v>
      </c>
      <c r="E552" s="10">
        <v>2.0</v>
      </c>
      <c r="F552" s="10">
        <v>1.0</v>
      </c>
      <c r="G552" s="10">
        <v>1.0</v>
      </c>
      <c r="H552" s="12">
        <f t="shared" si="1"/>
        <v>1.24</v>
      </c>
      <c r="I552" s="13">
        <v>3.0</v>
      </c>
      <c r="J552" s="14">
        <f t="shared" si="2"/>
        <v>3.72</v>
      </c>
      <c r="K552" s="15" t="str">
        <f t="shared" si="3"/>
        <v>Baja</v>
      </c>
    </row>
    <row r="553" ht="14.25" customHeight="1">
      <c r="A553" s="6" t="s">
        <v>1118</v>
      </c>
      <c r="B553" s="27" t="s">
        <v>1191</v>
      </c>
      <c r="C553" s="10">
        <v>1.0</v>
      </c>
      <c r="D553" s="10">
        <v>2.0</v>
      </c>
      <c r="E553" s="10">
        <v>2.0</v>
      </c>
      <c r="F553" s="10">
        <v>1.0</v>
      </c>
      <c r="G553" s="10">
        <v>1.0</v>
      </c>
      <c r="H553" s="12">
        <f t="shared" si="1"/>
        <v>1.42</v>
      </c>
      <c r="I553" s="13">
        <v>3.0</v>
      </c>
      <c r="J553" s="14">
        <f t="shared" si="2"/>
        <v>4.26</v>
      </c>
      <c r="K553" s="15" t="str">
        <f t="shared" si="3"/>
        <v>Media</v>
      </c>
    </row>
    <row r="554" ht="14.25" customHeight="1">
      <c r="A554" s="6" t="s">
        <v>1118</v>
      </c>
      <c r="B554" s="27" t="s">
        <v>1204</v>
      </c>
      <c r="C554" s="10">
        <v>1.0</v>
      </c>
      <c r="D554" s="10">
        <v>2.0</v>
      </c>
      <c r="E554" s="10">
        <v>2.0</v>
      </c>
      <c r="F554" s="10">
        <v>1.0</v>
      </c>
      <c r="G554" s="10">
        <v>1.0</v>
      </c>
      <c r="H554" s="12">
        <f t="shared" si="1"/>
        <v>1.42</v>
      </c>
      <c r="I554" s="13">
        <v>1.0</v>
      </c>
      <c r="J554" s="14">
        <f t="shared" si="2"/>
        <v>1.42</v>
      </c>
      <c r="K554" s="15" t="str">
        <f t="shared" si="3"/>
        <v>Baja</v>
      </c>
    </row>
    <row r="555" ht="14.25" customHeight="1">
      <c r="A555" s="6" t="s">
        <v>1118</v>
      </c>
      <c r="B555" s="27" t="s">
        <v>1228</v>
      </c>
      <c r="C555" s="10">
        <v>1.0</v>
      </c>
      <c r="D555" s="10">
        <v>1.0</v>
      </c>
      <c r="E555" s="10">
        <v>2.0</v>
      </c>
      <c r="F555" s="10">
        <v>1.0</v>
      </c>
      <c r="G555" s="10">
        <v>1.0</v>
      </c>
      <c r="H555" s="12">
        <f t="shared" si="1"/>
        <v>1.24</v>
      </c>
      <c r="I555" s="13">
        <v>2.0</v>
      </c>
      <c r="J555" s="14">
        <f t="shared" si="2"/>
        <v>2.48</v>
      </c>
      <c r="K555" s="15" t="str">
        <f t="shared" si="3"/>
        <v>Baja</v>
      </c>
    </row>
    <row r="556" ht="14.25" customHeight="1">
      <c r="A556" s="6" t="s">
        <v>1122</v>
      </c>
      <c r="B556" s="9" t="s">
        <v>2243</v>
      </c>
      <c r="C556" s="10">
        <v>4.0</v>
      </c>
      <c r="D556" s="10">
        <v>1.0</v>
      </c>
      <c r="E556" s="10">
        <v>3.0</v>
      </c>
      <c r="F556" s="10">
        <v>1.0</v>
      </c>
      <c r="G556" s="10">
        <v>1.0</v>
      </c>
      <c r="H556" s="12">
        <f t="shared" si="1"/>
        <v>2.632</v>
      </c>
      <c r="I556" s="13">
        <v>1.0</v>
      </c>
      <c r="J556" s="14">
        <f t="shared" si="2"/>
        <v>2.632</v>
      </c>
      <c r="K556" s="15" t="str">
        <f t="shared" si="3"/>
        <v>Baja</v>
      </c>
    </row>
    <row r="557" ht="14.25" customHeight="1">
      <c r="A557" s="6" t="s">
        <v>1122</v>
      </c>
      <c r="B557" s="9" t="s">
        <v>2249</v>
      </c>
      <c r="C557" s="10">
        <v>4.0</v>
      </c>
      <c r="D557" s="10">
        <v>1.0</v>
      </c>
      <c r="E557" s="10">
        <v>2.0</v>
      </c>
      <c r="F557" s="10">
        <v>2.0</v>
      </c>
      <c r="G557" s="10">
        <v>1.0</v>
      </c>
      <c r="H557" s="12">
        <f t="shared" si="1"/>
        <v>2.488</v>
      </c>
      <c r="I557" s="13">
        <v>3.0</v>
      </c>
      <c r="J557" s="14">
        <f t="shared" si="2"/>
        <v>7.464</v>
      </c>
      <c r="K557" s="15" t="str">
        <f t="shared" si="3"/>
        <v>Media</v>
      </c>
    </row>
    <row r="558" ht="14.25" customHeight="1">
      <c r="A558" s="6" t="s">
        <v>1122</v>
      </c>
      <c r="B558" s="9" t="s">
        <v>2258</v>
      </c>
      <c r="C558" s="10">
        <v>3.0</v>
      </c>
      <c r="D558" s="10">
        <v>1.0</v>
      </c>
      <c r="E558" s="10">
        <v>3.0</v>
      </c>
      <c r="F558" s="10">
        <v>2.0</v>
      </c>
      <c r="G558" s="10">
        <v>1.0</v>
      </c>
      <c r="H558" s="12">
        <f t="shared" si="1"/>
        <v>2.344</v>
      </c>
      <c r="I558" s="13">
        <v>2.0</v>
      </c>
      <c r="J558" s="14">
        <f t="shared" si="2"/>
        <v>4.688</v>
      </c>
      <c r="K558" s="15" t="str">
        <f t="shared" si="3"/>
        <v>Media</v>
      </c>
    </row>
    <row r="559" ht="14.25" customHeight="1">
      <c r="A559" s="6" t="s">
        <v>1129</v>
      </c>
      <c r="B559" s="27" t="s">
        <v>3317</v>
      </c>
      <c r="C559" s="10">
        <v>4.0</v>
      </c>
      <c r="D559" s="10">
        <v>1.0</v>
      </c>
      <c r="E559" s="10">
        <v>3.0</v>
      </c>
      <c r="F559" s="10">
        <v>3.0</v>
      </c>
      <c r="G559" s="10">
        <v>1.0</v>
      </c>
      <c r="H559" s="12">
        <f t="shared" si="1"/>
        <v>2.824</v>
      </c>
      <c r="I559" s="13">
        <v>3.0</v>
      </c>
      <c r="J559" s="14">
        <f t="shared" si="2"/>
        <v>8.472</v>
      </c>
      <c r="K559" s="15" t="str">
        <f t="shared" si="3"/>
        <v>Media</v>
      </c>
    </row>
    <row r="560" ht="14.25" customHeight="1">
      <c r="A560" s="6" t="s">
        <v>1129</v>
      </c>
      <c r="B560" s="27" t="s">
        <v>948</v>
      </c>
      <c r="C560" s="10">
        <v>1.0</v>
      </c>
      <c r="D560" s="10">
        <v>1.0</v>
      </c>
      <c r="E560" s="10">
        <v>2.0</v>
      </c>
      <c r="F560" s="10">
        <v>1.0</v>
      </c>
      <c r="G560" s="10">
        <v>1.0</v>
      </c>
      <c r="H560" s="12">
        <f t="shared" si="1"/>
        <v>1.24</v>
      </c>
      <c r="I560" s="13">
        <v>3.0</v>
      </c>
      <c r="J560" s="14">
        <f t="shared" si="2"/>
        <v>3.72</v>
      </c>
      <c r="K560" s="15" t="str">
        <f t="shared" si="3"/>
        <v>Baja</v>
      </c>
    </row>
    <row r="561" ht="14.25" customHeight="1">
      <c r="A561" s="6" t="s">
        <v>1129</v>
      </c>
      <c r="B561" s="27" t="s">
        <v>3320</v>
      </c>
      <c r="C561" s="10">
        <v>1.0</v>
      </c>
      <c r="D561" s="10">
        <v>1.0</v>
      </c>
      <c r="E561" s="10">
        <v>3.0</v>
      </c>
      <c r="F561" s="10">
        <v>2.0</v>
      </c>
      <c r="G561" s="10">
        <v>1.0</v>
      </c>
      <c r="H561" s="12">
        <f t="shared" si="1"/>
        <v>1.576</v>
      </c>
      <c r="I561" s="13">
        <v>2.0</v>
      </c>
      <c r="J561" s="14">
        <f t="shared" si="2"/>
        <v>3.152</v>
      </c>
      <c r="K561" s="15" t="str">
        <f t="shared" si="3"/>
        <v>Baja</v>
      </c>
    </row>
    <row r="562" ht="14.25" customHeight="1">
      <c r="A562" s="6" t="s">
        <v>1129</v>
      </c>
      <c r="B562" s="27" t="s">
        <v>3321</v>
      </c>
      <c r="C562" s="10">
        <v>3.0</v>
      </c>
      <c r="D562" s="10">
        <v>1.0</v>
      </c>
      <c r="E562" s="10">
        <v>3.0</v>
      </c>
      <c r="F562" s="10">
        <v>1.0</v>
      </c>
      <c r="G562" s="10">
        <v>1.0</v>
      </c>
      <c r="H562" s="12">
        <f t="shared" si="1"/>
        <v>2.248</v>
      </c>
      <c r="I562" s="13">
        <v>2.0</v>
      </c>
      <c r="J562" s="14">
        <f t="shared" si="2"/>
        <v>4.496</v>
      </c>
      <c r="K562" s="15" t="str">
        <f t="shared" si="3"/>
        <v>Media</v>
      </c>
    </row>
    <row r="563" ht="14.25" customHeight="1">
      <c r="A563" s="6" t="s">
        <v>1140</v>
      </c>
      <c r="B563" s="9" t="s">
        <v>1246</v>
      </c>
      <c r="C563" s="10">
        <v>3.0</v>
      </c>
      <c r="D563" s="10">
        <v>2.0</v>
      </c>
      <c r="E563" s="10">
        <v>3.0</v>
      </c>
      <c r="F563" s="10">
        <v>1.0</v>
      </c>
      <c r="G563" s="10">
        <v>1.0</v>
      </c>
      <c r="H563" s="12">
        <f t="shared" si="1"/>
        <v>2.428</v>
      </c>
      <c r="I563" s="13">
        <v>3.0</v>
      </c>
      <c r="J563" s="14">
        <f t="shared" si="2"/>
        <v>7.284</v>
      </c>
      <c r="K563" s="15" t="str">
        <f t="shared" si="3"/>
        <v>Media</v>
      </c>
    </row>
    <row r="564" ht="14.25" customHeight="1">
      <c r="A564" s="6" t="s">
        <v>1140</v>
      </c>
      <c r="B564" s="9" t="s">
        <v>1248</v>
      </c>
      <c r="C564" s="10">
        <v>3.0</v>
      </c>
      <c r="D564" s="10">
        <v>2.0</v>
      </c>
      <c r="E564" s="10">
        <v>2.0</v>
      </c>
      <c r="F564" s="10">
        <v>2.0</v>
      </c>
      <c r="G564" s="10">
        <v>1.0</v>
      </c>
      <c r="H564" s="12">
        <f t="shared" si="1"/>
        <v>2.284</v>
      </c>
      <c r="I564" s="13">
        <v>2.0</v>
      </c>
      <c r="J564" s="14">
        <f t="shared" si="2"/>
        <v>4.568</v>
      </c>
      <c r="K564" s="15" t="str">
        <f t="shared" si="3"/>
        <v>Media</v>
      </c>
    </row>
    <row r="565" ht="14.25" customHeight="1">
      <c r="A565" s="6" t="s">
        <v>1140</v>
      </c>
      <c r="B565" s="9" t="s">
        <v>1255</v>
      </c>
      <c r="C565" s="10">
        <v>2.0</v>
      </c>
      <c r="D565" s="10">
        <v>1.0</v>
      </c>
      <c r="E565" s="10">
        <v>2.0</v>
      </c>
      <c r="F565" s="10">
        <v>1.0</v>
      </c>
      <c r="G565" s="10">
        <v>1.0</v>
      </c>
      <c r="H565" s="12">
        <f t="shared" si="1"/>
        <v>1.624</v>
      </c>
      <c r="I565" s="13">
        <v>2.0</v>
      </c>
      <c r="J565" s="14">
        <f t="shared" si="2"/>
        <v>3.248</v>
      </c>
      <c r="K565" s="15" t="str">
        <f t="shared" si="3"/>
        <v>Baja</v>
      </c>
    </row>
    <row r="566" ht="14.25" customHeight="1">
      <c r="A566" s="6" t="s">
        <v>1140</v>
      </c>
      <c r="B566" s="9" t="s">
        <v>1259</v>
      </c>
      <c r="C566" s="10">
        <v>2.0</v>
      </c>
      <c r="D566" s="10">
        <v>1.0</v>
      </c>
      <c r="E566" s="10">
        <v>2.0</v>
      </c>
      <c r="F566" s="10">
        <v>2.0</v>
      </c>
      <c r="G566" s="10">
        <v>1.0</v>
      </c>
      <c r="H566" s="12">
        <f t="shared" si="1"/>
        <v>1.72</v>
      </c>
      <c r="I566" s="13">
        <v>2.0</v>
      </c>
      <c r="J566" s="14">
        <f t="shared" si="2"/>
        <v>3.44</v>
      </c>
      <c r="K566" s="15" t="str">
        <f t="shared" si="3"/>
        <v>Baja</v>
      </c>
    </row>
    <row r="567" ht="14.25" customHeight="1">
      <c r="A567" s="6" t="s">
        <v>1140</v>
      </c>
      <c r="B567" s="9" t="s">
        <v>1265</v>
      </c>
      <c r="C567" s="10">
        <v>2.0</v>
      </c>
      <c r="D567" s="10">
        <v>1.0</v>
      </c>
      <c r="E567" s="10">
        <v>2.0</v>
      </c>
      <c r="F567" s="10">
        <v>1.0</v>
      </c>
      <c r="G567" s="10">
        <v>1.0</v>
      </c>
      <c r="H567" s="12">
        <f t="shared" si="1"/>
        <v>1.624</v>
      </c>
      <c r="I567" s="13">
        <v>3.0</v>
      </c>
      <c r="J567" s="14">
        <f t="shared" si="2"/>
        <v>4.872</v>
      </c>
      <c r="K567" s="15" t="str">
        <f t="shared" si="3"/>
        <v>Media</v>
      </c>
    </row>
    <row r="568" ht="14.25" customHeight="1">
      <c r="A568" s="6" t="s">
        <v>1140</v>
      </c>
      <c r="B568" s="9" t="s">
        <v>1275</v>
      </c>
      <c r="C568" s="10">
        <v>2.0</v>
      </c>
      <c r="D568" s="10">
        <v>1.0</v>
      </c>
      <c r="E568" s="10">
        <v>2.0</v>
      </c>
      <c r="F568" s="10">
        <v>1.0</v>
      </c>
      <c r="G568" s="10">
        <v>1.0</v>
      </c>
      <c r="H568" s="12">
        <f t="shared" si="1"/>
        <v>1.624</v>
      </c>
      <c r="I568" s="13">
        <v>2.0</v>
      </c>
      <c r="J568" s="14">
        <f t="shared" si="2"/>
        <v>3.248</v>
      </c>
      <c r="K568" s="15" t="str">
        <f t="shared" si="3"/>
        <v>Baja</v>
      </c>
    </row>
    <row r="569" ht="14.25" customHeight="1">
      <c r="A569" s="6" t="s">
        <v>1150</v>
      </c>
      <c r="B569" s="27" t="s">
        <v>3327</v>
      </c>
      <c r="C569" s="10">
        <v>3.0</v>
      </c>
      <c r="D569" s="10">
        <v>1.0</v>
      </c>
      <c r="E569" s="10">
        <v>3.0</v>
      </c>
      <c r="F569" s="10">
        <v>1.0</v>
      </c>
      <c r="G569" s="10">
        <v>1.0</v>
      </c>
      <c r="H569" s="12">
        <f t="shared" si="1"/>
        <v>2.248</v>
      </c>
      <c r="I569" s="13">
        <v>1.0</v>
      </c>
      <c r="J569" s="14">
        <f t="shared" si="2"/>
        <v>2.248</v>
      </c>
      <c r="K569" s="15" t="str">
        <f t="shared" si="3"/>
        <v>Baja</v>
      </c>
    </row>
    <row r="570" ht="14.25" customHeight="1">
      <c r="A570" s="6" t="s">
        <v>1150</v>
      </c>
      <c r="B570" s="27" t="s">
        <v>3328</v>
      </c>
      <c r="C570" s="10">
        <v>3.0</v>
      </c>
      <c r="D570" s="10">
        <v>1.0</v>
      </c>
      <c r="E570" s="10">
        <v>3.0</v>
      </c>
      <c r="F570" s="10">
        <v>2.0</v>
      </c>
      <c r="G570" s="10">
        <v>1.0</v>
      </c>
      <c r="H570" s="12">
        <f t="shared" si="1"/>
        <v>2.344</v>
      </c>
      <c r="I570" s="13">
        <v>2.0</v>
      </c>
      <c r="J570" s="14">
        <f t="shared" si="2"/>
        <v>4.688</v>
      </c>
      <c r="K570" s="15" t="str">
        <f t="shared" si="3"/>
        <v>Media</v>
      </c>
    </row>
    <row r="571" ht="14.25" customHeight="1">
      <c r="A571" s="6" t="s">
        <v>1150</v>
      </c>
      <c r="B571" s="27" t="s">
        <v>590</v>
      </c>
      <c r="C571" s="10">
        <v>2.0</v>
      </c>
      <c r="D571" s="10">
        <v>1.0</v>
      </c>
      <c r="E571" s="10">
        <v>3.0</v>
      </c>
      <c r="F571" s="10">
        <v>1.0</v>
      </c>
      <c r="G571" s="10">
        <v>1.0</v>
      </c>
      <c r="H571" s="12">
        <f t="shared" si="1"/>
        <v>1.864</v>
      </c>
      <c r="I571" s="13">
        <v>2.0</v>
      </c>
      <c r="J571" s="14">
        <f t="shared" si="2"/>
        <v>3.728</v>
      </c>
      <c r="K571" s="15" t="str">
        <f t="shared" si="3"/>
        <v>Baja</v>
      </c>
    </row>
    <row r="572" ht="14.25" customHeight="1">
      <c r="A572" s="6" t="s">
        <v>1164</v>
      </c>
      <c r="B572" s="9" t="s">
        <v>3331</v>
      </c>
      <c r="C572" s="10">
        <v>3.0</v>
      </c>
      <c r="D572" s="10">
        <v>2.0</v>
      </c>
      <c r="E572" s="10">
        <v>3.0</v>
      </c>
      <c r="F572" s="10">
        <v>1.0</v>
      </c>
      <c r="G572" s="10">
        <v>1.0</v>
      </c>
      <c r="H572" s="12">
        <f t="shared" si="1"/>
        <v>2.428</v>
      </c>
      <c r="I572" s="13">
        <v>3.0</v>
      </c>
      <c r="J572" s="14">
        <f t="shared" si="2"/>
        <v>7.284</v>
      </c>
      <c r="K572" s="15" t="str">
        <f t="shared" si="3"/>
        <v>Media</v>
      </c>
    </row>
    <row r="573" ht="14.25" customHeight="1">
      <c r="A573" s="6" t="s">
        <v>1164</v>
      </c>
      <c r="B573" s="9" t="s">
        <v>3332</v>
      </c>
      <c r="C573" s="10">
        <v>3.0</v>
      </c>
      <c r="D573" s="10">
        <v>2.0</v>
      </c>
      <c r="E573" s="10">
        <v>2.0</v>
      </c>
      <c r="F573" s="10">
        <v>1.0</v>
      </c>
      <c r="G573" s="10">
        <v>1.0</v>
      </c>
      <c r="H573" s="12">
        <f t="shared" si="1"/>
        <v>2.188</v>
      </c>
      <c r="I573" s="13">
        <v>3.0</v>
      </c>
      <c r="J573" s="14">
        <f t="shared" si="2"/>
        <v>6.564</v>
      </c>
      <c r="K573" s="15" t="str">
        <f t="shared" si="3"/>
        <v>Media</v>
      </c>
    </row>
    <row r="574" ht="14.25" customHeight="1">
      <c r="A574" s="6" t="s">
        <v>1164</v>
      </c>
      <c r="B574" s="9" t="s">
        <v>3333</v>
      </c>
      <c r="C574" s="10">
        <v>2.0</v>
      </c>
      <c r="D574" s="10">
        <v>1.0</v>
      </c>
      <c r="E574" s="10">
        <v>2.0</v>
      </c>
      <c r="F574" s="10">
        <v>1.0</v>
      </c>
      <c r="G574" s="10">
        <v>1.0</v>
      </c>
      <c r="H574" s="12">
        <f t="shared" si="1"/>
        <v>1.624</v>
      </c>
      <c r="I574" s="13">
        <v>2.0</v>
      </c>
      <c r="J574" s="14">
        <f t="shared" si="2"/>
        <v>3.248</v>
      </c>
      <c r="K574" s="15" t="str">
        <f t="shared" si="3"/>
        <v>Baja</v>
      </c>
    </row>
    <row r="575" ht="14.25" customHeight="1">
      <c r="A575" s="6" t="s">
        <v>1164</v>
      </c>
      <c r="B575" s="9" t="s">
        <v>1259</v>
      </c>
      <c r="C575" s="10">
        <v>2.0</v>
      </c>
      <c r="D575" s="10">
        <v>1.0</v>
      </c>
      <c r="E575" s="10">
        <v>2.0</v>
      </c>
      <c r="F575" s="10">
        <v>2.0</v>
      </c>
      <c r="G575" s="10">
        <v>1.0</v>
      </c>
      <c r="H575" s="12">
        <f t="shared" si="1"/>
        <v>1.72</v>
      </c>
      <c r="I575" s="13">
        <v>2.0</v>
      </c>
      <c r="J575" s="14">
        <f t="shared" si="2"/>
        <v>3.44</v>
      </c>
      <c r="K575" s="15" t="str">
        <f t="shared" si="3"/>
        <v>Baja</v>
      </c>
    </row>
    <row r="576" ht="14.25" customHeight="1">
      <c r="A576" s="6" t="s">
        <v>1164</v>
      </c>
      <c r="B576" s="9" t="s">
        <v>3337</v>
      </c>
      <c r="C576" s="10">
        <v>2.0</v>
      </c>
      <c r="D576" s="10">
        <v>1.0</v>
      </c>
      <c r="E576" s="10">
        <v>2.0</v>
      </c>
      <c r="F576" s="10">
        <v>1.0</v>
      </c>
      <c r="G576" s="10">
        <v>1.0</v>
      </c>
      <c r="H576" s="12">
        <f t="shared" si="1"/>
        <v>1.624</v>
      </c>
      <c r="I576" s="13">
        <v>3.0</v>
      </c>
      <c r="J576" s="14">
        <f t="shared" si="2"/>
        <v>4.872</v>
      </c>
      <c r="K576" s="15" t="str">
        <f t="shared" si="3"/>
        <v>Media</v>
      </c>
    </row>
    <row r="577" ht="14.25" customHeight="1">
      <c r="A577" s="6" t="s">
        <v>1179</v>
      </c>
      <c r="B577" s="27" t="s">
        <v>3338</v>
      </c>
      <c r="C577" s="10">
        <v>3.0</v>
      </c>
      <c r="D577" s="10">
        <v>2.0</v>
      </c>
      <c r="E577" s="10">
        <v>3.0</v>
      </c>
      <c r="F577" s="10">
        <v>2.0</v>
      </c>
      <c r="G577" s="10">
        <v>1.0</v>
      </c>
      <c r="H577" s="12">
        <f t="shared" si="1"/>
        <v>2.524</v>
      </c>
      <c r="I577" s="13">
        <v>3.0</v>
      </c>
      <c r="J577" s="14">
        <f t="shared" si="2"/>
        <v>7.572</v>
      </c>
      <c r="K577" s="15" t="str">
        <f t="shared" si="3"/>
        <v>Media</v>
      </c>
    </row>
    <row r="578" ht="14.25" customHeight="1">
      <c r="A578" s="6" t="s">
        <v>1179</v>
      </c>
      <c r="B578" s="27" t="s">
        <v>3339</v>
      </c>
      <c r="C578" s="10">
        <v>3.0</v>
      </c>
      <c r="D578" s="10">
        <v>2.0</v>
      </c>
      <c r="E578" s="10">
        <v>2.0</v>
      </c>
      <c r="F578" s="10">
        <v>1.0</v>
      </c>
      <c r="G578" s="10">
        <v>1.0</v>
      </c>
      <c r="H578" s="12">
        <f t="shared" si="1"/>
        <v>2.188</v>
      </c>
      <c r="I578" s="13">
        <v>2.0</v>
      </c>
      <c r="J578" s="14">
        <f t="shared" si="2"/>
        <v>4.376</v>
      </c>
      <c r="K578" s="15" t="str">
        <f t="shared" si="3"/>
        <v>Media</v>
      </c>
    </row>
    <row r="579" ht="14.25" customHeight="1">
      <c r="A579" s="6" t="s">
        <v>1179</v>
      </c>
      <c r="B579" s="27" t="s">
        <v>3342</v>
      </c>
      <c r="C579" s="10">
        <v>2.0</v>
      </c>
      <c r="D579" s="10">
        <v>1.0</v>
      </c>
      <c r="E579" s="10">
        <v>2.0</v>
      </c>
      <c r="F579" s="10">
        <v>1.0</v>
      </c>
      <c r="G579" s="10">
        <v>1.0</v>
      </c>
      <c r="H579" s="12">
        <f t="shared" si="1"/>
        <v>1.624</v>
      </c>
      <c r="I579" s="13">
        <v>2.0</v>
      </c>
      <c r="J579" s="14">
        <f t="shared" si="2"/>
        <v>3.248</v>
      </c>
      <c r="K579" s="15" t="str">
        <f t="shared" si="3"/>
        <v>Baja</v>
      </c>
    </row>
    <row r="580" ht="14.25" customHeight="1">
      <c r="A580" s="6" t="s">
        <v>1179</v>
      </c>
      <c r="B580" s="27" t="s">
        <v>3343</v>
      </c>
      <c r="C580" s="10">
        <v>2.0</v>
      </c>
      <c r="D580" s="10">
        <v>1.0</v>
      </c>
      <c r="E580" s="10">
        <v>2.0</v>
      </c>
      <c r="F580" s="10">
        <v>2.0</v>
      </c>
      <c r="G580" s="10">
        <v>1.0</v>
      </c>
      <c r="H580" s="12">
        <f t="shared" si="1"/>
        <v>1.72</v>
      </c>
      <c r="I580" s="13">
        <v>3.0</v>
      </c>
      <c r="J580" s="14">
        <f t="shared" si="2"/>
        <v>5.16</v>
      </c>
      <c r="K580" s="15" t="str">
        <f t="shared" si="3"/>
        <v>Media</v>
      </c>
    </row>
    <row r="581" ht="14.25" customHeight="1">
      <c r="A581" s="6" t="s">
        <v>1190</v>
      </c>
      <c r="B581" s="9" t="s">
        <v>1744</v>
      </c>
      <c r="C581" s="10">
        <v>3.0</v>
      </c>
      <c r="D581" s="10">
        <v>2.0</v>
      </c>
      <c r="E581" s="10">
        <v>3.0</v>
      </c>
      <c r="F581" s="10">
        <v>1.0</v>
      </c>
      <c r="G581" s="10">
        <v>1.0</v>
      </c>
      <c r="H581" s="12">
        <f t="shared" si="1"/>
        <v>2.428</v>
      </c>
      <c r="I581" s="13">
        <v>1.0</v>
      </c>
      <c r="J581" s="14">
        <f t="shared" si="2"/>
        <v>2.428</v>
      </c>
      <c r="K581" s="15" t="str">
        <f t="shared" si="3"/>
        <v>Baja</v>
      </c>
    </row>
    <row r="582" ht="14.25" customHeight="1">
      <c r="A582" s="6" t="s">
        <v>1190</v>
      </c>
      <c r="B582" s="9" t="s">
        <v>1749</v>
      </c>
      <c r="C582" s="10">
        <v>1.0</v>
      </c>
      <c r="D582" s="10">
        <v>1.0</v>
      </c>
      <c r="E582" s="10">
        <v>2.0</v>
      </c>
      <c r="F582" s="10">
        <v>1.0</v>
      </c>
      <c r="G582" s="10">
        <v>1.0</v>
      </c>
      <c r="H582" s="12">
        <f t="shared" si="1"/>
        <v>1.24</v>
      </c>
      <c r="I582" s="13">
        <v>2.0</v>
      </c>
      <c r="J582" s="14">
        <f t="shared" si="2"/>
        <v>2.48</v>
      </c>
      <c r="K582" s="15" t="str">
        <f t="shared" si="3"/>
        <v>Baja</v>
      </c>
    </row>
    <row r="583" ht="14.25" customHeight="1">
      <c r="A583" s="6" t="s">
        <v>1190</v>
      </c>
      <c r="B583" s="9" t="s">
        <v>1751</v>
      </c>
      <c r="C583" s="10">
        <v>2.0</v>
      </c>
      <c r="D583" s="10">
        <v>1.0</v>
      </c>
      <c r="E583" s="10">
        <v>3.0</v>
      </c>
      <c r="F583" s="10">
        <v>1.0</v>
      </c>
      <c r="G583" s="10">
        <v>1.0</v>
      </c>
      <c r="H583" s="12">
        <f t="shared" si="1"/>
        <v>1.864</v>
      </c>
      <c r="I583" s="13">
        <v>2.0</v>
      </c>
      <c r="J583" s="14">
        <f t="shared" si="2"/>
        <v>3.728</v>
      </c>
      <c r="K583" s="15" t="str">
        <f t="shared" si="3"/>
        <v>Baja</v>
      </c>
    </row>
    <row r="584" ht="14.25" customHeight="1">
      <c r="A584" s="6" t="s">
        <v>1190</v>
      </c>
      <c r="B584" s="9" t="s">
        <v>1753</v>
      </c>
      <c r="C584" s="10">
        <v>2.0</v>
      </c>
      <c r="D584" s="10">
        <v>1.0</v>
      </c>
      <c r="E584" s="10">
        <v>2.0</v>
      </c>
      <c r="F584" s="10">
        <v>1.0</v>
      </c>
      <c r="G584" s="10">
        <v>1.0</v>
      </c>
      <c r="H584" s="12">
        <f t="shared" si="1"/>
        <v>1.624</v>
      </c>
      <c r="I584" s="13">
        <v>2.0</v>
      </c>
      <c r="J584" s="14">
        <f t="shared" si="2"/>
        <v>3.248</v>
      </c>
      <c r="K584" s="15" t="str">
        <f t="shared" si="3"/>
        <v>Baja</v>
      </c>
    </row>
    <row r="585" ht="14.25" customHeight="1">
      <c r="A585" s="6" t="s">
        <v>1190</v>
      </c>
      <c r="B585" s="9" t="s">
        <v>1755</v>
      </c>
      <c r="C585" s="10">
        <v>2.0</v>
      </c>
      <c r="D585" s="10">
        <v>1.0</v>
      </c>
      <c r="E585" s="10">
        <v>2.0</v>
      </c>
      <c r="F585" s="10">
        <v>1.0</v>
      </c>
      <c r="G585" s="10">
        <v>1.0</v>
      </c>
      <c r="H585" s="12">
        <f t="shared" si="1"/>
        <v>1.624</v>
      </c>
      <c r="I585" s="13">
        <v>3.0</v>
      </c>
      <c r="J585" s="14">
        <f t="shared" si="2"/>
        <v>4.872</v>
      </c>
      <c r="K585" s="15" t="str">
        <f t="shared" si="3"/>
        <v>Media</v>
      </c>
    </row>
    <row r="586" ht="14.25" customHeight="1">
      <c r="A586" s="6" t="s">
        <v>1198</v>
      </c>
      <c r="B586" s="27" t="s">
        <v>1339</v>
      </c>
      <c r="C586" s="10">
        <v>1.0</v>
      </c>
      <c r="D586" s="10">
        <v>1.0</v>
      </c>
      <c r="E586" s="10">
        <v>3.0</v>
      </c>
      <c r="F586" s="10">
        <v>2.0</v>
      </c>
      <c r="G586" s="10">
        <v>1.0</v>
      </c>
      <c r="H586" s="12">
        <f t="shared" si="1"/>
        <v>1.576</v>
      </c>
      <c r="I586" s="13">
        <v>3.0</v>
      </c>
      <c r="J586" s="14">
        <f t="shared" si="2"/>
        <v>4.728</v>
      </c>
      <c r="K586" s="15" t="str">
        <f t="shared" si="3"/>
        <v>Media</v>
      </c>
    </row>
    <row r="587" ht="14.25" customHeight="1">
      <c r="A587" s="6" t="s">
        <v>1198</v>
      </c>
      <c r="B587" s="27" t="s">
        <v>1786</v>
      </c>
      <c r="C587" s="10">
        <v>1.0</v>
      </c>
      <c r="D587" s="10">
        <v>1.0</v>
      </c>
      <c r="E587" s="10">
        <v>2.0</v>
      </c>
      <c r="F587" s="10">
        <v>1.0</v>
      </c>
      <c r="G587" s="10">
        <v>1.0</v>
      </c>
      <c r="H587" s="12">
        <f t="shared" si="1"/>
        <v>1.24</v>
      </c>
      <c r="I587" s="13">
        <v>3.0</v>
      </c>
      <c r="J587" s="14">
        <f t="shared" si="2"/>
        <v>3.72</v>
      </c>
      <c r="K587" s="15" t="str">
        <f t="shared" si="3"/>
        <v>Baja</v>
      </c>
    </row>
    <row r="588" ht="14.25" customHeight="1">
      <c r="A588" s="6" t="s">
        <v>1198</v>
      </c>
      <c r="B588" s="27" t="s">
        <v>1350</v>
      </c>
      <c r="C588" s="10">
        <v>1.0</v>
      </c>
      <c r="D588" s="10">
        <v>1.0</v>
      </c>
      <c r="E588" s="10">
        <v>2.0</v>
      </c>
      <c r="F588" s="10">
        <v>1.0</v>
      </c>
      <c r="G588" s="10">
        <v>1.0</v>
      </c>
      <c r="H588" s="12">
        <f t="shared" si="1"/>
        <v>1.24</v>
      </c>
      <c r="I588" s="13">
        <v>3.0</v>
      </c>
      <c r="J588" s="14">
        <f t="shared" si="2"/>
        <v>3.72</v>
      </c>
      <c r="K588" s="15" t="str">
        <f t="shared" si="3"/>
        <v>Baja</v>
      </c>
    </row>
    <row r="589" ht="14.25" customHeight="1">
      <c r="A589" s="6" t="s">
        <v>1198</v>
      </c>
      <c r="B589" s="27" t="s">
        <v>1794</v>
      </c>
      <c r="C589" s="10">
        <v>1.0</v>
      </c>
      <c r="D589" s="10">
        <v>1.0</v>
      </c>
      <c r="E589" s="10">
        <v>3.0</v>
      </c>
      <c r="F589" s="10">
        <v>3.0</v>
      </c>
      <c r="G589" s="10">
        <v>1.0</v>
      </c>
      <c r="H589" s="12">
        <f t="shared" si="1"/>
        <v>1.672</v>
      </c>
      <c r="I589" s="13">
        <v>2.0</v>
      </c>
      <c r="J589" s="14">
        <f t="shared" si="2"/>
        <v>3.344</v>
      </c>
      <c r="K589" s="15" t="str">
        <f t="shared" si="3"/>
        <v>Baja</v>
      </c>
    </row>
    <row r="590" ht="14.25" customHeight="1">
      <c r="A590" s="6" t="s">
        <v>1198</v>
      </c>
      <c r="B590" s="27" t="s">
        <v>2376</v>
      </c>
      <c r="C590" s="10">
        <v>1.0</v>
      </c>
      <c r="D590" s="10">
        <v>1.0</v>
      </c>
      <c r="E590" s="10">
        <v>2.0</v>
      </c>
      <c r="F590" s="10">
        <v>1.0</v>
      </c>
      <c r="G590" s="10">
        <v>1.0</v>
      </c>
      <c r="H590" s="12">
        <f t="shared" si="1"/>
        <v>1.24</v>
      </c>
      <c r="I590" s="13">
        <v>3.0</v>
      </c>
      <c r="J590" s="14">
        <f t="shared" si="2"/>
        <v>3.72</v>
      </c>
      <c r="K590" s="15" t="str">
        <f t="shared" si="3"/>
        <v>Baja</v>
      </c>
    </row>
    <row r="591" ht="14.25" customHeight="1">
      <c r="A591" s="6" t="s">
        <v>1206</v>
      </c>
      <c r="B591" s="9" t="s">
        <v>3352</v>
      </c>
      <c r="C591" s="10">
        <v>1.0</v>
      </c>
      <c r="D591" s="10">
        <v>1.0</v>
      </c>
      <c r="E591" s="10">
        <v>3.0</v>
      </c>
      <c r="F591" s="10">
        <v>2.0</v>
      </c>
      <c r="G591" s="10">
        <v>1.0</v>
      </c>
      <c r="H591" s="12">
        <f t="shared" si="1"/>
        <v>1.576</v>
      </c>
      <c r="I591" s="13">
        <v>2.0</v>
      </c>
      <c r="J591" s="14">
        <f t="shared" si="2"/>
        <v>3.152</v>
      </c>
      <c r="K591" s="15" t="str">
        <f t="shared" si="3"/>
        <v>Baja</v>
      </c>
    </row>
    <row r="592" ht="14.25" customHeight="1">
      <c r="A592" s="6" t="s">
        <v>1206</v>
      </c>
      <c r="B592" s="9" t="s">
        <v>3353</v>
      </c>
      <c r="C592" s="10">
        <v>1.0</v>
      </c>
      <c r="D592" s="10">
        <v>1.0</v>
      </c>
      <c r="E592" s="10">
        <v>2.0</v>
      </c>
      <c r="F592" s="10">
        <v>1.0</v>
      </c>
      <c r="G592" s="10">
        <v>1.0</v>
      </c>
      <c r="H592" s="12">
        <f t="shared" si="1"/>
        <v>1.24</v>
      </c>
      <c r="I592" s="13">
        <v>2.0</v>
      </c>
      <c r="J592" s="14">
        <f t="shared" si="2"/>
        <v>2.48</v>
      </c>
      <c r="K592" s="15" t="str">
        <f t="shared" si="3"/>
        <v>Baja</v>
      </c>
    </row>
    <row r="593" ht="14.25" customHeight="1">
      <c r="A593" s="6" t="s">
        <v>1206</v>
      </c>
      <c r="B593" s="9" t="s">
        <v>3354</v>
      </c>
      <c r="C593" s="10">
        <v>1.0</v>
      </c>
      <c r="D593" s="10">
        <v>1.0</v>
      </c>
      <c r="E593" s="10">
        <v>2.0</v>
      </c>
      <c r="F593" s="10">
        <v>1.0</v>
      </c>
      <c r="G593" s="10">
        <v>1.0</v>
      </c>
      <c r="H593" s="12">
        <f t="shared" si="1"/>
        <v>1.24</v>
      </c>
      <c r="I593" s="13">
        <v>3.0</v>
      </c>
      <c r="J593" s="14">
        <f t="shared" si="2"/>
        <v>3.72</v>
      </c>
      <c r="K593" s="15" t="str">
        <f t="shared" si="3"/>
        <v>Baja</v>
      </c>
    </row>
    <row r="594" ht="14.25" customHeight="1">
      <c r="A594" s="6" t="s">
        <v>1206</v>
      </c>
      <c r="B594" s="9" t="s">
        <v>3355</v>
      </c>
      <c r="C594" s="10">
        <v>1.0</v>
      </c>
      <c r="D594" s="10">
        <v>1.0</v>
      </c>
      <c r="E594" s="10">
        <v>2.0</v>
      </c>
      <c r="F594" s="10">
        <v>1.0</v>
      </c>
      <c r="G594" s="10">
        <v>1.0</v>
      </c>
      <c r="H594" s="12">
        <f t="shared" si="1"/>
        <v>1.24</v>
      </c>
      <c r="I594" s="13">
        <v>3.0</v>
      </c>
      <c r="J594" s="14">
        <f t="shared" si="2"/>
        <v>3.72</v>
      </c>
      <c r="K594" s="15" t="str">
        <f t="shared" si="3"/>
        <v>Baja</v>
      </c>
    </row>
    <row r="595" ht="14.25" customHeight="1">
      <c r="A595" s="6" t="s">
        <v>1221</v>
      </c>
      <c r="B595" s="27" t="s">
        <v>3359</v>
      </c>
      <c r="C595" s="10">
        <v>3.0</v>
      </c>
      <c r="D595" s="10">
        <v>2.0</v>
      </c>
      <c r="E595" s="10">
        <v>3.0</v>
      </c>
      <c r="F595" s="10">
        <v>3.0</v>
      </c>
      <c r="G595" s="10">
        <v>1.0</v>
      </c>
      <c r="H595" s="12">
        <f t="shared" si="1"/>
        <v>2.62</v>
      </c>
      <c r="I595" s="13">
        <v>1.0</v>
      </c>
      <c r="J595" s="14">
        <f t="shared" si="2"/>
        <v>2.62</v>
      </c>
      <c r="K595" s="15" t="str">
        <f t="shared" si="3"/>
        <v>Baja</v>
      </c>
    </row>
    <row r="596" ht="14.25" customHeight="1">
      <c r="A596" s="6" t="s">
        <v>1221</v>
      </c>
      <c r="B596" s="27" t="s">
        <v>3360</v>
      </c>
      <c r="C596" s="10">
        <v>3.0</v>
      </c>
      <c r="D596" s="10">
        <v>2.0</v>
      </c>
      <c r="E596" s="10">
        <v>3.0</v>
      </c>
      <c r="F596" s="10">
        <v>2.0</v>
      </c>
      <c r="G596" s="10">
        <v>1.0</v>
      </c>
      <c r="H596" s="12">
        <f t="shared" si="1"/>
        <v>2.524</v>
      </c>
      <c r="I596" s="13">
        <v>2.0</v>
      </c>
      <c r="J596" s="14">
        <f t="shared" si="2"/>
        <v>5.048</v>
      </c>
      <c r="K596" s="15" t="str">
        <f t="shared" si="3"/>
        <v>Media</v>
      </c>
    </row>
    <row r="597" ht="14.25" customHeight="1">
      <c r="A597" s="6" t="s">
        <v>1221</v>
      </c>
      <c r="B597" s="27" t="s">
        <v>3361</v>
      </c>
      <c r="C597" s="10">
        <v>2.0</v>
      </c>
      <c r="D597" s="10">
        <v>1.0</v>
      </c>
      <c r="E597" s="10">
        <v>3.0</v>
      </c>
      <c r="F597" s="10">
        <v>2.0</v>
      </c>
      <c r="G597" s="10">
        <v>1.0</v>
      </c>
      <c r="H597" s="12">
        <f t="shared" si="1"/>
        <v>1.96</v>
      </c>
      <c r="I597" s="13">
        <v>1.0</v>
      </c>
      <c r="J597" s="14">
        <f t="shared" si="2"/>
        <v>1.96</v>
      </c>
      <c r="K597" s="15" t="str">
        <f t="shared" si="3"/>
        <v>Baja</v>
      </c>
    </row>
    <row r="598" ht="14.25" customHeight="1">
      <c r="A598" s="6" t="s">
        <v>1221</v>
      </c>
      <c r="B598" s="27" t="s">
        <v>3362</v>
      </c>
      <c r="C598" s="10">
        <v>2.0</v>
      </c>
      <c r="D598" s="10">
        <v>1.0</v>
      </c>
      <c r="E598" s="10">
        <v>2.0</v>
      </c>
      <c r="F598" s="10">
        <v>2.0</v>
      </c>
      <c r="G598" s="10">
        <v>1.0</v>
      </c>
      <c r="H598" s="12">
        <f t="shared" si="1"/>
        <v>1.72</v>
      </c>
      <c r="I598" s="13">
        <v>3.0</v>
      </c>
      <c r="J598" s="14">
        <f t="shared" si="2"/>
        <v>5.16</v>
      </c>
      <c r="K598" s="15" t="str">
        <f t="shared" si="3"/>
        <v>Media</v>
      </c>
    </row>
    <row r="599" ht="14.25" customHeight="1">
      <c r="A599" s="6" t="s">
        <v>1232</v>
      </c>
      <c r="B599" s="9" t="s">
        <v>999</v>
      </c>
      <c r="C599" s="10">
        <v>2.0</v>
      </c>
      <c r="D599" s="10">
        <v>2.0</v>
      </c>
      <c r="E599" s="10">
        <v>3.0</v>
      </c>
      <c r="F599" s="10">
        <v>3.0</v>
      </c>
      <c r="G599" s="10">
        <v>1.0</v>
      </c>
      <c r="H599" s="12">
        <f t="shared" si="1"/>
        <v>2.236</v>
      </c>
      <c r="I599" s="13">
        <v>2.0</v>
      </c>
      <c r="J599" s="14">
        <f t="shared" si="2"/>
        <v>4.472</v>
      </c>
      <c r="K599" s="15" t="str">
        <f t="shared" si="3"/>
        <v>Media</v>
      </c>
    </row>
    <row r="600" ht="14.25" customHeight="1">
      <c r="A600" s="6" t="s">
        <v>1232</v>
      </c>
      <c r="B600" s="9" t="s">
        <v>1005</v>
      </c>
      <c r="C600" s="10">
        <v>2.0</v>
      </c>
      <c r="D600" s="10">
        <v>2.0</v>
      </c>
      <c r="E600" s="10">
        <v>2.0</v>
      </c>
      <c r="F600" s="10">
        <v>3.0</v>
      </c>
      <c r="G600" s="10">
        <v>1.0</v>
      </c>
      <c r="H600" s="12">
        <f t="shared" si="1"/>
        <v>1.996</v>
      </c>
      <c r="I600" s="13">
        <v>1.0</v>
      </c>
      <c r="J600" s="14">
        <f t="shared" si="2"/>
        <v>1.996</v>
      </c>
      <c r="K600" s="15" t="str">
        <f t="shared" si="3"/>
        <v>Baja</v>
      </c>
    </row>
    <row r="601" ht="14.25" customHeight="1">
      <c r="A601" s="6" t="s">
        <v>1232</v>
      </c>
      <c r="B601" s="9" t="s">
        <v>1017</v>
      </c>
      <c r="C601" s="10">
        <v>2.0</v>
      </c>
      <c r="D601" s="10">
        <v>2.0</v>
      </c>
      <c r="E601" s="10">
        <v>3.0</v>
      </c>
      <c r="F601" s="10">
        <v>3.0</v>
      </c>
      <c r="G601" s="10">
        <v>1.0</v>
      </c>
      <c r="H601" s="12">
        <f t="shared" si="1"/>
        <v>2.236</v>
      </c>
      <c r="I601" s="13">
        <v>2.0</v>
      </c>
      <c r="J601" s="14">
        <f t="shared" si="2"/>
        <v>4.472</v>
      </c>
      <c r="K601" s="15" t="str">
        <f t="shared" si="3"/>
        <v>Media</v>
      </c>
    </row>
    <row r="602" ht="14.25" customHeight="1">
      <c r="A602" s="6" t="s">
        <v>1232</v>
      </c>
      <c r="B602" s="9" t="s">
        <v>727</v>
      </c>
      <c r="C602" s="10">
        <v>1.0</v>
      </c>
      <c r="D602" s="10">
        <v>1.0</v>
      </c>
      <c r="E602" s="10">
        <v>3.0</v>
      </c>
      <c r="F602" s="10">
        <v>3.0</v>
      </c>
      <c r="G602" s="10">
        <v>1.0</v>
      </c>
      <c r="H602" s="12">
        <f t="shared" si="1"/>
        <v>1.672</v>
      </c>
      <c r="I602" s="13">
        <v>2.0</v>
      </c>
      <c r="J602" s="14">
        <f t="shared" si="2"/>
        <v>3.344</v>
      </c>
      <c r="K602" s="15" t="str">
        <f t="shared" si="3"/>
        <v>Baja</v>
      </c>
    </row>
    <row r="603" ht="14.25" customHeight="1">
      <c r="A603" s="6" t="s">
        <v>1232</v>
      </c>
      <c r="B603" s="9" t="s">
        <v>1036</v>
      </c>
      <c r="C603" s="10">
        <v>1.0</v>
      </c>
      <c r="D603" s="10">
        <v>1.0</v>
      </c>
      <c r="E603" s="10">
        <v>3.0</v>
      </c>
      <c r="F603" s="10">
        <v>1.0</v>
      </c>
      <c r="G603" s="10">
        <v>1.0</v>
      </c>
      <c r="H603" s="12">
        <f t="shared" si="1"/>
        <v>1.48</v>
      </c>
      <c r="I603" s="13">
        <v>2.0</v>
      </c>
      <c r="J603" s="14">
        <f t="shared" si="2"/>
        <v>2.96</v>
      </c>
      <c r="K603" s="15" t="str">
        <f t="shared" si="3"/>
        <v>Baja</v>
      </c>
    </row>
    <row r="604" ht="14.25" customHeight="1">
      <c r="A604" s="6" t="s">
        <v>1232</v>
      </c>
      <c r="B604" s="9" t="s">
        <v>1421</v>
      </c>
      <c r="C604" s="10">
        <v>1.0</v>
      </c>
      <c r="D604" s="10">
        <v>1.0</v>
      </c>
      <c r="E604" s="10">
        <v>2.0</v>
      </c>
      <c r="F604" s="10">
        <v>1.0</v>
      </c>
      <c r="G604" s="10">
        <v>1.0</v>
      </c>
      <c r="H604" s="12">
        <f t="shared" si="1"/>
        <v>1.24</v>
      </c>
      <c r="I604" s="13">
        <v>2.0</v>
      </c>
      <c r="J604" s="14">
        <f t="shared" si="2"/>
        <v>2.48</v>
      </c>
      <c r="K604" s="15" t="str">
        <f t="shared" si="3"/>
        <v>Baja</v>
      </c>
    </row>
    <row r="605" ht="14.25" customHeight="1">
      <c r="A605" s="6" t="s">
        <v>1232</v>
      </c>
      <c r="B605" s="9" t="s">
        <v>1426</v>
      </c>
      <c r="C605" s="10">
        <v>1.0</v>
      </c>
      <c r="D605" s="10">
        <v>1.0</v>
      </c>
      <c r="E605" s="10">
        <v>2.0</v>
      </c>
      <c r="F605" s="10">
        <v>1.0</v>
      </c>
      <c r="G605" s="10">
        <v>1.0</v>
      </c>
      <c r="H605" s="12">
        <f t="shared" si="1"/>
        <v>1.24</v>
      </c>
      <c r="I605" s="13">
        <v>3.0</v>
      </c>
      <c r="J605" s="14">
        <f t="shared" si="2"/>
        <v>3.72</v>
      </c>
      <c r="K605" s="15" t="str">
        <f t="shared" si="3"/>
        <v>Baja</v>
      </c>
    </row>
    <row r="606" ht="14.25" customHeight="1">
      <c r="A606" s="6" t="s">
        <v>1239</v>
      </c>
      <c r="B606" s="27" t="s">
        <v>999</v>
      </c>
      <c r="C606" s="10">
        <v>2.0</v>
      </c>
      <c r="D606" s="10">
        <v>2.0</v>
      </c>
      <c r="E606" s="10">
        <v>3.0</v>
      </c>
      <c r="F606" s="10">
        <v>3.0</v>
      </c>
      <c r="G606" s="10">
        <v>1.0</v>
      </c>
      <c r="H606" s="12">
        <f t="shared" si="1"/>
        <v>2.236</v>
      </c>
      <c r="I606" s="13">
        <v>2.0</v>
      </c>
      <c r="J606" s="14">
        <f t="shared" si="2"/>
        <v>4.472</v>
      </c>
      <c r="K606" s="15" t="str">
        <f t="shared" si="3"/>
        <v>Media</v>
      </c>
    </row>
    <row r="607" ht="14.25" customHeight="1">
      <c r="A607" s="6" t="s">
        <v>1239</v>
      </c>
      <c r="B607" s="27" t="s">
        <v>1005</v>
      </c>
      <c r="C607" s="10">
        <v>2.0</v>
      </c>
      <c r="D607" s="10">
        <v>2.0</v>
      </c>
      <c r="E607" s="10">
        <v>2.0</v>
      </c>
      <c r="F607" s="10">
        <v>3.0</v>
      </c>
      <c r="G607" s="10">
        <v>1.0</v>
      </c>
      <c r="H607" s="12">
        <f t="shared" si="1"/>
        <v>1.996</v>
      </c>
      <c r="I607" s="13">
        <v>1.0</v>
      </c>
      <c r="J607" s="14">
        <f t="shared" si="2"/>
        <v>1.996</v>
      </c>
      <c r="K607" s="15" t="str">
        <f t="shared" si="3"/>
        <v>Baja</v>
      </c>
    </row>
    <row r="608" ht="14.25" customHeight="1">
      <c r="A608" s="6" t="s">
        <v>1239</v>
      </c>
      <c r="B608" s="27" t="s">
        <v>1017</v>
      </c>
      <c r="C608" s="10">
        <v>2.0</v>
      </c>
      <c r="D608" s="10">
        <v>2.0</v>
      </c>
      <c r="E608" s="10">
        <v>3.0</v>
      </c>
      <c r="F608" s="10">
        <v>3.0</v>
      </c>
      <c r="G608" s="10">
        <v>1.0</v>
      </c>
      <c r="H608" s="12">
        <f t="shared" si="1"/>
        <v>2.236</v>
      </c>
      <c r="I608" s="13">
        <v>2.0</v>
      </c>
      <c r="J608" s="14">
        <f t="shared" si="2"/>
        <v>4.472</v>
      </c>
      <c r="K608" s="15" t="str">
        <f t="shared" si="3"/>
        <v>Media</v>
      </c>
    </row>
    <row r="609" ht="14.25" customHeight="1">
      <c r="A609" s="6" t="s">
        <v>1239</v>
      </c>
      <c r="B609" s="27" t="s">
        <v>727</v>
      </c>
      <c r="C609" s="10">
        <v>1.0</v>
      </c>
      <c r="D609" s="10">
        <v>1.0</v>
      </c>
      <c r="E609" s="10">
        <v>3.0</v>
      </c>
      <c r="F609" s="10">
        <v>3.0</v>
      </c>
      <c r="G609" s="10">
        <v>1.0</v>
      </c>
      <c r="H609" s="12">
        <f t="shared" si="1"/>
        <v>1.672</v>
      </c>
      <c r="I609" s="13">
        <v>2.0</v>
      </c>
      <c r="J609" s="14">
        <f t="shared" si="2"/>
        <v>3.344</v>
      </c>
      <c r="K609" s="15" t="str">
        <f t="shared" si="3"/>
        <v>Baja</v>
      </c>
    </row>
    <row r="610" ht="14.25" customHeight="1">
      <c r="A610" s="6" t="s">
        <v>1239</v>
      </c>
      <c r="B610" s="27" t="s">
        <v>1031</v>
      </c>
      <c r="C610" s="10">
        <v>1.0</v>
      </c>
      <c r="D610" s="10">
        <v>1.0</v>
      </c>
      <c r="E610" s="10">
        <v>2.0</v>
      </c>
      <c r="F610" s="10">
        <v>1.0</v>
      </c>
      <c r="G610" s="10">
        <v>1.0</v>
      </c>
      <c r="H610" s="12">
        <f t="shared" si="1"/>
        <v>1.24</v>
      </c>
      <c r="I610" s="13">
        <v>3.0</v>
      </c>
      <c r="J610" s="14">
        <f t="shared" si="2"/>
        <v>3.72</v>
      </c>
      <c r="K610" s="15" t="str">
        <f t="shared" si="3"/>
        <v>Baja</v>
      </c>
    </row>
    <row r="611" ht="14.25" customHeight="1">
      <c r="A611" s="6" t="s">
        <v>1239</v>
      </c>
      <c r="B611" s="27" t="s">
        <v>1036</v>
      </c>
      <c r="C611" s="10">
        <v>1.0</v>
      </c>
      <c r="D611" s="10">
        <v>1.0</v>
      </c>
      <c r="E611" s="10">
        <v>3.0</v>
      </c>
      <c r="F611" s="10">
        <v>1.0</v>
      </c>
      <c r="G611" s="10">
        <v>1.0</v>
      </c>
      <c r="H611" s="12">
        <f t="shared" si="1"/>
        <v>1.48</v>
      </c>
      <c r="I611" s="13">
        <v>2.0</v>
      </c>
      <c r="J611" s="14">
        <f t="shared" si="2"/>
        <v>2.96</v>
      </c>
      <c r="K611" s="15" t="str">
        <f t="shared" si="3"/>
        <v>Baja</v>
      </c>
    </row>
    <row r="612" ht="14.25" customHeight="1">
      <c r="A612" s="6" t="s">
        <v>1239</v>
      </c>
      <c r="B612" s="27" t="s">
        <v>1041</v>
      </c>
      <c r="C612" s="10">
        <v>1.0</v>
      </c>
      <c r="D612" s="10">
        <v>1.0</v>
      </c>
      <c r="E612" s="10">
        <v>2.0</v>
      </c>
      <c r="F612" s="10">
        <v>1.0</v>
      </c>
      <c r="G612" s="10">
        <v>1.0</v>
      </c>
      <c r="H612" s="12">
        <f t="shared" si="1"/>
        <v>1.24</v>
      </c>
      <c r="I612" s="13">
        <v>2.0</v>
      </c>
      <c r="J612" s="14">
        <f t="shared" si="2"/>
        <v>2.48</v>
      </c>
      <c r="K612" s="15" t="str">
        <f t="shared" si="3"/>
        <v>Baja</v>
      </c>
    </row>
    <row r="613" ht="14.25" customHeight="1">
      <c r="A613" s="6" t="s">
        <v>1239</v>
      </c>
      <c r="B613" s="27" t="s">
        <v>1047</v>
      </c>
      <c r="C613" s="10">
        <v>1.0</v>
      </c>
      <c r="D613" s="10">
        <v>1.0</v>
      </c>
      <c r="E613" s="10">
        <v>2.0</v>
      </c>
      <c r="F613" s="10">
        <v>1.0</v>
      </c>
      <c r="G613" s="10">
        <v>1.0</v>
      </c>
      <c r="H613" s="12">
        <f t="shared" si="1"/>
        <v>1.24</v>
      </c>
      <c r="I613" s="13">
        <v>3.0</v>
      </c>
      <c r="J613" s="14">
        <f t="shared" si="2"/>
        <v>3.72</v>
      </c>
      <c r="K613" s="15" t="str">
        <f t="shared" si="3"/>
        <v>Baja</v>
      </c>
    </row>
    <row r="614" ht="14.25" customHeight="1">
      <c r="A614" s="6" t="s">
        <v>1242</v>
      </c>
      <c r="B614" s="9" t="s">
        <v>1157</v>
      </c>
      <c r="C614" s="10">
        <v>1.0</v>
      </c>
      <c r="D614" s="10">
        <v>1.0</v>
      </c>
      <c r="E614" s="10">
        <v>3.0</v>
      </c>
      <c r="F614" s="10">
        <v>1.0</v>
      </c>
      <c r="G614" s="10">
        <v>1.0</v>
      </c>
      <c r="H614" s="12">
        <f t="shared" si="1"/>
        <v>1.48</v>
      </c>
      <c r="I614" s="13">
        <v>2.0</v>
      </c>
      <c r="J614" s="14">
        <f t="shared" si="2"/>
        <v>2.96</v>
      </c>
      <c r="K614" s="15" t="str">
        <f t="shared" si="3"/>
        <v>Baja</v>
      </c>
    </row>
    <row r="615" ht="14.25" customHeight="1">
      <c r="A615" s="6" t="s">
        <v>1242</v>
      </c>
      <c r="B615" s="9" t="s">
        <v>1167</v>
      </c>
      <c r="C615" s="10">
        <v>1.0</v>
      </c>
      <c r="D615" s="10">
        <v>1.0</v>
      </c>
      <c r="E615" s="10">
        <v>2.0</v>
      </c>
      <c r="F615" s="10">
        <v>1.0</v>
      </c>
      <c r="G615" s="10">
        <v>1.0</v>
      </c>
      <c r="H615" s="12">
        <f t="shared" si="1"/>
        <v>1.24</v>
      </c>
      <c r="I615" s="13">
        <v>1.0</v>
      </c>
      <c r="J615" s="14">
        <f t="shared" si="2"/>
        <v>1.24</v>
      </c>
      <c r="K615" s="15" t="str">
        <f t="shared" si="3"/>
        <v>Baja</v>
      </c>
    </row>
    <row r="616" ht="14.25" customHeight="1">
      <c r="A616" s="6" t="s">
        <v>1242</v>
      </c>
      <c r="B616" s="9" t="s">
        <v>1176</v>
      </c>
      <c r="C616" s="10">
        <v>1.0</v>
      </c>
      <c r="D616" s="10">
        <v>1.0</v>
      </c>
      <c r="E616" s="10">
        <v>2.0</v>
      </c>
      <c r="F616" s="10">
        <v>1.0</v>
      </c>
      <c r="G616" s="10">
        <v>1.0</v>
      </c>
      <c r="H616" s="12">
        <f t="shared" si="1"/>
        <v>1.24</v>
      </c>
      <c r="I616" s="13">
        <v>3.0</v>
      </c>
      <c r="J616" s="14">
        <f t="shared" si="2"/>
        <v>3.72</v>
      </c>
      <c r="K616" s="15" t="str">
        <f t="shared" si="3"/>
        <v>Baja</v>
      </c>
    </row>
    <row r="617" ht="14.25" customHeight="1">
      <c r="A617" s="6" t="s">
        <v>1242</v>
      </c>
      <c r="B617" s="9" t="s">
        <v>1184</v>
      </c>
      <c r="C617" s="10">
        <v>1.0</v>
      </c>
      <c r="D617" s="10">
        <v>1.0</v>
      </c>
      <c r="E617" s="10">
        <v>2.0</v>
      </c>
      <c r="F617" s="10">
        <v>1.0</v>
      </c>
      <c r="G617" s="10">
        <v>1.0</v>
      </c>
      <c r="H617" s="12">
        <f t="shared" si="1"/>
        <v>1.24</v>
      </c>
      <c r="I617" s="13">
        <v>2.0</v>
      </c>
      <c r="J617" s="14">
        <f t="shared" si="2"/>
        <v>2.48</v>
      </c>
      <c r="K617" s="15" t="str">
        <f t="shared" si="3"/>
        <v>Baja</v>
      </c>
    </row>
    <row r="618" ht="14.25" customHeight="1">
      <c r="A618" s="6" t="s">
        <v>1254</v>
      </c>
      <c r="B618" s="27" t="s">
        <v>2149</v>
      </c>
      <c r="C618" s="10">
        <v>3.0</v>
      </c>
      <c r="D618" s="10">
        <v>1.0</v>
      </c>
      <c r="E618" s="10">
        <v>3.0</v>
      </c>
      <c r="F618" s="10">
        <v>1.0</v>
      </c>
      <c r="G618" s="10">
        <v>3.0</v>
      </c>
      <c r="H618" s="12">
        <f t="shared" si="1"/>
        <v>2.448</v>
      </c>
      <c r="I618" s="13">
        <v>3.0</v>
      </c>
      <c r="J618" s="14">
        <f t="shared" si="2"/>
        <v>7.344</v>
      </c>
      <c r="K618" s="15" t="str">
        <f t="shared" si="3"/>
        <v>Media</v>
      </c>
    </row>
    <row r="619" ht="14.25" customHeight="1">
      <c r="A619" s="6" t="s">
        <v>1254</v>
      </c>
      <c r="B619" s="27" t="s">
        <v>2154</v>
      </c>
      <c r="C619" s="10">
        <v>3.0</v>
      </c>
      <c r="D619" s="10">
        <v>1.0</v>
      </c>
      <c r="E619" s="10">
        <v>2.0</v>
      </c>
      <c r="F619" s="10">
        <v>1.0</v>
      </c>
      <c r="G619" s="10">
        <v>3.0</v>
      </c>
      <c r="H619" s="12">
        <f t="shared" si="1"/>
        <v>2.208</v>
      </c>
      <c r="I619" s="13">
        <v>2.0</v>
      </c>
      <c r="J619" s="14">
        <f t="shared" si="2"/>
        <v>4.416</v>
      </c>
      <c r="K619" s="15" t="str">
        <f t="shared" si="3"/>
        <v>Media</v>
      </c>
    </row>
    <row r="620" ht="14.25" customHeight="1">
      <c r="A620" s="6" t="s">
        <v>1254</v>
      </c>
      <c r="B620" s="27" t="s">
        <v>2159</v>
      </c>
      <c r="C620" s="10">
        <v>2.0</v>
      </c>
      <c r="D620" s="10">
        <v>1.0</v>
      </c>
      <c r="E620" s="10">
        <v>2.0</v>
      </c>
      <c r="F620" s="10">
        <v>1.0</v>
      </c>
      <c r="G620" s="10">
        <v>2.0</v>
      </c>
      <c r="H620" s="12">
        <f t="shared" si="1"/>
        <v>1.724</v>
      </c>
      <c r="I620" s="13">
        <v>2.0</v>
      </c>
      <c r="J620" s="14">
        <f t="shared" si="2"/>
        <v>3.448</v>
      </c>
      <c r="K620" s="15" t="str">
        <f t="shared" si="3"/>
        <v>Baja</v>
      </c>
    </row>
    <row r="621" ht="14.25" customHeight="1">
      <c r="A621" s="6" t="s">
        <v>1254</v>
      </c>
      <c r="B621" s="27" t="s">
        <v>2180</v>
      </c>
      <c r="C621" s="10">
        <v>2.0</v>
      </c>
      <c r="D621" s="10">
        <v>1.0</v>
      </c>
      <c r="E621" s="10">
        <v>2.0</v>
      </c>
      <c r="F621" s="10">
        <v>1.0</v>
      </c>
      <c r="G621" s="10">
        <v>2.0</v>
      </c>
      <c r="H621" s="12">
        <f t="shared" si="1"/>
        <v>1.724</v>
      </c>
      <c r="I621" s="13">
        <v>3.0</v>
      </c>
      <c r="J621" s="14">
        <f t="shared" si="2"/>
        <v>5.172</v>
      </c>
      <c r="K621" s="15" t="str">
        <f t="shared" si="3"/>
        <v>Media</v>
      </c>
    </row>
    <row r="622" ht="14.25" customHeight="1">
      <c r="A622" s="6" t="s">
        <v>1254</v>
      </c>
      <c r="B622" s="27" t="s">
        <v>2186</v>
      </c>
      <c r="C622" s="10">
        <v>2.0</v>
      </c>
      <c r="D622" s="10">
        <v>1.0</v>
      </c>
      <c r="E622" s="10">
        <v>2.0</v>
      </c>
      <c r="F622" s="10">
        <v>1.0</v>
      </c>
      <c r="G622" s="10">
        <v>2.0</v>
      </c>
      <c r="H622" s="12">
        <f t="shared" si="1"/>
        <v>1.724</v>
      </c>
      <c r="I622" s="13">
        <v>3.0</v>
      </c>
      <c r="J622" s="14">
        <f t="shared" si="2"/>
        <v>5.172</v>
      </c>
      <c r="K622" s="15" t="str">
        <f t="shared" si="3"/>
        <v>Media</v>
      </c>
    </row>
    <row r="623" ht="14.25" customHeight="1">
      <c r="A623" s="6" t="s">
        <v>1264</v>
      </c>
      <c r="B623" s="9" t="s">
        <v>3379</v>
      </c>
      <c r="C623" s="10">
        <v>1.0</v>
      </c>
      <c r="D623" s="10">
        <v>2.0</v>
      </c>
      <c r="E623" s="10">
        <v>3.0</v>
      </c>
      <c r="F623" s="10">
        <v>2.0</v>
      </c>
      <c r="G623" s="10">
        <v>1.0</v>
      </c>
      <c r="H623" s="12">
        <f t="shared" si="1"/>
        <v>1.756</v>
      </c>
      <c r="I623" s="13">
        <v>2.0</v>
      </c>
      <c r="J623" s="14">
        <f t="shared" si="2"/>
        <v>3.512</v>
      </c>
      <c r="K623" s="15" t="str">
        <f t="shared" si="3"/>
        <v>Baja</v>
      </c>
    </row>
    <row r="624" ht="14.25" customHeight="1">
      <c r="A624" s="6" t="s">
        <v>1264</v>
      </c>
      <c r="B624" s="9" t="s">
        <v>3383</v>
      </c>
      <c r="C624" s="10">
        <v>1.0</v>
      </c>
      <c r="D624" s="10">
        <v>2.0</v>
      </c>
      <c r="E624" s="10">
        <v>2.0</v>
      </c>
      <c r="F624" s="10">
        <v>2.0</v>
      </c>
      <c r="G624" s="10">
        <v>1.0</v>
      </c>
      <c r="H624" s="12">
        <f t="shared" si="1"/>
        <v>1.516</v>
      </c>
      <c r="I624" s="13">
        <v>1.0</v>
      </c>
      <c r="J624" s="14">
        <f t="shared" si="2"/>
        <v>1.516</v>
      </c>
      <c r="K624" s="15" t="str">
        <f t="shared" si="3"/>
        <v>Baja</v>
      </c>
    </row>
    <row r="625" ht="14.25" customHeight="1">
      <c r="A625" s="6" t="s">
        <v>1264</v>
      </c>
      <c r="B625" s="9" t="s">
        <v>3384</v>
      </c>
      <c r="C625" s="10">
        <v>1.0</v>
      </c>
      <c r="D625" s="10">
        <v>1.0</v>
      </c>
      <c r="E625" s="10">
        <v>2.0</v>
      </c>
      <c r="F625" s="10">
        <v>2.0</v>
      </c>
      <c r="G625" s="10">
        <v>1.0</v>
      </c>
      <c r="H625" s="12">
        <f t="shared" si="1"/>
        <v>1.336</v>
      </c>
      <c r="I625" s="13">
        <v>2.0</v>
      </c>
      <c r="J625" s="14">
        <f t="shared" si="2"/>
        <v>2.672</v>
      </c>
      <c r="K625" s="15" t="str">
        <f t="shared" si="3"/>
        <v>Baja</v>
      </c>
    </row>
    <row r="626" ht="14.25" customHeight="1">
      <c r="A626" s="6" t="s">
        <v>1264</v>
      </c>
      <c r="B626" s="9" t="s">
        <v>3385</v>
      </c>
      <c r="C626" s="10">
        <v>1.0</v>
      </c>
      <c r="D626" s="10">
        <v>1.0</v>
      </c>
      <c r="E626" s="10">
        <v>2.0</v>
      </c>
      <c r="F626" s="10">
        <v>2.0</v>
      </c>
      <c r="G626" s="10">
        <v>1.0</v>
      </c>
      <c r="H626" s="12">
        <f t="shared" si="1"/>
        <v>1.336</v>
      </c>
      <c r="I626" s="13">
        <v>3.0</v>
      </c>
      <c r="J626" s="14">
        <f t="shared" si="2"/>
        <v>4.008</v>
      </c>
      <c r="K626" s="15" t="str">
        <f t="shared" si="3"/>
        <v>Media</v>
      </c>
    </row>
    <row r="627" ht="14.25" customHeight="1">
      <c r="A627" s="6" t="s">
        <v>1264</v>
      </c>
      <c r="B627" s="9" t="s">
        <v>1728</v>
      </c>
      <c r="C627" s="10">
        <v>1.0</v>
      </c>
      <c r="D627" s="10">
        <v>1.0</v>
      </c>
      <c r="E627" s="10">
        <v>2.0</v>
      </c>
      <c r="F627" s="10">
        <v>1.0</v>
      </c>
      <c r="G627" s="10">
        <v>1.0</v>
      </c>
      <c r="H627" s="12">
        <f t="shared" si="1"/>
        <v>1.24</v>
      </c>
      <c r="I627" s="13">
        <v>2.0</v>
      </c>
      <c r="J627" s="14">
        <f t="shared" si="2"/>
        <v>2.48</v>
      </c>
      <c r="K627" s="15" t="str">
        <f t="shared" si="3"/>
        <v>Baja</v>
      </c>
    </row>
    <row r="628" ht="14.25" customHeight="1">
      <c r="A628" s="6" t="s">
        <v>1276</v>
      </c>
      <c r="B628" s="27" t="s">
        <v>1191</v>
      </c>
      <c r="C628" s="10">
        <v>1.0</v>
      </c>
      <c r="D628" s="10">
        <v>2.0</v>
      </c>
      <c r="E628" s="10">
        <v>2.0</v>
      </c>
      <c r="F628" s="10">
        <v>1.0</v>
      </c>
      <c r="G628" s="10">
        <v>1.0</v>
      </c>
      <c r="H628" s="12">
        <f t="shared" si="1"/>
        <v>1.42</v>
      </c>
      <c r="I628" s="13">
        <v>3.0</v>
      </c>
      <c r="J628" s="14">
        <f t="shared" si="2"/>
        <v>4.26</v>
      </c>
      <c r="K628" s="15" t="str">
        <f t="shared" si="3"/>
        <v>Media</v>
      </c>
    </row>
    <row r="629" ht="14.25" customHeight="1">
      <c r="A629" s="6" t="s">
        <v>1276</v>
      </c>
      <c r="B629" s="27" t="s">
        <v>1195</v>
      </c>
      <c r="C629" s="10">
        <v>1.0</v>
      </c>
      <c r="D629" s="10">
        <v>2.0</v>
      </c>
      <c r="E629" s="10">
        <v>2.0</v>
      </c>
      <c r="F629" s="10">
        <v>1.0</v>
      </c>
      <c r="G629" s="10">
        <v>1.0</v>
      </c>
      <c r="H629" s="12">
        <f t="shared" si="1"/>
        <v>1.42</v>
      </c>
      <c r="I629" s="13">
        <v>2.0</v>
      </c>
      <c r="J629" s="14">
        <f t="shared" si="2"/>
        <v>2.84</v>
      </c>
      <c r="K629" s="15" t="str">
        <f t="shared" si="3"/>
        <v>Baja</v>
      </c>
    </row>
    <row r="630" ht="14.25" customHeight="1">
      <c r="A630" s="6" t="s">
        <v>1276</v>
      </c>
      <c r="B630" s="27" t="s">
        <v>1204</v>
      </c>
      <c r="C630" s="10">
        <v>1.0</v>
      </c>
      <c r="D630" s="10">
        <v>2.0</v>
      </c>
      <c r="E630" s="10">
        <v>2.0</v>
      </c>
      <c r="F630" s="10">
        <v>1.0</v>
      </c>
      <c r="G630" s="10">
        <v>1.0</v>
      </c>
      <c r="H630" s="12">
        <f t="shared" si="1"/>
        <v>1.42</v>
      </c>
      <c r="I630" s="13">
        <v>1.0</v>
      </c>
      <c r="J630" s="14">
        <f t="shared" si="2"/>
        <v>1.42</v>
      </c>
      <c r="K630" s="15" t="str">
        <f t="shared" si="3"/>
        <v>Baja</v>
      </c>
    </row>
    <row r="631" ht="14.25" customHeight="1">
      <c r="A631" s="6" t="s">
        <v>1276</v>
      </c>
      <c r="B631" s="27" t="s">
        <v>1210</v>
      </c>
      <c r="C631" s="10">
        <v>1.0</v>
      </c>
      <c r="D631" s="10">
        <v>2.0</v>
      </c>
      <c r="E631" s="10">
        <v>2.0</v>
      </c>
      <c r="F631" s="10">
        <v>1.0</v>
      </c>
      <c r="G631" s="10">
        <v>1.0</v>
      </c>
      <c r="H631" s="12">
        <f t="shared" si="1"/>
        <v>1.42</v>
      </c>
      <c r="I631" s="13">
        <v>3.0</v>
      </c>
      <c r="J631" s="14">
        <f t="shared" si="2"/>
        <v>4.26</v>
      </c>
      <c r="K631" s="15" t="str">
        <f t="shared" si="3"/>
        <v>Media</v>
      </c>
    </row>
    <row r="632" ht="14.25" customHeight="1">
      <c r="A632" s="6" t="s">
        <v>1276</v>
      </c>
      <c r="B632" s="27" t="s">
        <v>1219</v>
      </c>
      <c r="C632" s="10">
        <v>1.0</v>
      </c>
      <c r="D632" s="10">
        <v>2.0</v>
      </c>
      <c r="E632" s="10">
        <v>2.0</v>
      </c>
      <c r="F632" s="10">
        <v>1.0</v>
      </c>
      <c r="G632" s="10">
        <v>1.0</v>
      </c>
      <c r="H632" s="12">
        <f t="shared" si="1"/>
        <v>1.42</v>
      </c>
      <c r="I632" s="13">
        <v>3.0</v>
      </c>
      <c r="J632" s="14">
        <f t="shared" si="2"/>
        <v>4.26</v>
      </c>
      <c r="K632" s="15" t="str">
        <f t="shared" si="3"/>
        <v>Media</v>
      </c>
    </row>
    <row r="633" ht="14.25" customHeight="1">
      <c r="A633" s="6" t="s">
        <v>1276</v>
      </c>
      <c r="B633" s="27" t="s">
        <v>1228</v>
      </c>
      <c r="C633" s="10">
        <v>1.0</v>
      </c>
      <c r="D633" s="10">
        <v>1.0</v>
      </c>
      <c r="E633" s="10">
        <v>2.0</v>
      </c>
      <c r="F633" s="10">
        <v>1.0</v>
      </c>
      <c r="G633" s="10">
        <v>1.0</v>
      </c>
      <c r="H633" s="12">
        <f t="shared" si="1"/>
        <v>1.24</v>
      </c>
      <c r="I633" s="13">
        <v>2.0</v>
      </c>
      <c r="J633" s="14">
        <f t="shared" si="2"/>
        <v>2.48</v>
      </c>
      <c r="K633" s="15" t="str">
        <f t="shared" si="3"/>
        <v>Baja</v>
      </c>
    </row>
    <row r="634" ht="14.25" customHeight="1">
      <c r="A634" s="6" t="s">
        <v>1276</v>
      </c>
      <c r="B634" s="27" t="s">
        <v>1233</v>
      </c>
      <c r="C634" s="10">
        <v>1.0</v>
      </c>
      <c r="D634" s="10">
        <v>1.0</v>
      </c>
      <c r="E634" s="10">
        <v>2.0</v>
      </c>
      <c r="F634" s="10">
        <v>1.0</v>
      </c>
      <c r="G634" s="10">
        <v>1.0</v>
      </c>
      <c r="H634" s="12">
        <f t="shared" si="1"/>
        <v>1.24</v>
      </c>
      <c r="I634" s="13">
        <v>3.0</v>
      </c>
      <c r="J634" s="14">
        <f t="shared" si="2"/>
        <v>3.72</v>
      </c>
      <c r="K634" s="15" t="str">
        <f t="shared" si="3"/>
        <v>Baja</v>
      </c>
    </row>
    <row r="635" ht="14.25" customHeight="1">
      <c r="A635" s="6" t="s">
        <v>1285</v>
      </c>
      <c r="B635" s="9" t="s">
        <v>1191</v>
      </c>
      <c r="C635" s="10">
        <v>1.0</v>
      </c>
      <c r="D635" s="10">
        <v>2.0</v>
      </c>
      <c r="E635" s="10">
        <v>2.0</v>
      </c>
      <c r="F635" s="10">
        <v>1.0</v>
      </c>
      <c r="G635" s="10">
        <v>1.0</v>
      </c>
      <c r="H635" s="12">
        <f t="shared" si="1"/>
        <v>1.42</v>
      </c>
      <c r="I635" s="13">
        <v>3.0</v>
      </c>
      <c r="J635" s="14">
        <f t="shared" si="2"/>
        <v>4.26</v>
      </c>
      <c r="K635" s="15" t="str">
        <f t="shared" si="3"/>
        <v>Media</v>
      </c>
    </row>
    <row r="636" ht="14.25" customHeight="1">
      <c r="A636" s="6" t="s">
        <v>1285</v>
      </c>
      <c r="B636" s="9" t="s">
        <v>1204</v>
      </c>
      <c r="C636" s="10">
        <v>1.0</v>
      </c>
      <c r="D636" s="10">
        <v>2.0</v>
      </c>
      <c r="E636" s="10">
        <v>2.0</v>
      </c>
      <c r="F636" s="10">
        <v>1.0</v>
      </c>
      <c r="G636" s="10">
        <v>1.0</v>
      </c>
      <c r="H636" s="12">
        <f t="shared" si="1"/>
        <v>1.42</v>
      </c>
      <c r="I636" s="13">
        <v>1.0</v>
      </c>
      <c r="J636" s="14">
        <f t="shared" si="2"/>
        <v>1.42</v>
      </c>
      <c r="K636" s="15" t="str">
        <f t="shared" si="3"/>
        <v>Baja</v>
      </c>
    </row>
    <row r="637" ht="14.25" customHeight="1">
      <c r="A637" s="6" t="s">
        <v>1285</v>
      </c>
      <c r="B637" s="9" t="s">
        <v>1228</v>
      </c>
      <c r="C637" s="10">
        <v>1.0</v>
      </c>
      <c r="D637" s="10">
        <v>1.0</v>
      </c>
      <c r="E637" s="10">
        <v>2.0</v>
      </c>
      <c r="F637" s="10">
        <v>1.0</v>
      </c>
      <c r="G637" s="10">
        <v>1.0</v>
      </c>
      <c r="H637" s="12">
        <f t="shared" si="1"/>
        <v>1.24</v>
      </c>
      <c r="I637" s="13">
        <v>2.0</v>
      </c>
      <c r="J637" s="14">
        <f t="shared" si="2"/>
        <v>2.48</v>
      </c>
      <c r="K637" s="15" t="str">
        <f t="shared" si="3"/>
        <v>Baja</v>
      </c>
    </row>
    <row r="638" ht="14.25" customHeight="1">
      <c r="A638" s="6" t="s">
        <v>1288</v>
      </c>
      <c r="B638" s="27" t="s">
        <v>1246</v>
      </c>
      <c r="C638" s="10">
        <v>3.0</v>
      </c>
      <c r="D638" s="10">
        <v>2.0</v>
      </c>
      <c r="E638" s="10">
        <v>3.0</v>
      </c>
      <c r="F638" s="10">
        <v>1.0</v>
      </c>
      <c r="G638" s="10">
        <v>1.0</v>
      </c>
      <c r="H638" s="12">
        <f t="shared" si="1"/>
        <v>2.428</v>
      </c>
      <c r="I638" s="13">
        <v>3.0</v>
      </c>
      <c r="J638" s="14">
        <f t="shared" si="2"/>
        <v>7.284</v>
      </c>
      <c r="K638" s="15" t="str">
        <f t="shared" si="3"/>
        <v>Media</v>
      </c>
    </row>
    <row r="639" ht="14.25" customHeight="1">
      <c r="A639" s="6" t="s">
        <v>1288</v>
      </c>
      <c r="B639" s="27" t="s">
        <v>1248</v>
      </c>
      <c r="C639" s="10">
        <v>3.0</v>
      </c>
      <c r="D639" s="10">
        <v>2.0</v>
      </c>
      <c r="E639" s="10">
        <v>2.0</v>
      </c>
      <c r="F639" s="10">
        <v>2.0</v>
      </c>
      <c r="G639" s="10">
        <v>1.0</v>
      </c>
      <c r="H639" s="12">
        <f t="shared" si="1"/>
        <v>2.284</v>
      </c>
      <c r="I639" s="13">
        <v>2.0</v>
      </c>
      <c r="J639" s="14">
        <f t="shared" si="2"/>
        <v>4.568</v>
      </c>
      <c r="K639" s="15" t="str">
        <f t="shared" si="3"/>
        <v>Media</v>
      </c>
    </row>
    <row r="640" ht="14.25" customHeight="1">
      <c r="A640" s="6" t="s">
        <v>1288</v>
      </c>
      <c r="B640" s="27" t="s">
        <v>1255</v>
      </c>
      <c r="C640" s="10">
        <v>2.0</v>
      </c>
      <c r="D640" s="10">
        <v>1.0</v>
      </c>
      <c r="E640" s="10">
        <v>2.0</v>
      </c>
      <c r="F640" s="10">
        <v>1.0</v>
      </c>
      <c r="G640" s="10">
        <v>1.0</v>
      </c>
      <c r="H640" s="12">
        <f t="shared" si="1"/>
        <v>1.624</v>
      </c>
      <c r="I640" s="13">
        <v>2.0</v>
      </c>
      <c r="J640" s="14">
        <f t="shared" si="2"/>
        <v>3.248</v>
      </c>
      <c r="K640" s="15" t="str">
        <f t="shared" si="3"/>
        <v>Baja</v>
      </c>
    </row>
    <row r="641" ht="14.25" customHeight="1">
      <c r="A641" s="6" t="s">
        <v>1288</v>
      </c>
      <c r="B641" s="27" t="s">
        <v>1259</v>
      </c>
      <c r="C641" s="10">
        <v>2.0</v>
      </c>
      <c r="D641" s="10">
        <v>1.0</v>
      </c>
      <c r="E641" s="10">
        <v>2.0</v>
      </c>
      <c r="F641" s="10">
        <v>2.0</v>
      </c>
      <c r="G641" s="10">
        <v>1.0</v>
      </c>
      <c r="H641" s="12">
        <f t="shared" si="1"/>
        <v>1.72</v>
      </c>
      <c r="I641" s="13">
        <v>2.0</v>
      </c>
      <c r="J641" s="14">
        <f t="shared" si="2"/>
        <v>3.44</v>
      </c>
      <c r="K641" s="15" t="str">
        <f t="shared" si="3"/>
        <v>Baja</v>
      </c>
    </row>
    <row r="642" ht="14.25" customHeight="1">
      <c r="A642" s="6" t="s">
        <v>1288</v>
      </c>
      <c r="B642" s="27" t="s">
        <v>1265</v>
      </c>
      <c r="C642" s="10">
        <v>2.0</v>
      </c>
      <c r="D642" s="10">
        <v>1.0</v>
      </c>
      <c r="E642" s="10">
        <v>2.0</v>
      </c>
      <c r="F642" s="10">
        <v>1.0</v>
      </c>
      <c r="G642" s="10">
        <v>1.0</v>
      </c>
      <c r="H642" s="12">
        <f t="shared" si="1"/>
        <v>1.624</v>
      </c>
      <c r="I642" s="13">
        <v>3.0</v>
      </c>
      <c r="J642" s="14">
        <f t="shared" si="2"/>
        <v>4.872</v>
      </c>
      <c r="K642" s="15" t="str">
        <f t="shared" si="3"/>
        <v>Media</v>
      </c>
    </row>
    <row r="643" ht="14.25" customHeight="1">
      <c r="A643" s="6" t="s">
        <v>1288</v>
      </c>
      <c r="B643" s="27" t="s">
        <v>1275</v>
      </c>
      <c r="C643" s="10">
        <v>2.0</v>
      </c>
      <c r="D643" s="10">
        <v>1.0</v>
      </c>
      <c r="E643" s="10">
        <v>2.0</v>
      </c>
      <c r="F643" s="10">
        <v>1.0</v>
      </c>
      <c r="G643" s="10">
        <v>1.0</v>
      </c>
      <c r="H643" s="12">
        <f t="shared" si="1"/>
        <v>1.624</v>
      </c>
      <c r="I643" s="13">
        <v>2.0</v>
      </c>
      <c r="J643" s="14">
        <f t="shared" si="2"/>
        <v>3.248</v>
      </c>
      <c r="K643" s="15" t="str">
        <f t="shared" si="3"/>
        <v>Baja</v>
      </c>
    </row>
    <row r="644" ht="14.25" customHeight="1">
      <c r="A644" s="6" t="s">
        <v>1297</v>
      </c>
      <c r="B644" s="9" t="s">
        <v>1744</v>
      </c>
      <c r="C644" s="10">
        <v>3.0</v>
      </c>
      <c r="D644" s="10">
        <v>2.0</v>
      </c>
      <c r="E644" s="10">
        <v>3.0</v>
      </c>
      <c r="F644" s="10">
        <v>1.0</v>
      </c>
      <c r="G644" s="10">
        <v>1.0</v>
      </c>
      <c r="H644" s="12">
        <f t="shared" si="1"/>
        <v>2.428</v>
      </c>
      <c r="I644" s="13">
        <v>1.0</v>
      </c>
      <c r="J644" s="14">
        <f t="shared" si="2"/>
        <v>2.428</v>
      </c>
      <c r="K644" s="15" t="str">
        <f t="shared" si="3"/>
        <v>Baja</v>
      </c>
    </row>
    <row r="645" ht="14.25" customHeight="1">
      <c r="A645" s="6" t="s">
        <v>1297</v>
      </c>
      <c r="B645" s="9" t="s">
        <v>1964</v>
      </c>
      <c r="C645" s="10">
        <v>2.0</v>
      </c>
      <c r="D645" s="10">
        <v>1.0</v>
      </c>
      <c r="E645" s="10">
        <v>3.0</v>
      </c>
      <c r="F645" s="10">
        <v>1.0</v>
      </c>
      <c r="G645" s="10">
        <v>1.0</v>
      </c>
      <c r="H645" s="12">
        <f t="shared" si="1"/>
        <v>1.864</v>
      </c>
      <c r="I645" s="13">
        <v>2.0</v>
      </c>
      <c r="J645" s="14">
        <f t="shared" si="2"/>
        <v>3.728</v>
      </c>
      <c r="K645" s="15" t="str">
        <f t="shared" si="3"/>
        <v>Baja</v>
      </c>
    </row>
    <row r="646" ht="14.25" customHeight="1">
      <c r="A646" s="6" t="s">
        <v>1297</v>
      </c>
      <c r="B646" s="9" t="s">
        <v>1749</v>
      </c>
      <c r="C646" s="10">
        <v>2.0</v>
      </c>
      <c r="D646" s="10">
        <v>1.0</v>
      </c>
      <c r="E646" s="10">
        <v>2.0</v>
      </c>
      <c r="F646" s="10">
        <v>1.0</v>
      </c>
      <c r="G646" s="10">
        <v>1.0</v>
      </c>
      <c r="H646" s="12">
        <f t="shared" si="1"/>
        <v>1.624</v>
      </c>
      <c r="I646" s="13">
        <v>2.0</v>
      </c>
      <c r="J646" s="14">
        <f t="shared" si="2"/>
        <v>3.248</v>
      </c>
      <c r="K646" s="15" t="str">
        <f t="shared" si="3"/>
        <v>Baja</v>
      </c>
    </row>
    <row r="647" ht="14.25" customHeight="1">
      <c r="A647" s="6" t="s">
        <v>1307</v>
      </c>
      <c r="B647" s="27" t="s">
        <v>1339</v>
      </c>
      <c r="C647" s="10">
        <v>1.0</v>
      </c>
      <c r="D647" s="10">
        <v>1.0</v>
      </c>
      <c r="E647" s="10">
        <v>3.0</v>
      </c>
      <c r="F647" s="10">
        <v>2.0</v>
      </c>
      <c r="G647" s="10">
        <v>1.0</v>
      </c>
      <c r="H647" s="12">
        <f t="shared" si="1"/>
        <v>1.576</v>
      </c>
      <c r="I647" s="13">
        <v>3.0</v>
      </c>
      <c r="J647" s="14">
        <f t="shared" si="2"/>
        <v>4.728</v>
      </c>
      <c r="K647" s="15" t="str">
        <f t="shared" si="3"/>
        <v>Media</v>
      </c>
    </row>
    <row r="648" ht="14.25" customHeight="1">
      <c r="A648" s="6" t="s">
        <v>1307</v>
      </c>
      <c r="B648" s="27" t="s">
        <v>1786</v>
      </c>
      <c r="C648" s="10">
        <v>1.0</v>
      </c>
      <c r="D648" s="10">
        <v>1.0</v>
      </c>
      <c r="E648" s="10">
        <v>2.0</v>
      </c>
      <c r="F648" s="10">
        <v>1.0</v>
      </c>
      <c r="G648" s="10">
        <v>1.0</v>
      </c>
      <c r="H648" s="12">
        <f t="shared" si="1"/>
        <v>1.24</v>
      </c>
      <c r="I648" s="13">
        <v>3.0</v>
      </c>
      <c r="J648" s="14">
        <f t="shared" si="2"/>
        <v>3.72</v>
      </c>
      <c r="K648" s="15" t="str">
        <f t="shared" si="3"/>
        <v>Baja</v>
      </c>
    </row>
    <row r="649" ht="14.25" customHeight="1">
      <c r="A649" s="6" t="s">
        <v>1307</v>
      </c>
      <c r="B649" s="27" t="s">
        <v>1350</v>
      </c>
      <c r="C649" s="10">
        <v>1.0</v>
      </c>
      <c r="D649" s="10">
        <v>1.0</v>
      </c>
      <c r="E649" s="10">
        <v>2.0</v>
      </c>
      <c r="F649" s="10">
        <v>1.0</v>
      </c>
      <c r="G649" s="10">
        <v>1.0</v>
      </c>
      <c r="H649" s="12">
        <f t="shared" si="1"/>
        <v>1.24</v>
      </c>
      <c r="I649" s="13">
        <v>3.0</v>
      </c>
      <c r="J649" s="14">
        <f t="shared" si="2"/>
        <v>3.72</v>
      </c>
      <c r="K649" s="15" t="str">
        <f t="shared" si="3"/>
        <v>Baja</v>
      </c>
    </row>
    <row r="650" ht="14.25" customHeight="1">
      <c r="A650" s="6" t="s">
        <v>1307</v>
      </c>
      <c r="B650" s="27" t="s">
        <v>1794</v>
      </c>
      <c r="C650" s="10">
        <v>1.0</v>
      </c>
      <c r="D650" s="10">
        <v>1.0</v>
      </c>
      <c r="E650" s="10">
        <v>3.0</v>
      </c>
      <c r="F650" s="10">
        <v>3.0</v>
      </c>
      <c r="G650" s="10">
        <v>1.0</v>
      </c>
      <c r="H650" s="12">
        <f t="shared" si="1"/>
        <v>1.672</v>
      </c>
      <c r="I650" s="13">
        <v>2.0</v>
      </c>
      <c r="J650" s="14">
        <f t="shared" si="2"/>
        <v>3.344</v>
      </c>
      <c r="K650" s="15" t="str">
        <f t="shared" si="3"/>
        <v>Baja</v>
      </c>
    </row>
    <row r="651" ht="14.25" customHeight="1">
      <c r="A651" s="6" t="s">
        <v>1307</v>
      </c>
      <c r="B651" s="27" t="s">
        <v>2376</v>
      </c>
      <c r="C651" s="10">
        <v>1.0</v>
      </c>
      <c r="D651" s="10">
        <v>1.0</v>
      </c>
      <c r="E651" s="10">
        <v>2.0</v>
      </c>
      <c r="F651" s="10">
        <v>1.0</v>
      </c>
      <c r="G651" s="10">
        <v>1.0</v>
      </c>
      <c r="H651" s="12">
        <f t="shared" si="1"/>
        <v>1.24</v>
      </c>
      <c r="I651" s="13">
        <v>3.0</v>
      </c>
      <c r="J651" s="14">
        <f t="shared" si="2"/>
        <v>3.72</v>
      </c>
      <c r="K651" s="15" t="str">
        <f t="shared" si="3"/>
        <v>Baja</v>
      </c>
    </row>
    <row r="652" ht="14.25" customHeight="1">
      <c r="A652" s="6" t="s">
        <v>1314</v>
      </c>
      <c r="B652" s="9" t="s">
        <v>1305</v>
      </c>
      <c r="C652" s="10">
        <v>1.0</v>
      </c>
      <c r="D652" s="10">
        <v>1.0</v>
      </c>
      <c r="E652" s="10">
        <v>3.0</v>
      </c>
      <c r="F652" s="10">
        <v>3.0</v>
      </c>
      <c r="G652" s="10">
        <v>1.0</v>
      </c>
      <c r="H652" s="12">
        <f t="shared" si="1"/>
        <v>1.672</v>
      </c>
      <c r="I652" s="13">
        <v>1.0</v>
      </c>
      <c r="J652" s="14">
        <f t="shared" si="2"/>
        <v>1.672</v>
      </c>
      <c r="K652" s="15" t="str">
        <f t="shared" si="3"/>
        <v>Baja</v>
      </c>
    </row>
    <row r="653" ht="14.25" customHeight="1">
      <c r="A653" s="6" t="s">
        <v>1314</v>
      </c>
      <c r="B653" s="9" t="s">
        <v>1311</v>
      </c>
      <c r="C653" s="10">
        <v>1.0</v>
      </c>
      <c r="D653" s="10">
        <v>1.0</v>
      </c>
      <c r="E653" s="10">
        <v>3.0</v>
      </c>
      <c r="F653" s="10">
        <v>2.0</v>
      </c>
      <c r="G653" s="10">
        <v>1.0</v>
      </c>
      <c r="H653" s="12">
        <f t="shared" si="1"/>
        <v>1.576</v>
      </c>
      <c r="I653" s="13">
        <v>1.0</v>
      </c>
      <c r="J653" s="14">
        <f t="shared" si="2"/>
        <v>1.576</v>
      </c>
      <c r="K653" s="15" t="str">
        <f t="shared" si="3"/>
        <v>Baja</v>
      </c>
    </row>
    <row r="654" ht="14.25" customHeight="1">
      <c r="A654" s="6" t="s">
        <v>1314</v>
      </c>
      <c r="B654" s="9" t="s">
        <v>1315</v>
      </c>
      <c r="C654" s="10">
        <v>1.0</v>
      </c>
      <c r="D654" s="10">
        <v>1.0</v>
      </c>
      <c r="E654" s="10">
        <v>3.0</v>
      </c>
      <c r="F654" s="10">
        <v>2.0</v>
      </c>
      <c r="G654" s="10">
        <v>1.0</v>
      </c>
      <c r="H654" s="12">
        <f t="shared" si="1"/>
        <v>1.576</v>
      </c>
      <c r="I654" s="13">
        <v>2.0</v>
      </c>
      <c r="J654" s="14">
        <f t="shared" si="2"/>
        <v>3.152</v>
      </c>
      <c r="K654" s="15" t="str">
        <f t="shared" si="3"/>
        <v>Baja</v>
      </c>
    </row>
    <row r="655" ht="14.25" customHeight="1">
      <c r="A655" s="6" t="s">
        <v>1314</v>
      </c>
      <c r="B655" s="9" t="s">
        <v>1325</v>
      </c>
      <c r="C655" s="10">
        <v>1.0</v>
      </c>
      <c r="D655" s="10">
        <v>1.0</v>
      </c>
      <c r="E655" s="10">
        <v>3.0</v>
      </c>
      <c r="F655" s="10">
        <v>2.0</v>
      </c>
      <c r="G655" s="10">
        <v>1.0</v>
      </c>
      <c r="H655" s="12">
        <f t="shared" si="1"/>
        <v>1.576</v>
      </c>
      <c r="I655" s="13">
        <v>2.0</v>
      </c>
      <c r="J655" s="14">
        <f t="shared" si="2"/>
        <v>3.152</v>
      </c>
      <c r="K655" s="15" t="str">
        <f t="shared" si="3"/>
        <v>Baja</v>
      </c>
    </row>
    <row r="656" ht="14.25" customHeight="1">
      <c r="A656" s="6" t="s">
        <v>1314</v>
      </c>
      <c r="B656" s="9" t="s">
        <v>1333</v>
      </c>
      <c r="C656" s="10">
        <v>1.0</v>
      </c>
      <c r="D656" s="10">
        <v>1.0</v>
      </c>
      <c r="E656" s="10">
        <v>3.0</v>
      </c>
      <c r="F656" s="10">
        <v>2.0</v>
      </c>
      <c r="G656" s="10">
        <v>1.0</v>
      </c>
      <c r="H656" s="12">
        <f t="shared" si="1"/>
        <v>1.576</v>
      </c>
      <c r="I656" s="13">
        <v>1.0</v>
      </c>
      <c r="J656" s="14">
        <f t="shared" si="2"/>
        <v>1.576</v>
      </c>
      <c r="K656" s="15" t="str">
        <f t="shared" si="3"/>
        <v>Baja</v>
      </c>
    </row>
    <row r="657" ht="14.25" customHeight="1">
      <c r="A657" s="6" t="s">
        <v>1324</v>
      </c>
      <c r="B657" s="27" t="s">
        <v>3407</v>
      </c>
      <c r="C657" s="10">
        <v>1.0</v>
      </c>
      <c r="D657" s="10">
        <v>2.0</v>
      </c>
      <c r="E657" s="10">
        <v>3.0</v>
      </c>
      <c r="F657" s="10">
        <v>2.0</v>
      </c>
      <c r="G657" s="10">
        <v>1.0</v>
      </c>
      <c r="H657" s="12">
        <f t="shared" si="1"/>
        <v>1.756</v>
      </c>
      <c r="I657" s="13">
        <v>1.0</v>
      </c>
      <c r="J657" s="14">
        <f t="shared" si="2"/>
        <v>1.756</v>
      </c>
      <c r="K657" s="15" t="str">
        <f t="shared" si="3"/>
        <v>Baja</v>
      </c>
    </row>
    <row r="658" ht="14.25" customHeight="1">
      <c r="A658" s="6" t="s">
        <v>1324</v>
      </c>
      <c r="B658" s="27" t="s">
        <v>3408</v>
      </c>
      <c r="C658" s="10">
        <v>1.0</v>
      </c>
      <c r="D658" s="10">
        <v>2.0</v>
      </c>
      <c r="E658" s="10">
        <v>3.0</v>
      </c>
      <c r="F658" s="10">
        <v>1.0</v>
      </c>
      <c r="G658" s="10">
        <v>1.0</v>
      </c>
      <c r="H658" s="12">
        <f t="shared" si="1"/>
        <v>1.66</v>
      </c>
      <c r="I658" s="13">
        <v>2.0</v>
      </c>
      <c r="J658" s="14">
        <f t="shared" si="2"/>
        <v>3.32</v>
      </c>
      <c r="K658" s="15" t="str">
        <f t="shared" si="3"/>
        <v>Baja</v>
      </c>
    </row>
    <row r="659" ht="14.25" customHeight="1">
      <c r="A659" s="6" t="s">
        <v>1324</v>
      </c>
      <c r="B659" s="27" t="s">
        <v>1325</v>
      </c>
      <c r="C659" s="10">
        <v>1.0</v>
      </c>
      <c r="D659" s="10">
        <v>1.0</v>
      </c>
      <c r="E659" s="10">
        <v>3.0</v>
      </c>
      <c r="F659" s="10">
        <v>2.0</v>
      </c>
      <c r="G659" s="10">
        <v>1.0</v>
      </c>
      <c r="H659" s="12">
        <f t="shared" si="1"/>
        <v>1.576</v>
      </c>
      <c r="I659" s="13">
        <v>2.0</v>
      </c>
      <c r="J659" s="14">
        <f t="shared" si="2"/>
        <v>3.152</v>
      </c>
      <c r="K659" s="15" t="str">
        <f t="shared" si="3"/>
        <v>Baja</v>
      </c>
    </row>
    <row r="660" ht="14.25" customHeight="1">
      <c r="A660" s="6" t="s">
        <v>1336</v>
      </c>
      <c r="B660" s="9" t="s">
        <v>3185</v>
      </c>
      <c r="C660" s="10">
        <v>3.0</v>
      </c>
      <c r="D660" s="10">
        <v>2.0</v>
      </c>
      <c r="E660" s="10">
        <v>3.0</v>
      </c>
      <c r="F660" s="10">
        <v>2.0</v>
      </c>
      <c r="G660" s="10">
        <v>1.0</v>
      </c>
      <c r="H660" s="12">
        <f t="shared" si="1"/>
        <v>2.524</v>
      </c>
      <c r="I660" s="13">
        <v>3.0</v>
      </c>
      <c r="J660" s="14">
        <f t="shared" si="2"/>
        <v>7.572</v>
      </c>
      <c r="K660" s="15" t="str">
        <f t="shared" si="3"/>
        <v>Media</v>
      </c>
    </row>
    <row r="661" ht="14.25" customHeight="1">
      <c r="A661" s="6" t="s">
        <v>1336</v>
      </c>
      <c r="B661" s="9" t="s">
        <v>3190</v>
      </c>
      <c r="C661" s="10">
        <v>3.0</v>
      </c>
      <c r="D661" s="10">
        <v>2.0</v>
      </c>
      <c r="E661" s="10">
        <v>2.0</v>
      </c>
      <c r="F661" s="10">
        <v>1.0</v>
      </c>
      <c r="G661" s="10">
        <v>1.0</v>
      </c>
      <c r="H661" s="12">
        <f t="shared" si="1"/>
        <v>2.188</v>
      </c>
      <c r="I661" s="13">
        <v>2.0</v>
      </c>
      <c r="J661" s="14">
        <f t="shared" si="2"/>
        <v>4.376</v>
      </c>
      <c r="K661" s="15" t="str">
        <f t="shared" si="3"/>
        <v>Media</v>
      </c>
    </row>
    <row r="662" ht="14.25" customHeight="1">
      <c r="A662" s="6" t="s">
        <v>1336</v>
      </c>
      <c r="B662" s="9" t="s">
        <v>3196</v>
      </c>
      <c r="C662" s="10">
        <v>3.0</v>
      </c>
      <c r="D662" s="10">
        <v>2.0</v>
      </c>
      <c r="E662" s="10">
        <v>3.0</v>
      </c>
      <c r="F662" s="10">
        <v>2.0</v>
      </c>
      <c r="G662" s="10">
        <v>1.0</v>
      </c>
      <c r="H662" s="12">
        <f t="shared" si="1"/>
        <v>2.524</v>
      </c>
      <c r="I662" s="13">
        <v>2.0</v>
      </c>
      <c r="J662" s="14">
        <f t="shared" si="2"/>
        <v>5.048</v>
      </c>
      <c r="K662" s="15" t="str">
        <f t="shared" si="3"/>
        <v>Media</v>
      </c>
    </row>
    <row r="663" ht="14.25" customHeight="1">
      <c r="A663" s="6" t="s">
        <v>1336</v>
      </c>
      <c r="B663" s="9" t="s">
        <v>3201</v>
      </c>
      <c r="C663" s="10">
        <v>2.0</v>
      </c>
      <c r="D663" s="10">
        <v>1.0</v>
      </c>
      <c r="E663" s="10">
        <v>2.0</v>
      </c>
      <c r="F663" s="10">
        <v>1.0</v>
      </c>
      <c r="G663" s="10">
        <v>1.0</v>
      </c>
      <c r="H663" s="12">
        <f t="shared" si="1"/>
        <v>1.624</v>
      </c>
      <c r="I663" s="13">
        <v>1.0</v>
      </c>
      <c r="J663" s="14">
        <f t="shared" si="2"/>
        <v>1.624</v>
      </c>
      <c r="K663" s="15" t="str">
        <f t="shared" si="3"/>
        <v>Baja</v>
      </c>
    </row>
    <row r="664" ht="14.25" customHeight="1">
      <c r="A664" s="6" t="s">
        <v>1340</v>
      </c>
      <c r="B664" s="27" t="s">
        <v>3210</v>
      </c>
      <c r="C664" s="10">
        <v>2.0</v>
      </c>
      <c r="D664" s="10">
        <v>1.0</v>
      </c>
      <c r="E664" s="10">
        <v>3.0</v>
      </c>
      <c r="F664" s="10">
        <v>2.0</v>
      </c>
      <c r="G664" s="10">
        <v>1.0</v>
      </c>
      <c r="H664" s="12">
        <f t="shared" si="1"/>
        <v>1.96</v>
      </c>
      <c r="I664" s="13">
        <v>1.0</v>
      </c>
      <c r="J664" s="14">
        <f t="shared" si="2"/>
        <v>1.96</v>
      </c>
      <c r="K664" s="15" t="str">
        <f t="shared" si="3"/>
        <v>Baja</v>
      </c>
    </row>
    <row r="665" ht="14.25" customHeight="1">
      <c r="A665" s="6" t="s">
        <v>1340</v>
      </c>
      <c r="B665" s="27" t="s">
        <v>3217</v>
      </c>
      <c r="C665" s="10">
        <v>1.0</v>
      </c>
      <c r="D665" s="10">
        <v>1.0</v>
      </c>
      <c r="E665" s="10">
        <v>3.0</v>
      </c>
      <c r="F665" s="10">
        <v>2.0</v>
      </c>
      <c r="G665" s="10">
        <v>1.0</v>
      </c>
      <c r="H665" s="12">
        <f t="shared" si="1"/>
        <v>1.576</v>
      </c>
      <c r="I665" s="13">
        <v>1.0</v>
      </c>
      <c r="J665" s="14">
        <f t="shared" si="2"/>
        <v>1.576</v>
      </c>
      <c r="K665" s="15" t="str">
        <f t="shared" si="3"/>
        <v>Baja</v>
      </c>
    </row>
    <row r="666" ht="14.25" customHeight="1">
      <c r="A666" s="6" t="s">
        <v>1340</v>
      </c>
      <c r="B666" s="27" t="s">
        <v>3225</v>
      </c>
      <c r="C666" s="10">
        <v>1.0</v>
      </c>
      <c r="D666" s="10">
        <v>1.0</v>
      </c>
      <c r="E666" s="10">
        <v>3.0</v>
      </c>
      <c r="F666" s="10">
        <v>2.0</v>
      </c>
      <c r="G666" s="10">
        <v>1.0</v>
      </c>
      <c r="H666" s="12">
        <f t="shared" si="1"/>
        <v>1.576</v>
      </c>
      <c r="I666" s="13">
        <v>3.0</v>
      </c>
      <c r="J666" s="14">
        <f t="shared" si="2"/>
        <v>4.728</v>
      </c>
      <c r="K666" s="15" t="str">
        <f t="shared" si="3"/>
        <v>Media</v>
      </c>
    </row>
    <row r="667" ht="14.25" customHeight="1">
      <c r="A667" s="6" t="s">
        <v>1347</v>
      </c>
      <c r="B667" s="9" t="s">
        <v>1813</v>
      </c>
      <c r="C667" s="10">
        <v>3.0</v>
      </c>
      <c r="D667" s="10">
        <v>2.0</v>
      </c>
      <c r="E667" s="10">
        <v>3.0</v>
      </c>
      <c r="F667" s="10">
        <v>2.0</v>
      </c>
      <c r="G667" s="10">
        <v>1.0</v>
      </c>
      <c r="H667" s="12">
        <f t="shared" si="1"/>
        <v>2.524</v>
      </c>
      <c r="I667" s="13">
        <v>1.0</v>
      </c>
      <c r="J667" s="14">
        <f t="shared" si="2"/>
        <v>2.524</v>
      </c>
      <c r="K667" s="15" t="str">
        <f t="shared" si="3"/>
        <v>Baja</v>
      </c>
    </row>
    <row r="668" ht="14.25" customHeight="1">
      <c r="A668" s="6" t="s">
        <v>1347</v>
      </c>
      <c r="B668" s="9" t="s">
        <v>2009</v>
      </c>
      <c r="C668" s="10">
        <v>3.0</v>
      </c>
      <c r="D668" s="10">
        <v>2.0</v>
      </c>
      <c r="E668" s="10">
        <v>3.0</v>
      </c>
      <c r="F668" s="10">
        <v>4.0</v>
      </c>
      <c r="G668" s="10">
        <v>1.0</v>
      </c>
      <c r="H668" s="12">
        <f t="shared" si="1"/>
        <v>2.716</v>
      </c>
      <c r="I668" s="13">
        <v>1.0</v>
      </c>
      <c r="J668" s="14">
        <f t="shared" si="2"/>
        <v>2.716</v>
      </c>
      <c r="K668" s="15" t="str">
        <f t="shared" si="3"/>
        <v>Baja</v>
      </c>
    </row>
    <row r="669" ht="14.25" customHeight="1">
      <c r="A669" s="6" t="s">
        <v>1347</v>
      </c>
      <c r="B669" s="9" t="s">
        <v>1822</v>
      </c>
      <c r="C669" s="10">
        <v>2.0</v>
      </c>
      <c r="D669" s="10">
        <v>1.0</v>
      </c>
      <c r="E669" s="10">
        <v>2.0</v>
      </c>
      <c r="F669" s="10">
        <v>1.0</v>
      </c>
      <c r="G669" s="10">
        <v>1.0</v>
      </c>
      <c r="H669" s="12">
        <f t="shared" si="1"/>
        <v>1.624</v>
      </c>
      <c r="I669" s="13">
        <v>3.0</v>
      </c>
      <c r="J669" s="14">
        <f t="shared" si="2"/>
        <v>4.872</v>
      </c>
      <c r="K669" s="15" t="str">
        <f t="shared" si="3"/>
        <v>Media</v>
      </c>
    </row>
    <row r="670" ht="14.25" customHeight="1">
      <c r="A670" s="6" t="s">
        <v>1347</v>
      </c>
      <c r="B670" s="9" t="s">
        <v>2011</v>
      </c>
      <c r="C670" s="10">
        <v>2.0</v>
      </c>
      <c r="D670" s="10">
        <v>1.0</v>
      </c>
      <c r="E670" s="10">
        <v>3.0</v>
      </c>
      <c r="F670" s="10">
        <v>2.0</v>
      </c>
      <c r="G670" s="10">
        <v>1.0</v>
      </c>
      <c r="H670" s="12">
        <f t="shared" si="1"/>
        <v>1.96</v>
      </c>
      <c r="I670" s="13">
        <v>3.0</v>
      </c>
      <c r="J670" s="14">
        <f t="shared" si="2"/>
        <v>5.88</v>
      </c>
      <c r="K670" s="15" t="str">
        <f t="shared" si="3"/>
        <v>Media</v>
      </c>
    </row>
    <row r="671" ht="14.25" customHeight="1">
      <c r="A671" s="6" t="s">
        <v>1353</v>
      </c>
      <c r="B671" s="27" t="s">
        <v>999</v>
      </c>
      <c r="C671" s="10">
        <v>2.0</v>
      </c>
      <c r="D671" s="10">
        <v>2.0</v>
      </c>
      <c r="E671" s="10">
        <v>3.0</v>
      </c>
      <c r="F671" s="10">
        <v>3.0</v>
      </c>
      <c r="G671" s="10">
        <v>1.0</v>
      </c>
      <c r="H671" s="12">
        <f t="shared" si="1"/>
        <v>2.236</v>
      </c>
      <c r="I671" s="13">
        <v>2.0</v>
      </c>
      <c r="J671" s="14">
        <f t="shared" si="2"/>
        <v>4.472</v>
      </c>
      <c r="K671" s="15" t="str">
        <f t="shared" si="3"/>
        <v>Media</v>
      </c>
    </row>
    <row r="672" ht="14.25" customHeight="1">
      <c r="A672" s="6" t="s">
        <v>1353</v>
      </c>
      <c r="B672" s="27" t="s">
        <v>1005</v>
      </c>
      <c r="C672" s="10">
        <v>2.0</v>
      </c>
      <c r="D672" s="10">
        <v>2.0</v>
      </c>
      <c r="E672" s="10">
        <v>2.0</v>
      </c>
      <c r="F672" s="10">
        <v>3.0</v>
      </c>
      <c r="G672" s="10">
        <v>1.0</v>
      </c>
      <c r="H672" s="12">
        <f t="shared" si="1"/>
        <v>1.996</v>
      </c>
      <c r="I672" s="13">
        <v>1.0</v>
      </c>
      <c r="J672" s="14">
        <f t="shared" si="2"/>
        <v>1.996</v>
      </c>
      <c r="K672" s="15" t="str">
        <f t="shared" si="3"/>
        <v>Baja</v>
      </c>
    </row>
    <row r="673" ht="14.25" customHeight="1">
      <c r="A673" s="6" t="s">
        <v>1353</v>
      </c>
      <c r="B673" s="27" t="s">
        <v>1017</v>
      </c>
      <c r="C673" s="10">
        <v>2.0</v>
      </c>
      <c r="D673" s="10">
        <v>2.0</v>
      </c>
      <c r="E673" s="10">
        <v>3.0</v>
      </c>
      <c r="F673" s="10">
        <v>3.0</v>
      </c>
      <c r="G673" s="10">
        <v>1.0</v>
      </c>
      <c r="H673" s="12">
        <f t="shared" si="1"/>
        <v>2.236</v>
      </c>
      <c r="I673" s="13">
        <v>2.0</v>
      </c>
      <c r="J673" s="14">
        <f t="shared" si="2"/>
        <v>4.472</v>
      </c>
      <c r="K673" s="15" t="str">
        <f t="shared" si="3"/>
        <v>Media</v>
      </c>
    </row>
    <row r="674" ht="14.25" customHeight="1">
      <c r="A674" s="6" t="s">
        <v>1353</v>
      </c>
      <c r="B674" s="27" t="s">
        <v>727</v>
      </c>
      <c r="C674" s="10">
        <v>1.0</v>
      </c>
      <c r="D674" s="10">
        <v>1.0</v>
      </c>
      <c r="E674" s="10">
        <v>3.0</v>
      </c>
      <c r="F674" s="10">
        <v>3.0</v>
      </c>
      <c r="G674" s="10">
        <v>1.0</v>
      </c>
      <c r="H674" s="12">
        <f t="shared" si="1"/>
        <v>1.672</v>
      </c>
      <c r="I674" s="13">
        <v>2.0</v>
      </c>
      <c r="J674" s="14">
        <f t="shared" si="2"/>
        <v>3.344</v>
      </c>
      <c r="K674" s="15" t="str">
        <f t="shared" si="3"/>
        <v>Baja</v>
      </c>
    </row>
    <row r="675" ht="14.25" customHeight="1">
      <c r="A675" s="6" t="s">
        <v>1353</v>
      </c>
      <c r="B675" s="27" t="s">
        <v>1036</v>
      </c>
      <c r="C675" s="10">
        <v>1.0</v>
      </c>
      <c r="D675" s="10">
        <v>1.0</v>
      </c>
      <c r="E675" s="10">
        <v>3.0</v>
      </c>
      <c r="F675" s="10">
        <v>1.0</v>
      </c>
      <c r="G675" s="10">
        <v>1.0</v>
      </c>
      <c r="H675" s="12">
        <f t="shared" si="1"/>
        <v>1.48</v>
      </c>
      <c r="I675" s="13">
        <v>2.0</v>
      </c>
      <c r="J675" s="14">
        <f t="shared" si="2"/>
        <v>2.96</v>
      </c>
      <c r="K675" s="15" t="str">
        <f t="shared" si="3"/>
        <v>Baja</v>
      </c>
    </row>
    <row r="676" ht="14.25" customHeight="1">
      <c r="A676" s="6" t="s">
        <v>1353</v>
      </c>
      <c r="B676" s="27" t="s">
        <v>1421</v>
      </c>
      <c r="C676" s="10">
        <v>1.0</v>
      </c>
      <c r="D676" s="10">
        <v>1.0</v>
      </c>
      <c r="E676" s="10">
        <v>2.0</v>
      </c>
      <c r="F676" s="10">
        <v>1.0</v>
      </c>
      <c r="G676" s="10">
        <v>1.0</v>
      </c>
      <c r="H676" s="12">
        <f t="shared" si="1"/>
        <v>1.24</v>
      </c>
      <c r="I676" s="13">
        <v>2.0</v>
      </c>
      <c r="J676" s="14">
        <f t="shared" si="2"/>
        <v>2.48</v>
      </c>
      <c r="K676" s="15" t="str">
        <f t="shared" si="3"/>
        <v>Baja</v>
      </c>
    </row>
    <row r="677" ht="14.25" customHeight="1">
      <c r="A677" s="6" t="s">
        <v>1353</v>
      </c>
      <c r="B677" s="27" t="s">
        <v>1426</v>
      </c>
      <c r="C677" s="10">
        <v>1.0</v>
      </c>
      <c r="D677" s="10">
        <v>1.0</v>
      </c>
      <c r="E677" s="10">
        <v>2.0</v>
      </c>
      <c r="F677" s="10">
        <v>1.0</v>
      </c>
      <c r="G677" s="10">
        <v>1.0</v>
      </c>
      <c r="H677" s="12">
        <f t="shared" si="1"/>
        <v>1.24</v>
      </c>
      <c r="I677" s="13">
        <v>3.0</v>
      </c>
      <c r="J677" s="14">
        <f t="shared" si="2"/>
        <v>3.72</v>
      </c>
      <c r="K677" s="15" t="str">
        <f t="shared" si="3"/>
        <v>Baja</v>
      </c>
    </row>
    <row r="678" ht="14.25" customHeight="1">
      <c r="A678" s="6" t="s">
        <v>1358</v>
      </c>
      <c r="B678" s="9" t="s">
        <v>999</v>
      </c>
      <c r="C678" s="10">
        <v>2.0</v>
      </c>
      <c r="D678" s="10">
        <v>2.0</v>
      </c>
      <c r="E678" s="10">
        <v>3.0</v>
      </c>
      <c r="F678" s="10">
        <v>3.0</v>
      </c>
      <c r="G678" s="10">
        <v>1.0</v>
      </c>
      <c r="H678" s="12">
        <f t="shared" si="1"/>
        <v>2.236</v>
      </c>
      <c r="I678" s="13">
        <v>2.0</v>
      </c>
      <c r="J678" s="14">
        <f t="shared" si="2"/>
        <v>4.472</v>
      </c>
      <c r="K678" s="15" t="str">
        <f t="shared" si="3"/>
        <v>Media</v>
      </c>
    </row>
    <row r="679" ht="14.25" customHeight="1">
      <c r="A679" s="6" t="s">
        <v>1358</v>
      </c>
      <c r="B679" s="9" t="s">
        <v>1005</v>
      </c>
      <c r="C679" s="10">
        <v>2.0</v>
      </c>
      <c r="D679" s="10">
        <v>2.0</v>
      </c>
      <c r="E679" s="10">
        <v>2.0</v>
      </c>
      <c r="F679" s="10">
        <v>3.0</v>
      </c>
      <c r="G679" s="10">
        <v>1.0</v>
      </c>
      <c r="H679" s="12">
        <f t="shared" si="1"/>
        <v>1.996</v>
      </c>
      <c r="I679" s="13">
        <v>1.0</v>
      </c>
      <c r="J679" s="14">
        <f t="shared" si="2"/>
        <v>1.996</v>
      </c>
      <c r="K679" s="15" t="str">
        <f t="shared" si="3"/>
        <v>Baja</v>
      </c>
    </row>
    <row r="680" ht="14.25" customHeight="1">
      <c r="A680" s="6" t="s">
        <v>1358</v>
      </c>
      <c r="B680" s="9" t="s">
        <v>1017</v>
      </c>
      <c r="C680" s="10">
        <v>2.0</v>
      </c>
      <c r="D680" s="10">
        <v>2.0</v>
      </c>
      <c r="E680" s="10">
        <v>3.0</v>
      </c>
      <c r="F680" s="10">
        <v>3.0</v>
      </c>
      <c r="G680" s="10">
        <v>1.0</v>
      </c>
      <c r="H680" s="12">
        <f t="shared" si="1"/>
        <v>2.236</v>
      </c>
      <c r="I680" s="13">
        <v>2.0</v>
      </c>
      <c r="J680" s="14">
        <f t="shared" si="2"/>
        <v>4.472</v>
      </c>
      <c r="K680" s="15" t="str">
        <f t="shared" si="3"/>
        <v>Media</v>
      </c>
    </row>
    <row r="681" ht="14.25" customHeight="1">
      <c r="A681" s="6" t="s">
        <v>1358</v>
      </c>
      <c r="B681" s="9" t="s">
        <v>727</v>
      </c>
      <c r="C681" s="10">
        <v>1.0</v>
      </c>
      <c r="D681" s="10">
        <v>1.0</v>
      </c>
      <c r="E681" s="10">
        <v>3.0</v>
      </c>
      <c r="F681" s="10">
        <v>3.0</v>
      </c>
      <c r="G681" s="10">
        <v>1.0</v>
      </c>
      <c r="H681" s="12">
        <f t="shared" si="1"/>
        <v>1.672</v>
      </c>
      <c r="I681" s="13">
        <v>2.0</v>
      </c>
      <c r="J681" s="14">
        <f t="shared" si="2"/>
        <v>3.344</v>
      </c>
      <c r="K681" s="15" t="str">
        <f t="shared" si="3"/>
        <v>Baja</v>
      </c>
    </row>
    <row r="682" ht="14.25" customHeight="1">
      <c r="A682" s="6" t="s">
        <v>1358</v>
      </c>
      <c r="B682" s="9" t="s">
        <v>1031</v>
      </c>
      <c r="C682" s="10">
        <v>1.0</v>
      </c>
      <c r="D682" s="10">
        <v>1.0</v>
      </c>
      <c r="E682" s="10">
        <v>2.0</v>
      </c>
      <c r="F682" s="10">
        <v>1.0</v>
      </c>
      <c r="G682" s="10">
        <v>1.0</v>
      </c>
      <c r="H682" s="12">
        <f t="shared" si="1"/>
        <v>1.24</v>
      </c>
      <c r="I682" s="13">
        <v>3.0</v>
      </c>
      <c r="J682" s="14">
        <f t="shared" si="2"/>
        <v>3.72</v>
      </c>
      <c r="K682" s="15" t="str">
        <f t="shared" si="3"/>
        <v>Baja</v>
      </c>
    </row>
    <row r="683" ht="14.25" customHeight="1">
      <c r="A683" s="6" t="s">
        <v>1358</v>
      </c>
      <c r="B683" s="9" t="s">
        <v>1036</v>
      </c>
      <c r="C683" s="10">
        <v>1.0</v>
      </c>
      <c r="D683" s="10">
        <v>1.0</v>
      </c>
      <c r="E683" s="10">
        <v>3.0</v>
      </c>
      <c r="F683" s="10">
        <v>1.0</v>
      </c>
      <c r="G683" s="10">
        <v>1.0</v>
      </c>
      <c r="H683" s="12">
        <f t="shared" si="1"/>
        <v>1.48</v>
      </c>
      <c r="I683" s="13">
        <v>2.0</v>
      </c>
      <c r="J683" s="14">
        <f t="shared" si="2"/>
        <v>2.96</v>
      </c>
      <c r="K683" s="15" t="str">
        <f t="shared" si="3"/>
        <v>Baja</v>
      </c>
    </row>
    <row r="684" ht="14.25" customHeight="1">
      <c r="A684" s="6" t="s">
        <v>1358</v>
      </c>
      <c r="B684" s="9" t="s">
        <v>1041</v>
      </c>
      <c r="C684" s="10">
        <v>1.0</v>
      </c>
      <c r="D684" s="10">
        <v>1.0</v>
      </c>
      <c r="E684" s="10">
        <v>2.0</v>
      </c>
      <c r="F684" s="10">
        <v>1.0</v>
      </c>
      <c r="G684" s="10">
        <v>1.0</v>
      </c>
      <c r="H684" s="12">
        <f t="shared" si="1"/>
        <v>1.24</v>
      </c>
      <c r="I684" s="13">
        <v>2.0</v>
      </c>
      <c r="J684" s="14">
        <f t="shared" si="2"/>
        <v>2.48</v>
      </c>
      <c r="K684" s="15" t="str">
        <f t="shared" si="3"/>
        <v>Baja</v>
      </c>
    </row>
    <row r="685" ht="14.25" customHeight="1">
      <c r="A685" s="6" t="s">
        <v>1358</v>
      </c>
      <c r="B685" s="9" t="s">
        <v>1047</v>
      </c>
      <c r="C685" s="10">
        <v>1.0</v>
      </c>
      <c r="D685" s="10">
        <v>1.0</v>
      </c>
      <c r="E685" s="10">
        <v>2.0</v>
      </c>
      <c r="F685" s="10">
        <v>1.0</v>
      </c>
      <c r="G685" s="10">
        <v>1.0</v>
      </c>
      <c r="H685" s="12">
        <f t="shared" si="1"/>
        <v>1.24</v>
      </c>
      <c r="I685" s="13">
        <v>3.0</v>
      </c>
      <c r="J685" s="14">
        <f t="shared" si="2"/>
        <v>3.72</v>
      </c>
      <c r="K685" s="15" t="str">
        <f t="shared" si="3"/>
        <v>Baja</v>
      </c>
    </row>
    <row r="686" ht="14.25" customHeight="1">
      <c r="A686" s="6" t="s">
        <v>1364</v>
      </c>
      <c r="B686" s="27" t="s">
        <v>1157</v>
      </c>
      <c r="C686" s="10">
        <v>1.0</v>
      </c>
      <c r="D686" s="10">
        <v>1.0</v>
      </c>
      <c r="E686" s="10">
        <v>3.0</v>
      </c>
      <c r="F686" s="10">
        <v>1.0</v>
      </c>
      <c r="G686" s="10">
        <v>1.0</v>
      </c>
      <c r="H686" s="12">
        <f t="shared" si="1"/>
        <v>1.48</v>
      </c>
      <c r="I686" s="13">
        <v>2.0</v>
      </c>
      <c r="J686" s="14">
        <f t="shared" si="2"/>
        <v>2.96</v>
      </c>
      <c r="K686" s="15" t="str">
        <f t="shared" si="3"/>
        <v>Baja</v>
      </c>
    </row>
    <row r="687" ht="14.25" customHeight="1">
      <c r="A687" s="6" t="s">
        <v>1364</v>
      </c>
      <c r="B687" s="27" t="s">
        <v>1167</v>
      </c>
      <c r="C687" s="10">
        <v>1.0</v>
      </c>
      <c r="D687" s="10">
        <v>1.0</v>
      </c>
      <c r="E687" s="10">
        <v>2.0</v>
      </c>
      <c r="F687" s="10">
        <v>1.0</v>
      </c>
      <c r="G687" s="10">
        <v>1.0</v>
      </c>
      <c r="H687" s="12">
        <f t="shared" si="1"/>
        <v>1.24</v>
      </c>
      <c r="I687" s="13">
        <v>1.0</v>
      </c>
      <c r="J687" s="14">
        <f t="shared" si="2"/>
        <v>1.24</v>
      </c>
      <c r="K687" s="15" t="str">
        <f t="shared" si="3"/>
        <v>Baja</v>
      </c>
    </row>
    <row r="688" ht="14.25" customHeight="1">
      <c r="A688" s="6" t="s">
        <v>1364</v>
      </c>
      <c r="B688" s="27" t="s">
        <v>1176</v>
      </c>
      <c r="C688" s="10">
        <v>1.0</v>
      </c>
      <c r="D688" s="10">
        <v>1.0</v>
      </c>
      <c r="E688" s="10">
        <v>2.0</v>
      </c>
      <c r="F688" s="10">
        <v>1.0</v>
      </c>
      <c r="G688" s="10">
        <v>1.0</v>
      </c>
      <c r="H688" s="12">
        <f t="shared" si="1"/>
        <v>1.24</v>
      </c>
      <c r="I688" s="13">
        <v>3.0</v>
      </c>
      <c r="J688" s="14">
        <f t="shared" si="2"/>
        <v>3.72</v>
      </c>
      <c r="K688" s="15" t="str">
        <f t="shared" si="3"/>
        <v>Baja</v>
      </c>
    </row>
    <row r="689" ht="14.25" customHeight="1">
      <c r="A689" s="6" t="s">
        <v>1364</v>
      </c>
      <c r="B689" s="27" t="s">
        <v>1184</v>
      </c>
      <c r="C689" s="10">
        <v>1.0</v>
      </c>
      <c r="D689" s="10">
        <v>1.0</v>
      </c>
      <c r="E689" s="10">
        <v>2.0</v>
      </c>
      <c r="F689" s="10">
        <v>1.0</v>
      </c>
      <c r="G689" s="10">
        <v>1.0</v>
      </c>
      <c r="H689" s="12">
        <f t="shared" si="1"/>
        <v>1.24</v>
      </c>
      <c r="I689" s="13">
        <v>2.0</v>
      </c>
      <c r="J689" s="14">
        <f t="shared" si="2"/>
        <v>2.48</v>
      </c>
      <c r="K689" s="15" t="str">
        <f t="shared" si="3"/>
        <v>Baja</v>
      </c>
    </row>
    <row r="690" ht="14.25" customHeight="1">
      <c r="A690" s="6" t="s">
        <v>1370</v>
      </c>
      <c r="B690" s="9" t="s">
        <v>3379</v>
      </c>
      <c r="C690" s="10">
        <v>1.0</v>
      </c>
      <c r="D690" s="10">
        <v>2.0</v>
      </c>
      <c r="E690" s="10">
        <v>3.0</v>
      </c>
      <c r="F690" s="10">
        <v>2.0</v>
      </c>
      <c r="G690" s="10">
        <v>1.0</v>
      </c>
      <c r="H690" s="12">
        <f t="shared" si="1"/>
        <v>1.756</v>
      </c>
      <c r="I690" s="13">
        <v>2.0</v>
      </c>
      <c r="J690" s="14">
        <f t="shared" si="2"/>
        <v>3.512</v>
      </c>
      <c r="K690" s="15" t="str">
        <f t="shared" si="3"/>
        <v>Baja</v>
      </c>
    </row>
    <row r="691" ht="14.25" customHeight="1">
      <c r="A691" s="6" t="s">
        <v>1370</v>
      </c>
      <c r="B691" s="9" t="s">
        <v>3383</v>
      </c>
      <c r="C691" s="10">
        <v>1.0</v>
      </c>
      <c r="D691" s="10">
        <v>2.0</v>
      </c>
      <c r="E691" s="10">
        <v>2.0</v>
      </c>
      <c r="F691" s="10">
        <v>2.0</v>
      </c>
      <c r="G691" s="10">
        <v>1.0</v>
      </c>
      <c r="H691" s="12">
        <f t="shared" si="1"/>
        <v>1.516</v>
      </c>
      <c r="I691" s="13">
        <v>1.0</v>
      </c>
      <c r="J691" s="14">
        <f t="shared" si="2"/>
        <v>1.516</v>
      </c>
      <c r="K691" s="15" t="str">
        <f t="shared" si="3"/>
        <v>Baja</v>
      </c>
    </row>
    <row r="692" ht="14.25" customHeight="1">
      <c r="A692" s="6" t="s">
        <v>1370</v>
      </c>
      <c r="B692" s="9" t="s">
        <v>3384</v>
      </c>
      <c r="C692" s="10">
        <v>1.0</v>
      </c>
      <c r="D692" s="10">
        <v>1.0</v>
      </c>
      <c r="E692" s="10">
        <v>2.0</v>
      </c>
      <c r="F692" s="10">
        <v>2.0</v>
      </c>
      <c r="G692" s="10">
        <v>1.0</v>
      </c>
      <c r="H692" s="12">
        <f t="shared" si="1"/>
        <v>1.336</v>
      </c>
      <c r="I692" s="13">
        <v>2.0</v>
      </c>
      <c r="J692" s="14">
        <f t="shared" si="2"/>
        <v>2.672</v>
      </c>
      <c r="K692" s="15" t="str">
        <f t="shared" si="3"/>
        <v>Baja</v>
      </c>
    </row>
    <row r="693" ht="14.25" customHeight="1">
      <c r="A693" s="6" t="s">
        <v>1370</v>
      </c>
      <c r="B693" s="9" t="s">
        <v>3385</v>
      </c>
      <c r="C693" s="10">
        <v>1.0</v>
      </c>
      <c r="D693" s="10">
        <v>1.0</v>
      </c>
      <c r="E693" s="10">
        <v>2.0</v>
      </c>
      <c r="F693" s="10">
        <v>2.0</v>
      </c>
      <c r="G693" s="10">
        <v>1.0</v>
      </c>
      <c r="H693" s="12">
        <f t="shared" si="1"/>
        <v>1.336</v>
      </c>
      <c r="I693" s="13">
        <v>3.0</v>
      </c>
      <c r="J693" s="14">
        <f t="shared" si="2"/>
        <v>4.008</v>
      </c>
      <c r="K693" s="15" t="str">
        <f t="shared" si="3"/>
        <v>Media</v>
      </c>
    </row>
    <row r="694" ht="14.25" customHeight="1">
      <c r="A694" s="6" t="s">
        <v>1370</v>
      </c>
      <c r="B694" s="9" t="s">
        <v>1728</v>
      </c>
      <c r="C694" s="10">
        <v>1.0</v>
      </c>
      <c r="D694" s="10">
        <v>1.0</v>
      </c>
      <c r="E694" s="10">
        <v>2.0</v>
      </c>
      <c r="F694" s="10">
        <v>1.0</v>
      </c>
      <c r="G694" s="10">
        <v>1.0</v>
      </c>
      <c r="H694" s="12">
        <f t="shared" si="1"/>
        <v>1.24</v>
      </c>
      <c r="I694" s="13">
        <v>2.0</v>
      </c>
      <c r="J694" s="14">
        <f t="shared" si="2"/>
        <v>2.48</v>
      </c>
      <c r="K694" s="15" t="str">
        <f t="shared" si="3"/>
        <v>Baja</v>
      </c>
    </row>
    <row r="695" ht="14.25" customHeight="1">
      <c r="A695" s="6" t="s">
        <v>1377</v>
      </c>
      <c r="B695" s="27" t="s">
        <v>1191</v>
      </c>
      <c r="C695" s="10">
        <v>1.0</v>
      </c>
      <c r="D695" s="10">
        <v>2.0</v>
      </c>
      <c r="E695" s="10">
        <v>2.0</v>
      </c>
      <c r="F695" s="10">
        <v>1.0</v>
      </c>
      <c r="G695" s="10">
        <v>1.0</v>
      </c>
      <c r="H695" s="12">
        <f t="shared" si="1"/>
        <v>1.42</v>
      </c>
      <c r="I695" s="13">
        <v>3.0</v>
      </c>
      <c r="J695" s="14">
        <f t="shared" si="2"/>
        <v>4.26</v>
      </c>
      <c r="K695" s="15" t="str">
        <f t="shared" si="3"/>
        <v>Media</v>
      </c>
    </row>
    <row r="696" ht="14.25" customHeight="1">
      <c r="A696" s="6" t="s">
        <v>1377</v>
      </c>
      <c r="B696" s="27" t="s">
        <v>1195</v>
      </c>
      <c r="C696" s="10">
        <v>1.0</v>
      </c>
      <c r="D696" s="10">
        <v>2.0</v>
      </c>
      <c r="E696" s="10">
        <v>2.0</v>
      </c>
      <c r="F696" s="10">
        <v>1.0</v>
      </c>
      <c r="G696" s="10">
        <v>1.0</v>
      </c>
      <c r="H696" s="12">
        <f t="shared" si="1"/>
        <v>1.42</v>
      </c>
      <c r="I696" s="13">
        <v>2.0</v>
      </c>
      <c r="J696" s="14">
        <f t="shared" si="2"/>
        <v>2.84</v>
      </c>
      <c r="K696" s="15" t="str">
        <f t="shared" si="3"/>
        <v>Baja</v>
      </c>
    </row>
    <row r="697" ht="14.25" customHeight="1">
      <c r="A697" s="6" t="s">
        <v>1377</v>
      </c>
      <c r="B697" s="27" t="s">
        <v>1204</v>
      </c>
      <c r="C697" s="10">
        <v>1.0</v>
      </c>
      <c r="D697" s="10">
        <v>2.0</v>
      </c>
      <c r="E697" s="10">
        <v>2.0</v>
      </c>
      <c r="F697" s="10">
        <v>1.0</v>
      </c>
      <c r="G697" s="10">
        <v>1.0</v>
      </c>
      <c r="H697" s="12">
        <f t="shared" si="1"/>
        <v>1.42</v>
      </c>
      <c r="I697" s="13">
        <v>1.0</v>
      </c>
      <c r="J697" s="14">
        <f t="shared" si="2"/>
        <v>1.42</v>
      </c>
      <c r="K697" s="15" t="str">
        <f t="shared" si="3"/>
        <v>Baja</v>
      </c>
    </row>
    <row r="698" ht="14.25" customHeight="1">
      <c r="A698" s="6" t="s">
        <v>1377</v>
      </c>
      <c r="B698" s="27" t="s">
        <v>1210</v>
      </c>
      <c r="C698" s="10">
        <v>1.0</v>
      </c>
      <c r="D698" s="10">
        <v>2.0</v>
      </c>
      <c r="E698" s="10">
        <v>2.0</v>
      </c>
      <c r="F698" s="10">
        <v>1.0</v>
      </c>
      <c r="G698" s="10">
        <v>1.0</v>
      </c>
      <c r="H698" s="12">
        <f t="shared" si="1"/>
        <v>1.42</v>
      </c>
      <c r="I698" s="13">
        <v>3.0</v>
      </c>
      <c r="J698" s="14">
        <f t="shared" si="2"/>
        <v>4.26</v>
      </c>
      <c r="K698" s="15" t="str">
        <f t="shared" si="3"/>
        <v>Media</v>
      </c>
    </row>
    <row r="699" ht="14.25" customHeight="1">
      <c r="A699" s="6" t="s">
        <v>1377</v>
      </c>
      <c r="B699" s="27" t="s">
        <v>1219</v>
      </c>
      <c r="C699" s="10">
        <v>1.0</v>
      </c>
      <c r="D699" s="10">
        <v>2.0</v>
      </c>
      <c r="E699" s="10">
        <v>2.0</v>
      </c>
      <c r="F699" s="10">
        <v>1.0</v>
      </c>
      <c r="G699" s="10">
        <v>1.0</v>
      </c>
      <c r="H699" s="12">
        <f t="shared" si="1"/>
        <v>1.42</v>
      </c>
      <c r="I699" s="13">
        <v>3.0</v>
      </c>
      <c r="J699" s="14">
        <f t="shared" si="2"/>
        <v>4.26</v>
      </c>
      <c r="K699" s="15" t="str">
        <f t="shared" si="3"/>
        <v>Media</v>
      </c>
    </row>
    <row r="700" ht="14.25" customHeight="1">
      <c r="A700" s="6" t="s">
        <v>1377</v>
      </c>
      <c r="B700" s="27" t="s">
        <v>1228</v>
      </c>
      <c r="C700" s="10">
        <v>1.0</v>
      </c>
      <c r="D700" s="10">
        <v>1.0</v>
      </c>
      <c r="E700" s="10">
        <v>2.0</v>
      </c>
      <c r="F700" s="10">
        <v>1.0</v>
      </c>
      <c r="G700" s="10">
        <v>1.0</v>
      </c>
      <c r="H700" s="12">
        <f t="shared" si="1"/>
        <v>1.24</v>
      </c>
      <c r="I700" s="13">
        <v>2.0</v>
      </c>
      <c r="J700" s="14">
        <f t="shared" si="2"/>
        <v>2.48</v>
      </c>
      <c r="K700" s="15" t="str">
        <f t="shared" si="3"/>
        <v>Baja</v>
      </c>
    </row>
    <row r="701" ht="14.25" customHeight="1">
      <c r="A701" s="6" t="s">
        <v>1377</v>
      </c>
      <c r="B701" s="27" t="s">
        <v>1233</v>
      </c>
      <c r="C701" s="10">
        <v>1.0</v>
      </c>
      <c r="D701" s="10">
        <v>1.0</v>
      </c>
      <c r="E701" s="10">
        <v>2.0</v>
      </c>
      <c r="F701" s="10">
        <v>1.0</v>
      </c>
      <c r="G701" s="10">
        <v>1.0</v>
      </c>
      <c r="H701" s="12">
        <f t="shared" si="1"/>
        <v>1.24</v>
      </c>
      <c r="I701" s="13">
        <v>3.0</v>
      </c>
      <c r="J701" s="14">
        <f t="shared" si="2"/>
        <v>3.72</v>
      </c>
      <c r="K701" s="15" t="str">
        <f t="shared" si="3"/>
        <v>Baja</v>
      </c>
    </row>
    <row r="702" ht="14.25" customHeight="1">
      <c r="A702" s="6" t="s">
        <v>1383</v>
      </c>
      <c r="B702" s="9" t="s">
        <v>1191</v>
      </c>
      <c r="C702" s="10">
        <v>1.0</v>
      </c>
      <c r="D702" s="10">
        <v>2.0</v>
      </c>
      <c r="E702" s="10">
        <v>2.0</v>
      </c>
      <c r="F702" s="10">
        <v>1.0</v>
      </c>
      <c r="G702" s="10">
        <v>1.0</v>
      </c>
      <c r="H702" s="12">
        <f t="shared" si="1"/>
        <v>1.42</v>
      </c>
      <c r="I702" s="13">
        <v>3.0</v>
      </c>
      <c r="J702" s="14">
        <f t="shared" si="2"/>
        <v>4.26</v>
      </c>
      <c r="K702" s="15" t="str">
        <f t="shared" si="3"/>
        <v>Media</v>
      </c>
    </row>
    <row r="703" ht="14.25" customHeight="1">
      <c r="A703" s="6" t="s">
        <v>1383</v>
      </c>
      <c r="B703" s="9" t="s">
        <v>1204</v>
      </c>
      <c r="C703" s="10">
        <v>1.0</v>
      </c>
      <c r="D703" s="10">
        <v>2.0</v>
      </c>
      <c r="E703" s="10">
        <v>2.0</v>
      </c>
      <c r="F703" s="10">
        <v>1.0</v>
      </c>
      <c r="G703" s="10">
        <v>1.0</v>
      </c>
      <c r="H703" s="12">
        <f t="shared" si="1"/>
        <v>1.42</v>
      </c>
      <c r="I703" s="13">
        <v>1.0</v>
      </c>
      <c r="J703" s="14">
        <f t="shared" si="2"/>
        <v>1.42</v>
      </c>
      <c r="K703" s="15" t="str">
        <f t="shared" si="3"/>
        <v>Baja</v>
      </c>
    </row>
    <row r="704" ht="14.25" customHeight="1">
      <c r="A704" s="6" t="s">
        <v>1383</v>
      </c>
      <c r="B704" s="9" t="s">
        <v>1228</v>
      </c>
      <c r="C704" s="10">
        <v>1.0</v>
      </c>
      <c r="D704" s="10">
        <v>1.0</v>
      </c>
      <c r="E704" s="10">
        <v>2.0</v>
      </c>
      <c r="F704" s="10">
        <v>1.0</v>
      </c>
      <c r="G704" s="10">
        <v>1.0</v>
      </c>
      <c r="H704" s="12">
        <f t="shared" si="1"/>
        <v>1.24</v>
      </c>
      <c r="I704" s="13">
        <v>2.0</v>
      </c>
      <c r="J704" s="14">
        <f t="shared" si="2"/>
        <v>2.48</v>
      </c>
      <c r="K704" s="15" t="str">
        <f t="shared" si="3"/>
        <v>Baja</v>
      </c>
    </row>
    <row r="705" ht="14.25" customHeight="1">
      <c r="A705" s="6" t="s">
        <v>1388</v>
      </c>
      <c r="B705" s="27" t="s">
        <v>3420</v>
      </c>
      <c r="C705" s="10">
        <v>1.0</v>
      </c>
      <c r="D705" s="10">
        <v>1.0</v>
      </c>
      <c r="E705" s="10">
        <v>3.0</v>
      </c>
      <c r="F705" s="10">
        <v>2.0</v>
      </c>
      <c r="G705" s="10">
        <v>1.0</v>
      </c>
      <c r="H705" s="12">
        <f t="shared" si="1"/>
        <v>1.576</v>
      </c>
      <c r="I705" s="13">
        <v>1.0</v>
      </c>
      <c r="J705" s="14">
        <f t="shared" si="2"/>
        <v>1.576</v>
      </c>
      <c r="K705" s="15" t="str">
        <f t="shared" si="3"/>
        <v>Baja</v>
      </c>
    </row>
    <row r="706" ht="14.25" customHeight="1">
      <c r="A706" s="6" t="s">
        <v>1388</v>
      </c>
      <c r="B706" s="27" t="s">
        <v>3421</v>
      </c>
      <c r="C706" s="10">
        <v>1.0</v>
      </c>
      <c r="D706" s="10">
        <v>1.0</v>
      </c>
      <c r="E706" s="10">
        <v>2.0</v>
      </c>
      <c r="F706" s="10">
        <v>1.0</v>
      </c>
      <c r="G706" s="10">
        <v>1.0</v>
      </c>
      <c r="H706" s="12">
        <f t="shared" si="1"/>
        <v>1.24</v>
      </c>
      <c r="I706" s="13">
        <v>1.0</v>
      </c>
      <c r="J706" s="14">
        <f t="shared" si="2"/>
        <v>1.24</v>
      </c>
      <c r="K706" s="15" t="str">
        <f t="shared" si="3"/>
        <v>Baja</v>
      </c>
    </row>
    <row r="707" ht="14.25" customHeight="1">
      <c r="A707" s="6" t="s">
        <v>1388</v>
      </c>
      <c r="B707" s="27" t="s">
        <v>3422</v>
      </c>
      <c r="C707" s="10">
        <v>1.0</v>
      </c>
      <c r="D707" s="10">
        <v>1.0</v>
      </c>
      <c r="E707" s="10">
        <v>3.0</v>
      </c>
      <c r="F707" s="10">
        <v>1.0</v>
      </c>
      <c r="G707" s="10">
        <v>1.0</v>
      </c>
      <c r="H707" s="12">
        <f t="shared" si="1"/>
        <v>1.48</v>
      </c>
      <c r="I707" s="13">
        <v>2.0</v>
      </c>
      <c r="J707" s="14">
        <f t="shared" si="2"/>
        <v>2.96</v>
      </c>
      <c r="K707" s="15" t="str">
        <f t="shared" si="3"/>
        <v>Baja</v>
      </c>
    </row>
    <row r="708" ht="14.25" customHeight="1">
      <c r="A708" s="6" t="s">
        <v>1388</v>
      </c>
      <c r="B708" s="27" t="s">
        <v>3423</v>
      </c>
      <c r="C708" s="10">
        <v>1.0</v>
      </c>
      <c r="D708" s="10">
        <v>1.0</v>
      </c>
      <c r="E708" s="10">
        <v>2.0</v>
      </c>
      <c r="F708" s="10">
        <v>1.0</v>
      </c>
      <c r="G708" s="10">
        <v>1.0</v>
      </c>
      <c r="H708" s="12">
        <f t="shared" si="1"/>
        <v>1.24</v>
      </c>
      <c r="I708" s="13">
        <v>2.0</v>
      </c>
      <c r="J708" s="14">
        <f t="shared" si="2"/>
        <v>2.48</v>
      </c>
      <c r="K708" s="15" t="str">
        <f t="shared" si="3"/>
        <v>Baja</v>
      </c>
    </row>
    <row r="709" ht="14.25" customHeight="1">
      <c r="A709" s="6" t="s">
        <v>1388</v>
      </c>
      <c r="B709" s="27" t="s">
        <v>3424</v>
      </c>
      <c r="C709" s="10">
        <v>1.0</v>
      </c>
      <c r="D709" s="10">
        <v>1.0</v>
      </c>
      <c r="E709" s="10">
        <v>2.0</v>
      </c>
      <c r="F709" s="10">
        <v>2.0</v>
      </c>
      <c r="G709" s="10">
        <v>1.0</v>
      </c>
      <c r="H709" s="12">
        <f t="shared" si="1"/>
        <v>1.336</v>
      </c>
      <c r="I709" s="13">
        <v>2.0</v>
      </c>
      <c r="J709" s="14">
        <f t="shared" si="2"/>
        <v>2.672</v>
      </c>
      <c r="K709" s="15" t="str">
        <f t="shared" si="3"/>
        <v>Baja</v>
      </c>
    </row>
    <row r="710" ht="14.25" customHeight="1">
      <c r="A710" s="6" t="s">
        <v>1388</v>
      </c>
      <c r="B710" s="27" t="s">
        <v>3426</v>
      </c>
      <c r="C710" s="10">
        <v>1.0</v>
      </c>
      <c r="D710" s="10">
        <v>1.0</v>
      </c>
      <c r="E710" s="10">
        <v>2.0</v>
      </c>
      <c r="F710" s="10">
        <v>1.0</v>
      </c>
      <c r="G710" s="10">
        <v>1.0</v>
      </c>
      <c r="H710" s="12">
        <f t="shared" si="1"/>
        <v>1.24</v>
      </c>
      <c r="I710" s="13">
        <v>2.0</v>
      </c>
      <c r="J710" s="14">
        <f t="shared" si="2"/>
        <v>2.48</v>
      </c>
      <c r="K710" s="15" t="str">
        <f t="shared" si="3"/>
        <v>Baja</v>
      </c>
    </row>
    <row r="711" ht="14.25" customHeight="1">
      <c r="A711" s="6" t="s">
        <v>1402</v>
      </c>
      <c r="B711" s="9" t="s">
        <v>1770</v>
      </c>
      <c r="C711" s="10">
        <v>1.0</v>
      </c>
      <c r="D711" s="10">
        <v>1.0</v>
      </c>
      <c r="E711" s="10">
        <v>3.0</v>
      </c>
      <c r="F711" s="10">
        <v>2.0</v>
      </c>
      <c r="G711" s="10">
        <v>1.0</v>
      </c>
      <c r="H711" s="12">
        <f t="shared" si="1"/>
        <v>1.576</v>
      </c>
      <c r="I711" s="13">
        <v>1.0</v>
      </c>
      <c r="J711" s="14">
        <f t="shared" si="2"/>
        <v>1.576</v>
      </c>
      <c r="K711" s="15" t="str">
        <f t="shared" si="3"/>
        <v>Baja</v>
      </c>
    </row>
    <row r="712" ht="14.25" customHeight="1">
      <c r="A712" s="6" t="s">
        <v>1402</v>
      </c>
      <c r="B712" s="9" t="s">
        <v>1775</v>
      </c>
      <c r="C712" s="10">
        <v>1.0</v>
      </c>
      <c r="D712" s="10">
        <v>1.0</v>
      </c>
      <c r="E712" s="10">
        <v>3.0</v>
      </c>
      <c r="F712" s="10">
        <v>2.0</v>
      </c>
      <c r="G712" s="10">
        <v>1.0</v>
      </c>
      <c r="H712" s="12">
        <f t="shared" si="1"/>
        <v>1.576</v>
      </c>
      <c r="I712" s="13">
        <v>2.0</v>
      </c>
      <c r="J712" s="14">
        <f t="shared" si="2"/>
        <v>3.152</v>
      </c>
      <c r="K712" s="15" t="str">
        <f t="shared" si="3"/>
        <v>Baja</v>
      </c>
    </row>
    <row r="713" ht="14.25" customHeight="1">
      <c r="A713" s="6" t="s">
        <v>1402</v>
      </c>
      <c r="B713" s="9" t="s">
        <v>1779</v>
      </c>
      <c r="C713" s="10">
        <v>1.0</v>
      </c>
      <c r="D713" s="10">
        <v>1.0</v>
      </c>
      <c r="E713" s="10">
        <v>3.0</v>
      </c>
      <c r="F713" s="10">
        <v>2.0</v>
      </c>
      <c r="G713" s="10">
        <v>1.0</v>
      </c>
      <c r="H713" s="12">
        <f t="shared" si="1"/>
        <v>1.576</v>
      </c>
      <c r="I713" s="13">
        <v>1.0</v>
      </c>
      <c r="J713" s="14">
        <f t="shared" si="2"/>
        <v>1.576</v>
      </c>
      <c r="K713" s="15" t="str">
        <f t="shared" si="3"/>
        <v>Baja</v>
      </c>
    </row>
    <row r="714" ht="14.25" customHeight="1">
      <c r="A714" s="6" t="s">
        <v>1413</v>
      </c>
      <c r="B714" s="27" t="s">
        <v>1305</v>
      </c>
      <c r="C714" s="10">
        <v>1.0</v>
      </c>
      <c r="D714" s="10">
        <v>1.0</v>
      </c>
      <c r="E714" s="10">
        <v>3.0</v>
      </c>
      <c r="F714" s="10">
        <v>3.0</v>
      </c>
      <c r="G714" s="10">
        <v>1.0</v>
      </c>
      <c r="H714" s="12">
        <f t="shared" si="1"/>
        <v>1.672</v>
      </c>
      <c r="I714" s="13">
        <v>1.0</v>
      </c>
      <c r="J714" s="14">
        <f t="shared" si="2"/>
        <v>1.672</v>
      </c>
      <c r="K714" s="15" t="str">
        <f t="shared" si="3"/>
        <v>Baja</v>
      </c>
    </row>
    <row r="715" ht="14.25" customHeight="1">
      <c r="A715" s="6" t="s">
        <v>1413</v>
      </c>
      <c r="B715" s="27" t="s">
        <v>1311</v>
      </c>
      <c r="C715" s="10">
        <v>1.0</v>
      </c>
      <c r="D715" s="10">
        <v>1.0</v>
      </c>
      <c r="E715" s="10">
        <v>3.0</v>
      </c>
      <c r="F715" s="10">
        <v>2.0</v>
      </c>
      <c r="G715" s="10">
        <v>1.0</v>
      </c>
      <c r="H715" s="12">
        <f t="shared" si="1"/>
        <v>1.576</v>
      </c>
      <c r="I715" s="13">
        <v>1.0</v>
      </c>
      <c r="J715" s="14">
        <f t="shared" si="2"/>
        <v>1.576</v>
      </c>
      <c r="K715" s="15" t="str">
        <f t="shared" si="3"/>
        <v>Baja</v>
      </c>
    </row>
    <row r="716" ht="14.25" customHeight="1">
      <c r="A716" s="6" t="s">
        <v>1413</v>
      </c>
      <c r="B716" s="27" t="s">
        <v>1315</v>
      </c>
      <c r="C716" s="10">
        <v>1.0</v>
      </c>
      <c r="D716" s="10">
        <v>1.0</v>
      </c>
      <c r="E716" s="10">
        <v>3.0</v>
      </c>
      <c r="F716" s="10">
        <v>2.0</v>
      </c>
      <c r="G716" s="10">
        <v>1.0</v>
      </c>
      <c r="H716" s="12">
        <f t="shared" si="1"/>
        <v>1.576</v>
      </c>
      <c r="I716" s="13">
        <v>2.0</v>
      </c>
      <c r="J716" s="14">
        <f t="shared" si="2"/>
        <v>3.152</v>
      </c>
      <c r="K716" s="15" t="str">
        <f t="shared" si="3"/>
        <v>Baja</v>
      </c>
    </row>
    <row r="717" ht="14.25" customHeight="1">
      <c r="A717" s="6" t="s">
        <v>1413</v>
      </c>
      <c r="B717" s="27" t="s">
        <v>1325</v>
      </c>
      <c r="C717" s="10">
        <v>1.0</v>
      </c>
      <c r="D717" s="10">
        <v>1.0</v>
      </c>
      <c r="E717" s="10">
        <v>3.0</v>
      </c>
      <c r="F717" s="10">
        <v>2.0</v>
      </c>
      <c r="G717" s="10">
        <v>1.0</v>
      </c>
      <c r="H717" s="12">
        <f t="shared" si="1"/>
        <v>1.576</v>
      </c>
      <c r="I717" s="13">
        <v>2.0</v>
      </c>
      <c r="J717" s="14">
        <f t="shared" si="2"/>
        <v>3.152</v>
      </c>
      <c r="K717" s="15" t="str">
        <f t="shared" si="3"/>
        <v>Baja</v>
      </c>
    </row>
    <row r="718" ht="14.25" customHeight="1">
      <c r="A718" s="6" t="s">
        <v>1413</v>
      </c>
      <c r="B718" s="27" t="s">
        <v>1333</v>
      </c>
      <c r="C718" s="10">
        <v>1.0</v>
      </c>
      <c r="D718" s="10">
        <v>1.0</v>
      </c>
      <c r="E718" s="10">
        <v>3.0</v>
      </c>
      <c r="F718" s="10">
        <v>2.0</v>
      </c>
      <c r="G718" s="10">
        <v>1.0</v>
      </c>
      <c r="H718" s="12">
        <f t="shared" si="1"/>
        <v>1.576</v>
      </c>
      <c r="I718" s="13">
        <v>1.0</v>
      </c>
      <c r="J718" s="14">
        <f t="shared" si="2"/>
        <v>1.576</v>
      </c>
      <c r="K718" s="15" t="str">
        <f t="shared" si="3"/>
        <v>Baja</v>
      </c>
    </row>
    <row r="719" ht="14.25" customHeight="1">
      <c r="A719" s="6" t="s">
        <v>1419</v>
      </c>
      <c r="B719" s="9" t="s">
        <v>2780</v>
      </c>
      <c r="C719" s="10">
        <v>3.0</v>
      </c>
      <c r="D719" s="10">
        <v>1.0</v>
      </c>
      <c r="E719" s="10">
        <v>3.0</v>
      </c>
      <c r="F719" s="10">
        <v>2.0</v>
      </c>
      <c r="G719" s="10">
        <v>1.0</v>
      </c>
      <c r="H719" s="12">
        <f t="shared" si="1"/>
        <v>2.344</v>
      </c>
      <c r="I719" s="13">
        <v>1.0</v>
      </c>
      <c r="J719" s="14">
        <f t="shared" si="2"/>
        <v>2.344</v>
      </c>
      <c r="K719" s="15" t="str">
        <f t="shared" si="3"/>
        <v>Baja</v>
      </c>
    </row>
    <row r="720" ht="14.25" customHeight="1">
      <c r="A720" s="6" t="s">
        <v>1419</v>
      </c>
      <c r="B720" s="9" t="s">
        <v>3427</v>
      </c>
      <c r="C720" s="10">
        <v>3.0</v>
      </c>
      <c r="D720" s="10">
        <v>1.0</v>
      </c>
      <c r="E720" s="10">
        <v>3.0</v>
      </c>
      <c r="F720" s="10">
        <v>1.0</v>
      </c>
      <c r="G720" s="10">
        <v>1.0</v>
      </c>
      <c r="H720" s="12">
        <f t="shared" si="1"/>
        <v>2.248</v>
      </c>
      <c r="I720" s="13">
        <v>2.0</v>
      </c>
      <c r="J720" s="14">
        <f t="shared" si="2"/>
        <v>4.496</v>
      </c>
      <c r="K720" s="15" t="str">
        <f t="shared" si="3"/>
        <v>Media</v>
      </c>
    </row>
    <row r="721" ht="14.25" customHeight="1">
      <c r="A721" s="6" t="s">
        <v>1419</v>
      </c>
      <c r="B721" s="9" t="s">
        <v>3428</v>
      </c>
      <c r="C721" s="10">
        <v>2.0</v>
      </c>
      <c r="D721" s="10">
        <v>1.0</v>
      </c>
      <c r="E721" s="10">
        <v>3.0</v>
      </c>
      <c r="F721" s="10">
        <v>2.0</v>
      </c>
      <c r="G721" s="10">
        <v>1.0</v>
      </c>
      <c r="H721" s="12">
        <f t="shared" si="1"/>
        <v>1.96</v>
      </c>
      <c r="I721" s="13">
        <v>2.0</v>
      </c>
      <c r="J721" s="14">
        <f t="shared" si="2"/>
        <v>3.92</v>
      </c>
      <c r="K721" s="15" t="str">
        <f t="shared" si="3"/>
        <v>Baja</v>
      </c>
    </row>
    <row r="722" ht="14.25" customHeight="1">
      <c r="A722" s="6" t="s">
        <v>1435</v>
      </c>
      <c r="B722" s="27" t="s">
        <v>1127</v>
      </c>
      <c r="C722" s="10">
        <v>3.0</v>
      </c>
      <c r="D722" s="10">
        <v>3.0</v>
      </c>
      <c r="E722" s="10">
        <v>3.0</v>
      </c>
      <c r="F722" s="10">
        <v>3.0</v>
      </c>
      <c r="G722" s="10">
        <v>2.0</v>
      </c>
      <c r="H722" s="12">
        <f t="shared" si="1"/>
        <v>2.9</v>
      </c>
      <c r="I722" s="13">
        <v>1.0</v>
      </c>
      <c r="J722" s="14">
        <f t="shared" si="2"/>
        <v>2.9</v>
      </c>
      <c r="K722" s="15" t="str">
        <f t="shared" si="3"/>
        <v>Baja</v>
      </c>
    </row>
    <row r="723" ht="14.25" customHeight="1">
      <c r="A723" s="6" t="s">
        <v>1435</v>
      </c>
      <c r="B723" s="27" t="s">
        <v>1134</v>
      </c>
      <c r="C723" s="10">
        <v>2.0</v>
      </c>
      <c r="D723" s="10">
        <v>2.0</v>
      </c>
      <c r="E723" s="10">
        <v>3.0</v>
      </c>
      <c r="F723" s="10">
        <v>3.0</v>
      </c>
      <c r="G723" s="10">
        <v>1.0</v>
      </c>
      <c r="H723" s="12">
        <f t="shared" si="1"/>
        <v>2.236</v>
      </c>
      <c r="I723" s="13">
        <v>3.0</v>
      </c>
      <c r="J723" s="14">
        <f t="shared" si="2"/>
        <v>6.708</v>
      </c>
      <c r="K723" s="15" t="str">
        <f t="shared" si="3"/>
        <v>Media</v>
      </c>
    </row>
    <row r="724" ht="14.25" customHeight="1">
      <c r="A724" s="6" t="s">
        <v>1435</v>
      </c>
      <c r="B724" s="27" t="s">
        <v>1141</v>
      </c>
      <c r="C724" s="10">
        <v>2.0</v>
      </c>
      <c r="D724" s="10">
        <v>2.0</v>
      </c>
      <c r="E724" s="10">
        <v>2.0</v>
      </c>
      <c r="F724" s="10">
        <v>1.0</v>
      </c>
      <c r="G724" s="10">
        <v>1.0</v>
      </c>
      <c r="H724" s="12">
        <f t="shared" si="1"/>
        <v>1.804</v>
      </c>
      <c r="I724" s="13">
        <v>3.0</v>
      </c>
      <c r="J724" s="14">
        <f t="shared" si="2"/>
        <v>5.412</v>
      </c>
      <c r="K724" s="15" t="str">
        <f t="shared" si="3"/>
        <v>Media</v>
      </c>
    </row>
    <row r="725" ht="14.25" customHeight="1">
      <c r="A725" s="6" t="s">
        <v>1435</v>
      </c>
      <c r="B725" s="27" t="s">
        <v>1147</v>
      </c>
      <c r="C725" s="10">
        <v>2.0</v>
      </c>
      <c r="D725" s="10">
        <v>2.0</v>
      </c>
      <c r="E725" s="10">
        <v>3.0</v>
      </c>
      <c r="F725" s="10">
        <v>3.0</v>
      </c>
      <c r="G725" s="10">
        <v>1.0</v>
      </c>
      <c r="H725" s="12">
        <f t="shared" si="1"/>
        <v>2.236</v>
      </c>
      <c r="I725" s="13">
        <v>3.0</v>
      </c>
      <c r="J725" s="14">
        <f t="shared" si="2"/>
        <v>6.708</v>
      </c>
      <c r="K725" s="15" t="str">
        <f t="shared" si="3"/>
        <v>Media</v>
      </c>
    </row>
    <row r="726" ht="14.25" customHeight="1">
      <c r="A726" s="6" t="s">
        <v>1439</v>
      </c>
      <c r="B726" s="9" t="s">
        <v>1609</v>
      </c>
      <c r="C726" s="10">
        <v>3.0</v>
      </c>
      <c r="D726" s="10">
        <v>3.0</v>
      </c>
      <c r="E726" s="10">
        <v>3.0</v>
      </c>
      <c r="F726" s="10">
        <v>3.0</v>
      </c>
      <c r="G726" s="10">
        <v>2.0</v>
      </c>
      <c r="H726" s="12">
        <f t="shared" si="1"/>
        <v>2.9</v>
      </c>
      <c r="I726" s="13">
        <v>1.0</v>
      </c>
      <c r="J726" s="14">
        <f t="shared" si="2"/>
        <v>2.9</v>
      </c>
      <c r="K726" s="15" t="str">
        <f t="shared" si="3"/>
        <v>Baja</v>
      </c>
    </row>
    <row r="727" ht="14.25" customHeight="1">
      <c r="A727" s="6" t="s">
        <v>1439</v>
      </c>
      <c r="B727" s="9" t="s">
        <v>1615</v>
      </c>
      <c r="C727" s="10">
        <v>3.0</v>
      </c>
      <c r="D727" s="10">
        <v>3.0</v>
      </c>
      <c r="E727" s="10">
        <v>3.0</v>
      </c>
      <c r="F727" s="10">
        <v>2.0</v>
      </c>
      <c r="G727" s="10">
        <v>2.0</v>
      </c>
      <c r="H727" s="12">
        <f t="shared" si="1"/>
        <v>2.804</v>
      </c>
      <c r="I727" s="13">
        <v>1.0</v>
      </c>
      <c r="J727" s="14">
        <f t="shared" si="2"/>
        <v>2.804</v>
      </c>
      <c r="K727" s="15" t="str">
        <f t="shared" si="3"/>
        <v>Baja</v>
      </c>
    </row>
    <row r="728" ht="14.25" customHeight="1">
      <c r="A728" s="6" t="s">
        <v>1439</v>
      </c>
      <c r="B728" s="9" t="s">
        <v>1622</v>
      </c>
      <c r="C728" s="10">
        <v>2.0</v>
      </c>
      <c r="D728" s="10">
        <v>2.0</v>
      </c>
      <c r="E728" s="10">
        <v>3.0</v>
      </c>
      <c r="F728" s="10">
        <v>3.0</v>
      </c>
      <c r="G728" s="10">
        <v>1.0</v>
      </c>
      <c r="H728" s="12">
        <f t="shared" si="1"/>
        <v>2.236</v>
      </c>
      <c r="I728" s="13">
        <v>1.0</v>
      </c>
      <c r="J728" s="14">
        <f t="shared" si="2"/>
        <v>2.236</v>
      </c>
      <c r="K728" s="15" t="str">
        <f t="shared" si="3"/>
        <v>Baja</v>
      </c>
    </row>
    <row r="729" ht="14.25" customHeight="1">
      <c r="A729" s="6" t="s">
        <v>1439</v>
      </c>
      <c r="B729" s="9" t="s">
        <v>1625</v>
      </c>
      <c r="C729" s="10">
        <v>2.0</v>
      </c>
      <c r="D729" s="10">
        <v>2.0</v>
      </c>
      <c r="E729" s="10">
        <v>3.0</v>
      </c>
      <c r="F729" s="10">
        <v>2.0</v>
      </c>
      <c r="G729" s="10">
        <v>1.0</v>
      </c>
      <c r="H729" s="12">
        <f t="shared" si="1"/>
        <v>2.14</v>
      </c>
      <c r="I729" s="13">
        <v>2.0</v>
      </c>
      <c r="J729" s="14">
        <f t="shared" si="2"/>
        <v>4.28</v>
      </c>
      <c r="K729" s="15" t="str">
        <f t="shared" si="3"/>
        <v>Media</v>
      </c>
    </row>
    <row r="730" ht="14.25" customHeight="1">
      <c r="A730" s="6" t="s">
        <v>1448</v>
      </c>
      <c r="B730" s="27" t="s">
        <v>1127</v>
      </c>
      <c r="C730" s="10">
        <v>3.0</v>
      </c>
      <c r="D730" s="10">
        <v>3.0</v>
      </c>
      <c r="E730" s="10">
        <v>3.0</v>
      </c>
      <c r="F730" s="10">
        <v>3.0</v>
      </c>
      <c r="G730" s="10">
        <v>2.0</v>
      </c>
      <c r="H730" s="12">
        <f t="shared" si="1"/>
        <v>2.9</v>
      </c>
      <c r="I730" s="13">
        <v>1.0</v>
      </c>
      <c r="J730" s="14">
        <f t="shared" si="2"/>
        <v>2.9</v>
      </c>
      <c r="K730" s="15" t="str">
        <f t="shared" si="3"/>
        <v>Baja</v>
      </c>
    </row>
    <row r="731" ht="14.25" customHeight="1">
      <c r="A731" s="6" t="s">
        <v>1448</v>
      </c>
      <c r="B731" s="27" t="s">
        <v>1134</v>
      </c>
      <c r="C731" s="10">
        <v>2.0</v>
      </c>
      <c r="D731" s="10">
        <v>2.0</v>
      </c>
      <c r="E731" s="10">
        <v>3.0</v>
      </c>
      <c r="F731" s="10">
        <v>3.0</v>
      </c>
      <c r="G731" s="10">
        <v>1.0</v>
      </c>
      <c r="H731" s="12">
        <f t="shared" si="1"/>
        <v>2.236</v>
      </c>
      <c r="I731" s="13">
        <v>3.0</v>
      </c>
      <c r="J731" s="14">
        <f t="shared" si="2"/>
        <v>6.708</v>
      </c>
      <c r="K731" s="15" t="str">
        <f t="shared" si="3"/>
        <v>Media</v>
      </c>
    </row>
    <row r="732" ht="14.25" customHeight="1">
      <c r="A732" s="6" t="s">
        <v>1448</v>
      </c>
      <c r="B732" s="27" t="s">
        <v>1141</v>
      </c>
      <c r="C732" s="10">
        <v>2.0</v>
      </c>
      <c r="D732" s="10">
        <v>2.0</v>
      </c>
      <c r="E732" s="10">
        <v>2.0</v>
      </c>
      <c r="F732" s="10">
        <v>1.0</v>
      </c>
      <c r="G732" s="10">
        <v>1.0</v>
      </c>
      <c r="H732" s="12">
        <f t="shared" si="1"/>
        <v>1.804</v>
      </c>
      <c r="I732" s="13">
        <v>3.0</v>
      </c>
      <c r="J732" s="14">
        <f t="shared" si="2"/>
        <v>5.412</v>
      </c>
      <c r="K732" s="15" t="str">
        <f t="shared" si="3"/>
        <v>Media</v>
      </c>
    </row>
    <row r="733" ht="14.25" customHeight="1">
      <c r="A733" s="6" t="s">
        <v>1448</v>
      </c>
      <c r="B733" s="27" t="s">
        <v>1147</v>
      </c>
      <c r="C733" s="10">
        <v>2.0</v>
      </c>
      <c r="D733" s="10">
        <v>2.0</v>
      </c>
      <c r="E733" s="10">
        <v>3.0</v>
      </c>
      <c r="F733" s="10">
        <v>3.0</v>
      </c>
      <c r="G733" s="10">
        <v>1.0</v>
      </c>
      <c r="H733" s="12">
        <f t="shared" si="1"/>
        <v>2.236</v>
      </c>
      <c r="I733" s="13">
        <v>3.0</v>
      </c>
      <c r="J733" s="14">
        <f t="shared" si="2"/>
        <v>6.708</v>
      </c>
      <c r="K733" s="15" t="str">
        <f t="shared" si="3"/>
        <v>Media</v>
      </c>
    </row>
    <row r="734" ht="14.25" customHeight="1">
      <c r="A734" s="6" t="s">
        <v>1451</v>
      </c>
      <c r="B734" s="9" t="s">
        <v>1644</v>
      </c>
      <c r="C734" s="10">
        <v>3.0</v>
      </c>
      <c r="D734" s="10">
        <v>3.0</v>
      </c>
      <c r="E734" s="10">
        <v>3.0</v>
      </c>
      <c r="F734" s="10">
        <v>2.0</v>
      </c>
      <c r="G734" s="10">
        <v>2.0</v>
      </c>
      <c r="H734" s="12">
        <f t="shared" si="1"/>
        <v>2.804</v>
      </c>
      <c r="I734" s="13">
        <v>1.0</v>
      </c>
      <c r="J734" s="14">
        <f t="shared" si="2"/>
        <v>2.804</v>
      </c>
      <c r="K734" s="15" t="str">
        <f t="shared" si="3"/>
        <v>Baja</v>
      </c>
    </row>
    <row r="735" ht="14.25" customHeight="1">
      <c r="A735" s="6" t="s">
        <v>1451</v>
      </c>
      <c r="B735" s="9" t="s">
        <v>1650</v>
      </c>
      <c r="C735" s="10">
        <v>2.0</v>
      </c>
      <c r="D735" s="10">
        <v>2.0</v>
      </c>
      <c r="E735" s="10">
        <v>3.0</v>
      </c>
      <c r="F735" s="10">
        <v>2.0</v>
      </c>
      <c r="G735" s="10">
        <v>1.0</v>
      </c>
      <c r="H735" s="12">
        <f t="shared" si="1"/>
        <v>2.14</v>
      </c>
      <c r="I735" s="13">
        <v>1.0</v>
      </c>
      <c r="J735" s="14">
        <f t="shared" si="2"/>
        <v>2.14</v>
      </c>
      <c r="K735" s="15" t="str">
        <f t="shared" si="3"/>
        <v>Baja</v>
      </c>
    </row>
    <row r="736" ht="14.25" customHeight="1">
      <c r="A736" s="6" t="s">
        <v>1451</v>
      </c>
      <c r="B736" s="9" t="s">
        <v>1655</v>
      </c>
      <c r="C736" s="10">
        <v>2.0</v>
      </c>
      <c r="D736" s="10">
        <v>2.0</v>
      </c>
      <c r="E736" s="10">
        <v>3.0</v>
      </c>
      <c r="F736" s="10">
        <v>3.0</v>
      </c>
      <c r="G736" s="10">
        <v>1.0</v>
      </c>
      <c r="H736" s="12">
        <f t="shared" si="1"/>
        <v>2.236</v>
      </c>
      <c r="I736" s="13">
        <v>1.0</v>
      </c>
      <c r="J736" s="14">
        <f t="shared" si="2"/>
        <v>2.236</v>
      </c>
      <c r="K736" s="15" t="str">
        <f t="shared" si="3"/>
        <v>Baja</v>
      </c>
    </row>
    <row r="737" ht="14.25" customHeight="1">
      <c r="A737" s="6" t="s">
        <v>1452</v>
      </c>
      <c r="B737" s="27" t="s">
        <v>1127</v>
      </c>
      <c r="C737" s="10">
        <v>3.0</v>
      </c>
      <c r="D737" s="10">
        <v>3.0</v>
      </c>
      <c r="E737" s="10">
        <v>3.0</v>
      </c>
      <c r="F737" s="10">
        <v>3.0</v>
      </c>
      <c r="G737" s="10">
        <v>2.0</v>
      </c>
      <c r="H737" s="12">
        <f t="shared" si="1"/>
        <v>2.9</v>
      </c>
      <c r="I737" s="13">
        <v>1.0</v>
      </c>
      <c r="J737" s="14">
        <f t="shared" si="2"/>
        <v>2.9</v>
      </c>
      <c r="K737" s="15" t="str">
        <f t="shared" si="3"/>
        <v>Baja</v>
      </c>
    </row>
    <row r="738" ht="14.25" customHeight="1">
      <c r="A738" s="6" t="s">
        <v>1452</v>
      </c>
      <c r="B738" s="27" t="s">
        <v>3154</v>
      </c>
      <c r="C738" s="10">
        <v>2.0</v>
      </c>
      <c r="D738" s="10">
        <v>2.0</v>
      </c>
      <c r="E738" s="10">
        <v>3.0</v>
      </c>
      <c r="F738" s="10">
        <v>3.0</v>
      </c>
      <c r="G738" s="10">
        <v>1.0</v>
      </c>
      <c r="H738" s="12">
        <f t="shared" si="1"/>
        <v>2.236</v>
      </c>
      <c r="I738" s="13">
        <v>3.0</v>
      </c>
      <c r="J738" s="14">
        <f t="shared" si="2"/>
        <v>6.708</v>
      </c>
      <c r="K738" s="15" t="str">
        <f t="shared" si="3"/>
        <v>Media</v>
      </c>
    </row>
    <row r="739" ht="14.25" customHeight="1">
      <c r="A739" s="6" t="s">
        <v>1452</v>
      </c>
      <c r="B739" s="27" t="s">
        <v>1141</v>
      </c>
      <c r="C739" s="10">
        <v>2.0</v>
      </c>
      <c r="D739" s="10">
        <v>2.0</v>
      </c>
      <c r="E739" s="10">
        <v>2.0</v>
      </c>
      <c r="F739" s="10">
        <v>1.0</v>
      </c>
      <c r="G739" s="10">
        <v>1.0</v>
      </c>
      <c r="H739" s="12">
        <f t="shared" si="1"/>
        <v>1.804</v>
      </c>
      <c r="I739" s="13">
        <v>3.0</v>
      </c>
      <c r="J739" s="14">
        <f t="shared" si="2"/>
        <v>5.412</v>
      </c>
      <c r="K739" s="15" t="str">
        <f t="shared" si="3"/>
        <v>Media</v>
      </c>
    </row>
    <row r="740" ht="14.25" customHeight="1">
      <c r="A740" s="6" t="s">
        <v>1456</v>
      </c>
      <c r="B740" s="9" t="s">
        <v>3185</v>
      </c>
      <c r="C740" s="10">
        <v>3.0</v>
      </c>
      <c r="D740" s="10">
        <v>2.0</v>
      </c>
      <c r="E740" s="10">
        <v>3.0</v>
      </c>
      <c r="F740" s="10">
        <v>2.0</v>
      </c>
      <c r="G740" s="10">
        <v>1.0</v>
      </c>
      <c r="H740" s="12">
        <f t="shared" si="1"/>
        <v>2.524</v>
      </c>
      <c r="I740" s="13">
        <v>3.0</v>
      </c>
      <c r="J740" s="14">
        <f t="shared" si="2"/>
        <v>7.572</v>
      </c>
      <c r="K740" s="15" t="str">
        <f t="shared" si="3"/>
        <v>Media</v>
      </c>
    </row>
    <row r="741" ht="14.25" customHeight="1">
      <c r="A741" s="6" t="s">
        <v>1456</v>
      </c>
      <c r="B741" s="9" t="s">
        <v>3190</v>
      </c>
      <c r="C741" s="10">
        <v>3.0</v>
      </c>
      <c r="D741" s="10">
        <v>2.0</v>
      </c>
      <c r="E741" s="10">
        <v>2.0</v>
      </c>
      <c r="F741" s="10">
        <v>1.0</v>
      </c>
      <c r="G741" s="10">
        <v>1.0</v>
      </c>
      <c r="H741" s="12">
        <f t="shared" si="1"/>
        <v>2.188</v>
      </c>
      <c r="I741" s="13">
        <v>2.0</v>
      </c>
      <c r="J741" s="14">
        <f t="shared" si="2"/>
        <v>4.376</v>
      </c>
      <c r="K741" s="15" t="str">
        <f t="shared" si="3"/>
        <v>Media</v>
      </c>
    </row>
    <row r="742" ht="14.25" customHeight="1">
      <c r="A742" s="6" t="s">
        <v>1456</v>
      </c>
      <c r="B742" s="9" t="s">
        <v>3196</v>
      </c>
      <c r="C742" s="10">
        <v>3.0</v>
      </c>
      <c r="D742" s="10">
        <v>2.0</v>
      </c>
      <c r="E742" s="10">
        <v>3.0</v>
      </c>
      <c r="F742" s="10">
        <v>2.0</v>
      </c>
      <c r="G742" s="10">
        <v>1.0</v>
      </c>
      <c r="H742" s="12">
        <f t="shared" si="1"/>
        <v>2.524</v>
      </c>
      <c r="I742" s="13">
        <v>2.0</v>
      </c>
      <c r="J742" s="14">
        <f t="shared" si="2"/>
        <v>5.048</v>
      </c>
      <c r="K742" s="15" t="str">
        <f t="shared" si="3"/>
        <v>Media</v>
      </c>
    </row>
    <row r="743" ht="14.25" customHeight="1">
      <c r="A743" s="6" t="s">
        <v>1456</v>
      </c>
      <c r="B743" s="9" t="s">
        <v>3201</v>
      </c>
      <c r="C743" s="10">
        <v>2.0</v>
      </c>
      <c r="D743" s="10">
        <v>1.0</v>
      </c>
      <c r="E743" s="10">
        <v>2.0</v>
      </c>
      <c r="F743" s="10">
        <v>1.0</v>
      </c>
      <c r="G743" s="10">
        <v>1.0</v>
      </c>
      <c r="H743" s="12">
        <f t="shared" si="1"/>
        <v>1.624</v>
      </c>
      <c r="I743" s="13">
        <v>1.0</v>
      </c>
      <c r="J743" s="14">
        <f t="shared" si="2"/>
        <v>1.624</v>
      </c>
      <c r="K743" s="15" t="str">
        <f t="shared" si="3"/>
        <v>Baja</v>
      </c>
    </row>
    <row r="744" ht="14.25" customHeight="1">
      <c r="A744" s="6" t="s">
        <v>1461</v>
      </c>
      <c r="B744" s="27" t="s">
        <v>3210</v>
      </c>
      <c r="C744" s="10">
        <v>2.0</v>
      </c>
      <c r="D744" s="10">
        <v>1.0</v>
      </c>
      <c r="E744" s="10">
        <v>3.0</v>
      </c>
      <c r="F744" s="10">
        <v>2.0</v>
      </c>
      <c r="G744" s="10">
        <v>1.0</v>
      </c>
      <c r="H744" s="12">
        <f t="shared" si="1"/>
        <v>1.96</v>
      </c>
      <c r="I744" s="13">
        <v>1.0</v>
      </c>
      <c r="J744" s="14">
        <f t="shared" si="2"/>
        <v>1.96</v>
      </c>
      <c r="K744" s="15" t="str">
        <f t="shared" si="3"/>
        <v>Baja</v>
      </c>
    </row>
    <row r="745" ht="14.25" customHeight="1">
      <c r="A745" s="6" t="s">
        <v>1461</v>
      </c>
      <c r="B745" s="27" t="s">
        <v>3217</v>
      </c>
      <c r="C745" s="10">
        <v>1.0</v>
      </c>
      <c r="D745" s="10">
        <v>1.0</v>
      </c>
      <c r="E745" s="10">
        <v>3.0</v>
      </c>
      <c r="F745" s="10">
        <v>2.0</v>
      </c>
      <c r="G745" s="10">
        <v>1.0</v>
      </c>
      <c r="H745" s="12">
        <f t="shared" si="1"/>
        <v>1.576</v>
      </c>
      <c r="I745" s="13">
        <v>1.0</v>
      </c>
      <c r="J745" s="14">
        <f t="shared" si="2"/>
        <v>1.576</v>
      </c>
      <c r="K745" s="15" t="str">
        <f t="shared" si="3"/>
        <v>Baja</v>
      </c>
    </row>
    <row r="746" ht="14.25" customHeight="1">
      <c r="A746" s="6" t="s">
        <v>1461</v>
      </c>
      <c r="B746" s="27" t="s">
        <v>3225</v>
      </c>
      <c r="C746" s="10">
        <v>1.0</v>
      </c>
      <c r="D746" s="10">
        <v>1.0</v>
      </c>
      <c r="E746" s="10">
        <v>3.0</v>
      </c>
      <c r="F746" s="10">
        <v>2.0</v>
      </c>
      <c r="G746" s="10">
        <v>1.0</v>
      </c>
      <c r="H746" s="12">
        <f t="shared" si="1"/>
        <v>1.576</v>
      </c>
      <c r="I746" s="13">
        <v>3.0</v>
      </c>
      <c r="J746" s="14">
        <f t="shared" si="2"/>
        <v>4.728</v>
      </c>
      <c r="K746" s="15" t="str">
        <f t="shared" si="3"/>
        <v>Media</v>
      </c>
    </row>
    <row r="747" ht="14.25" customHeight="1">
      <c r="A747" s="6" t="s">
        <v>1464</v>
      </c>
      <c r="B747" s="9" t="s">
        <v>3443</v>
      </c>
      <c r="C747" s="10">
        <v>3.0</v>
      </c>
      <c r="D747" s="10">
        <v>1.0</v>
      </c>
      <c r="E747" s="10">
        <v>3.0</v>
      </c>
      <c r="F747" s="10">
        <v>2.0</v>
      </c>
      <c r="G747" s="10">
        <v>1.0</v>
      </c>
      <c r="H747" s="12">
        <f t="shared" si="1"/>
        <v>2.344</v>
      </c>
      <c r="I747" s="13">
        <v>3.0</v>
      </c>
      <c r="J747" s="14">
        <f t="shared" si="2"/>
        <v>7.032</v>
      </c>
      <c r="K747" s="15" t="str">
        <f t="shared" si="3"/>
        <v>Media</v>
      </c>
    </row>
    <row r="748" ht="14.25" customHeight="1">
      <c r="A748" s="6" t="s">
        <v>1464</v>
      </c>
      <c r="B748" s="9" t="s">
        <v>3444</v>
      </c>
      <c r="C748" s="10">
        <v>3.0</v>
      </c>
      <c r="D748" s="10">
        <v>1.0</v>
      </c>
      <c r="E748" s="10">
        <v>2.0</v>
      </c>
      <c r="F748" s="10">
        <v>1.0</v>
      </c>
      <c r="G748" s="10">
        <v>1.0</v>
      </c>
      <c r="H748" s="12">
        <f t="shared" si="1"/>
        <v>2.008</v>
      </c>
      <c r="I748" s="13">
        <v>2.0</v>
      </c>
      <c r="J748" s="14">
        <f t="shared" si="2"/>
        <v>4.016</v>
      </c>
      <c r="K748" s="15" t="str">
        <f t="shared" si="3"/>
        <v>Media</v>
      </c>
    </row>
    <row r="749" ht="14.25" customHeight="1">
      <c r="A749" s="6" t="s">
        <v>1464</v>
      </c>
      <c r="B749" s="9" t="s">
        <v>3445</v>
      </c>
      <c r="C749" s="10">
        <v>2.0</v>
      </c>
      <c r="D749" s="10">
        <v>1.0</v>
      </c>
      <c r="E749" s="10">
        <v>2.0</v>
      </c>
      <c r="F749" s="10">
        <v>1.0</v>
      </c>
      <c r="G749" s="10">
        <v>1.0</v>
      </c>
      <c r="H749" s="12">
        <f t="shared" si="1"/>
        <v>1.624</v>
      </c>
      <c r="I749" s="13">
        <v>2.0</v>
      </c>
      <c r="J749" s="14">
        <f t="shared" si="2"/>
        <v>3.248</v>
      </c>
      <c r="K749" s="15" t="str">
        <f t="shared" si="3"/>
        <v>Baja</v>
      </c>
    </row>
    <row r="750" ht="14.25" customHeight="1">
      <c r="A750" s="6" t="s">
        <v>1464</v>
      </c>
      <c r="B750" s="9" t="s">
        <v>3448</v>
      </c>
      <c r="C750" s="10">
        <v>2.0</v>
      </c>
      <c r="D750" s="10">
        <v>1.0</v>
      </c>
      <c r="E750" s="10">
        <v>3.0</v>
      </c>
      <c r="F750" s="10">
        <v>2.0</v>
      </c>
      <c r="G750" s="10">
        <v>1.0</v>
      </c>
      <c r="H750" s="12">
        <f t="shared" si="1"/>
        <v>1.96</v>
      </c>
      <c r="I750" s="13">
        <v>2.0</v>
      </c>
      <c r="J750" s="14">
        <f t="shared" si="2"/>
        <v>3.92</v>
      </c>
      <c r="K750" s="15" t="str">
        <f t="shared" si="3"/>
        <v>Baja</v>
      </c>
    </row>
    <row r="751" ht="14.25" customHeight="1">
      <c r="A751" s="6" t="s">
        <v>1476</v>
      </c>
      <c r="B751" s="27" t="s">
        <v>3449</v>
      </c>
      <c r="C751" s="10">
        <v>3.0</v>
      </c>
      <c r="D751" s="10">
        <v>1.0</v>
      </c>
      <c r="E751" s="10">
        <v>3.0</v>
      </c>
      <c r="F751" s="10">
        <v>1.0</v>
      </c>
      <c r="G751" s="10">
        <v>1.0</v>
      </c>
      <c r="H751" s="12">
        <f t="shared" si="1"/>
        <v>2.248</v>
      </c>
      <c r="I751" s="13">
        <v>2.0</v>
      </c>
      <c r="J751" s="14">
        <f t="shared" si="2"/>
        <v>4.496</v>
      </c>
      <c r="K751" s="15" t="str">
        <f t="shared" si="3"/>
        <v>Media</v>
      </c>
    </row>
    <row r="752" ht="14.25" customHeight="1">
      <c r="A752" s="6" t="s">
        <v>1476</v>
      </c>
      <c r="B752" s="27" t="s">
        <v>3450</v>
      </c>
      <c r="C752" s="10">
        <v>2.0</v>
      </c>
      <c r="D752" s="10">
        <v>1.0</v>
      </c>
      <c r="E752" s="10">
        <v>3.0</v>
      </c>
      <c r="F752" s="10">
        <v>1.0</v>
      </c>
      <c r="G752" s="10">
        <v>1.0</v>
      </c>
      <c r="H752" s="12">
        <f t="shared" si="1"/>
        <v>1.864</v>
      </c>
      <c r="I752" s="13">
        <v>2.0</v>
      </c>
      <c r="J752" s="14">
        <f t="shared" si="2"/>
        <v>3.728</v>
      </c>
      <c r="K752" s="15" t="str">
        <f t="shared" si="3"/>
        <v>Baja</v>
      </c>
    </row>
    <row r="753" ht="14.25" customHeight="1">
      <c r="A753" s="6" t="s">
        <v>1476</v>
      </c>
      <c r="B753" s="27" t="s">
        <v>3451</v>
      </c>
      <c r="C753" s="10">
        <v>2.0</v>
      </c>
      <c r="D753" s="10">
        <v>1.0</v>
      </c>
      <c r="E753" s="10">
        <v>2.0</v>
      </c>
      <c r="F753" s="10">
        <v>1.0</v>
      </c>
      <c r="G753" s="10">
        <v>1.0</v>
      </c>
      <c r="H753" s="12">
        <f t="shared" si="1"/>
        <v>1.624</v>
      </c>
      <c r="I753" s="13">
        <v>3.0</v>
      </c>
      <c r="J753" s="14">
        <f t="shared" si="2"/>
        <v>4.872</v>
      </c>
      <c r="K753" s="15" t="str">
        <f t="shared" si="3"/>
        <v>Media</v>
      </c>
    </row>
    <row r="754" ht="14.25" customHeight="1">
      <c r="A754" s="6" t="s">
        <v>1487</v>
      </c>
      <c r="B754" s="9" t="s">
        <v>999</v>
      </c>
      <c r="C754" s="10">
        <v>2.0</v>
      </c>
      <c r="D754" s="10">
        <v>2.0</v>
      </c>
      <c r="E754" s="10">
        <v>3.0</v>
      </c>
      <c r="F754" s="10">
        <v>3.0</v>
      </c>
      <c r="G754" s="10">
        <v>1.0</v>
      </c>
      <c r="H754" s="12">
        <f t="shared" si="1"/>
        <v>2.236</v>
      </c>
      <c r="I754" s="13">
        <v>2.0</v>
      </c>
      <c r="J754" s="14">
        <f t="shared" si="2"/>
        <v>4.472</v>
      </c>
      <c r="K754" s="15" t="str">
        <f t="shared" si="3"/>
        <v>Media</v>
      </c>
    </row>
    <row r="755" ht="14.25" customHeight="1">
      <c r="A755" s="6" t="s">
        <v>1487</v>
      </c>
      <c r="B755" s="9" t="s">
        <v>1005</v>
      </c>
      <c r="C755" s="10">
        <v>2.0</v>
      </c>
      <c r="D755" s="10">
        <v>2.0</v>
      </c>
      <c r="E755" s="10">
        <v>2.0</v>
      </c>
      <c r="F755" s="10">
        <v>3.0</v>
      </c>
      <c r="G755" s="10">
        <v>1.0</v>
      </c>
      <c r="H755" s="12">
        <f t="shared" si="1"/>
        <v>1.996</v>
      </c>
      <c r="I755" s="13">
        <v>1.0</v>
      </c>
      <c r="J755" s="14">
        <f t="shared" si="2"/>
        <v>1.996</v>
      </c>
      <c r="K755" s="15" t="str">
        <f t="shared" si="3"/>
        <v>Baja</v>
      </c>
    </row>
    <row r="756" ht="14.25" customHeight="1">
      <c r="A756" s="6" t="s">
        <v>1487</v>
      </c>
      <c r="B756" s="9" t="s">
        <v>1017</v>
      </c>
      <c r="C756" s="10">
        <v>2.0</v>
      </c>
      <c r="D756" s="10">
        <v>2.0</v>
      </c>
      <c r="E756" s="10">
        <v>3.0</v>
      </c>
      <c r="F756" s="10">
        <v>3.0</v>
      </c>
      <c r="G756" s="10">
        <v>1.0</v>
      </c>
      <c r="H756" s="12">
        <f t="shared" si="1"/>
        <v>2.236</v>
      </c>
      <c r="I756" s="13">
        <v>2.0</v>
      </c>
      <c r="J756" s="14">
        <f t="shared" si="2"/>
        <v>4.472</v>
      </c>
      <c r="K756" s="15" t="str">
        <f t="shared" si="3"/>
        <v>Media</v>
      </c>
    </row>
    <row r="757" ht="14.25" customHeight="1">
      <c r="A757" s="6" t="s">
        <v>1487</v>
      </c>
      <c r="B757" s="9" t="s">
        <v>727</v>
      </c>
      <c r="C757" s="10">
        <v>1.0</v>
      </c>
      <c r="D757" s="10">
        <v>1.0</v>
      </c>
      <c r="E757" s="10">
        <v>3.0</v>
      </c>
      <c r="F757" s="10">
        <v>3.0</v>
      </c>
      <c r="G757" s="10">
        <v>1.0</v>
      </c>
      <c r="H757" s="12">
        <f t="shared" si="1"/>
        <v>1.672</v>
      </c>
      <c r="I757" s="13">
        <v>2.0</v>
      </c>
      <c r="J757" s="14">
        <f t="shared" si="2"/>
        <v>3.344</v>
      </c>
      <c r="K757" s="15" t="str">
        <f t="shared" si="3"/>
        <v>Baja</v>
      </c>
    </row>
    <row r="758" ht="14.25" customHeight="1">
      <c r="A758" s="6" t="s">
        <v>1487</v>
      </c>
      <c r="B758" s="9" t="s">
        <v>1036</v>
      </c>
      <c r="C758" s="10">
        <v>1.0</v>
      </c>
      <c r="D758" s="10">
        <v>1.0</v>
      </c>
      <c r="E758" s="10">
        <v>3.0</v>
      </c>
      <c r="F758" s="10">
        <v>1.0</v>
      </c>
      <c r="G758" s="10">
        <v>1.0</v>
      </c>
      <c r="H758" s="12">
        <f t="shared" si="1"/>
        <v>1.48</v>
      </c>
      <c r="I758" s="13">
        <v>2.0</v>
      </c>
      <c r="J758" s="14">
        <f t="shared" si="2"/>
        <v>2.96</v>
      </c>
      <c r="K758" s="15" t="str">
        <f t="shared" si="3"/>
        <v>Baja</v>
      </c>
    </row>
    <row r="759" ht="14.25" customHeight="1">
      <c r="A759" s="6" t="s">
        <v>1487</v>
      </c>
      <c r="B759" s="9" t="s">
        <v>1421</v>
      </c>
      <c r="C759" s="10">
        <v>1.0</v>
      </c>
      <c r="D759" s="10">
        <v>1.0</v>
      </c>
      <c r="E759" s="10">
        <v>2.0</v>
      </c>
      <c r="F759" s="10">
        <v>1.0</v>
      </c>
      <c r="G759" s="10">
        <v>1.0</v>
      </c>
      <c r="H759" s="12">
        <f t="shared" si="1"/>
        <v>1.24</v>
      </c>
      <c r="I759" s="13">
        <v>2.0</v>
      </c>
      <c r="J759" s="14">
        <f t="shared" si="2"/>
        <v>2.48</v>
      </c>
      <c r="K759" s="15" t="str">
        <f t="shared" si="3"/>
        <v>Baja</v>
      </c>
    </row>
    <row r="760" ht="14.25" customHeight="1">
      <c r="A760" s="6" t="s">
        <v>1487</v>
      </c>
      <c r="B760" s="9" t="s">
        <v>1426</v>
      </c>
      <c r="C760" s="10">
        <v>1.0</v>
      </c>
      <c r="D760" s="10">
        <v>1.0</v>
      </c>
      <c r="E760" s="10">
        <v>2.0</v>
      </c>
      <c r="F760" s="10">
        <v>1.0</v>
      </c>
      <c r="G760" s="10">
        <v>1.0</v>
      </c>
      <c r="H760" s="12">
        <f t="shared" si="1"/>
        <v>1.24</v>
      </c>
      <c r="I760" s="13">
        <v>3.0</v>
      </c>
      <c r="J760" s="14">
        <f t="shared" si="2"/>
        <v>3.72</v>
      </c>
      <c r="K760" s="15" t="str">
        <f t="shared" si="3"/>
        <v>Baja</v>
      </c>
    </row>
    <row r="761" ht="14.25" customHeight="1">
      <c r="A761" s="6" t="s">
        <v>1492</v>
      </c>
      <c r="B761" s="27" t="s">
        <v>999</v>
      </c>
      <c r="C761" s="10">
        <v>2.0</v>
      </c>
      <c r="D761" s="10">
        <v>2.0</v>
      </c>
      <c r="E761" s="10">
        <v>3.0</v>
      </c>
      <c r="F761" s="10">
        <v>3.0</v>
      </c>
      <c r="G761" s="10">
        <v>1.0</v>
      </c>
      <c r="H761" s="12">
        <f t="shared" si="1"/>
        <v>2.236</v>
      </c>
      <c r="I761" s="13">
        <v>2.0</v>
      </c>
      <c r="J761" s="14">
        <f t="shared" si="2"/>
        <v>4.472</v>
      </c>
      <c r="K761" s="15" t="str">
        <f t="shared" si="3"/>
        <v>Media</v>
      </c>
    </row>
    <row r="762" ht="14.25" customHeight="1">
      <c r="A762" s="6" t="s">
        <v>1492</v>
      </c>
      <c r="B762" s="27" t="s">
        <v>1005</v>
      </c>
      <c r="C762" s="10">
        <v>2.0</v>
      </c>
      <c r="D762" s="10">
        <v>2.0</v>
      </c>
      <c r="E762" s="10">
        <v>2.0</v>
      </c>
      <c r="F762" s="10">
        <v>3.0</v>
      </c>
      <c r="G762" s="10">
        <v>1.0</v>
      </c>
      <c r="H762" s="12">
        <f t="shared" si="1"/>
        <v>1.996</v>
      </c>
      <c r="I762" s="13">
        <v>1.0</v>
      </c>
      <c r="J762" s="14">
        <f t="shared" si="2"/>
        <v>1.996</v>
      </c>
      <c r="K762" s="15" t="str">
        <f t="shared" si="3"/>
        <v>Baja</v>
      </c>
    </row>
    <row r="763" ht="14.25" customHeight="1">
      <c r="A763" s="6" t="s">
        <v>1492</v>
      </c>
      <c r="B763" s="27" t="s">
        <v>1017</v>
      </c>
      <c r="C763" s="10">
        <v>2.0</v>
      </c>
      <c r="D763" s="10">
        <v>2.0</v>
      </c>
      <c r="E763" s="10">
        <v>3.0</v>
      </c>
      <c r="F763" s="10">
        <v>3.0</v>
      </c>
      <c r="G763" s="10">
        <v>1.0</v>
      </c>
      <c r="H763" s="12">
        <f t="shared" si="1"/>
        <v>2.236</v>
      </c>
      <c r="I763" s="13">
        <v>2.0</v>
      </c>
      <c r="J763" s="14">
        <f t="shared" si="2"/>
        <v>4.472</v>
      </c>
      <c r="K763" s="15" t="str">
        <f t="shared" si="3"/>
        <v>Media</v>
      </c>
    </row>
    <row r="764" ht="14.25" customHeight="1">
      <c r="A764" s="6" t="s">
        <v>1492</v>
      </c>
      <c r="B764" s="27" t="s">
        <v>727</v>
      </c>
      <c r="C764" s="10">
        <v>1.0</v>
      </c>
      <c r="D764" s="10">
        <v>1.0</v>
      </c>
      <c r="E764" s="10">
        <v>3.0</v>
      </c>
      <c r="F764" s="10">
        <v>3.0</v>
      </c>
      <c r="G764" s="10">
        <v>1.0</v>
      </c>
      <c r="H764" s="12">
        <f t="shared" si="1"/>
        <v>1.672</v>
      </c>
      <c r="I764" s="13">
        <v>2.0</v>
      </c>
      <c r="J764" s="14">
        <f t="shared" si="2"/>
        <v>3.344</v>
      </c>
      <c r="K764" s="15" t="str">
        <f t="shared" si="3"/>
        <v>Baja</v>
      </c>
    </row>
    <row r="765" ht="14.25" customHeight="1">
      <c r="A765" s="6" t="s">
        <v>1492</v>
      </c>
      <c r="B765" s="27" t="s">
        <v>1031</v>
      </c>
      <c r="C765" s="10">
        <v>1.0</v>
      </c>
      <c r="D765" s="10">
        <v>1.0</v>
      </c>
      <c r="E765" s="10">
        <v>2.0</v>
      </c>
      <c r="F765" s="10">
        <v>1.0</v>
      </c>
      <c r="G765" s="10">
        <v>1.0</v>
      </c>
      <c r="H765" s="12">
        <f t="shared" si="1"/>
        <v>1.24</v>
      </c>
      <c r="I765" s="13">
        <v>3.0</v>
      </c>
      <c r="J765" s="14">
        <f t="shared" si="2"/>
        <v>3.72</v>
      </c>
      <c r="K765" s="15" t="str">
        <f t="shared" si="3"/>
        <v>Baja</v>
      </c>
    </row>
    <row r="766" ht="14.25" customHeight="1">
      <c r="A766" s="6" t="s">
        <v>1492</v>
      </c>
      <c r="B766" s="27" t="s">
        <v>1036</v>
      </c>
      <c r="C766" s="10">
        <v>1.0</v>
      </c>
      <c r="D766" s="10">
        <v>1.0</v>
      </c>
      <c r="E766" s="10">
        <v>3.0</v>
      </c>
      <c r="F766" s="10">
        <v>1.0</v>
      </c>
      <c r="G766" s="10">
        <v>1.0</v>
      </c>
      <c r="H766" s="12">
        <f t="shared" si="1"/>
        <v>1.48</v>
      </c>
      <c r="I766" s="13">
        <v>2.0</v>
      </c>
      <c r="J766" s="14">
        <f t="shared" si="2"/>
        <v>2.96</v>
      </c>
      <c r="K766" s="15" t="str">
        <f t="shared" si="3"/>
        <v>Baja</v>
      </c>
    </row>
    <row r="767" ht="14.25" customHeight="1">
      <c r="A767" s="6" t="s">
        <v>1492</v>
      </c>
      <c r="B767" s="27" t="s">
        <v>1041</v>
      </c>
      <c r="C767" s="10">
        <v>1.0</v>
      </c>
      <c r="D767" s="10">
        <v>1.0</v>
      </c>
      <c r="E767" s="10">
        <v>2.0</v>
      </c>
      <c r="F767" s="10">
        <v>1.0</v>
      </c>
      <c r="G767" s="10">
        <v>1.0</v>
      </c>
      <c r="H767" s="12">
        <f t="shared" si="1"/>
        <v>1.24</v>
      </c>
      <c r="I767" s="13">
        <v>2.0</v>
      </c>
      <c r="J767" s="14">
        <f t="shared" si="2"/>
        <v>2.48</v>
      </c>
      <c r="K767" s="15" t="str">
        <f t="shared" si="3"/>
        <v>Baja</v>
      </c>
    </row>
    <row r="768" ht="14.25" customHeight="1">
      <c r="A768" s="6" t="s">
        <v>1492</v>
      </c>
      <c r="B768" s="27" t="s">
        <v>1047</v>
      </c>
      <c r="C768" s="10">
        <v>1.0</v>
      </c>
      <c r="D768" s="10">
        <v>1.0</v>
      </c>
      <c r="E768" s="10">
        <v>2.0</v>
      </c>
      <c r="F768" s="10">
        <v>1.0</v>
      </c>
      <c r="G768" s="10">
        <v>1.0</v>
      </c>
      <c r="H768" s="12">
        <f t="shared" si="1"/>
        <v>1.24</v>
      </c>
      <c r="I768" s="13">
        <v>3.0</v>
      </c>
      <c r="J768" s="14">
        <f t="shared" si="2"/>
        <v>3.72</v>
      </c>
      <c r="K768" s="15" t="str">
        <f t="shared" si="3"/>
        <v>Baja</v>
      </c>
    </row>
    <row r="769" ht="14.25" customHeight="1">
      <c r="A769" s="6" t="s">
        <v>1496</v>
      </c>
      <c r="B769" s="9" t="s">
        <v>820</v>
      </c>
      <c r="C769" s="10">
        <v>2.0</v>
      </c>
      <c r="D769" s="10">
        <v>1.0</v>
      </c>
      <c r="E769" s="10">
        <v>2.0</v>
      </c>
      <c r="F769" s="10">
        <v>1.0</v>
      </c>
      <c r="G769" s="10">
        <v>1.0</v>
      </c>
      <c r="H769" s="12">
        <f t="shared" si="1"/>
        <v>1.624</v>
      </c>
      <c r="I769" s="13">
        <v>3.0</v>
      </c>
      <c r="J769" s="14">
        <f t="shared" si="2"/>
        <v>4.872</v>
      </c>
      <c r="K769" s="15" t="str">
        <f t="shared" si="3"/>
        <v>Media</v>
      </c>
    </row>
    <row r="770" ht="14.25" customHeight="1">
      <c r="A770" s="6" t="s">
        <v>1496</v>
      </c>
      <c r="B770" s="9" t="s">
        <v>825</v>
      </c>
      <c r="C770" s="10">
        <v>2.0</v>
      </c>
      <c r="D770" s="10">
        <v>1.0</v>
      </c>
      <c r="E770" s="10">
        <v>2.0</v>
      </c>
      <c r="F770" s="10">
        <v>2.0</v>
      </c>
      <c r="G770" s="10">
        <v>1.0</v>
      </c>
      <c r="H770" s="12">
        <f t="shared" si="1"/>
        <v>1.72</v>
      </c>
      <c r="I770" s="13">
        <v>3.0</v>
      </c>
      <c r="J770" s="14">
        <f t="shared" si="2"/>
        <v>5.16</v>
      </c>
      <c r="K770" s="15" t="str">
        <f t="shared" si="3"/>
        <v>Media</v>
      </c>
    </row>
    <row r="771" ht="14.25" customHeight="1">
      <c r="A771" s="6" t="s">
        <v>1496</v>
      </c>
      <c r="B771" s="9" t="s">
        <v>827</v>
      </c>
      <c r="C771" s="10">
        <v>2.0</v>
      </c>
      <c r="D771" s="10">
        <v>1.0</v>
      </c>
      <c r="E771" s="10">
        <v>2.0</v>
      </c>
      <c r="F771" s="10">
        <v>2.0</v>
      </c>
      <c r="G771" s="10">
        <v>1.0</v>
      </c>
      <c r="H771" s="12">
        <f t="shared" si="1"/>
        <v>1.72</v>
      </c>
      <c r="I771" s="13">
        <v>3.0</v>
      </c>
      <c r="J771" s="14">
        <f t="shared" si="2"/>
        <v>5.16</v>
      </c>
      <c r="K771" s="15" t="str">
        <f t="shared" si="3"/>
        <v>Media</v>
      </c>
    </row>
    <row r="772" ht="14.25" customHeight="1">
      <c r="A772" s="6" t="s">
        <v>1496</v>
      </c>
      <c r="B772" s="9" t="s">
        <v>836</v>
      </c>
      <c r="C772" s="10">
        <v>1.0</v>
      </c>
      <c r="D772" s="10">
        <v>1.0</v>
      </c>
      <c r="E772" s="10">
        <v>2.0</v>
      </c>
      <c r="F772" s="10">
        <v>1.0</v>
      </c>
      <c r="G772" s="10">
        <v>1.0</v>
      </c>
      <c r="H772" s="12">
        <f t="shared" si="1"/>
        <v>1.24</v>
      </c>
      <c r="I772" s="13">
        <v>2.0</v>
      </c>
      <c r="J772" s="14">
        <f t="shared" si="2"/>
        <v>2.48</v>
      </c>
      <c r="K772" s="15" t="str">
        <f t="shared" si="3"/>
        <v>Baja</v>
      </c>
    </row>
    <row r="773" ht="14.25" customHeight="1">
      <c r="A773" s="6" t="s">
        <v>1496</v>
      </c>
      <c r="B773" s="9" t="s">
        <v>842</v>
      </c>
      <c r="C773" s="10">
        <v>1.0</v>
      </c>
      <c r="D773" s="10">
        <v>1.0</v>
      </c>
      <c r="E773" s="10">
        <v>2.0</v>
      </c>
      <c r="F773" s="10">
        <v>1.0</v>
      </c>
      <c r="G773" s="10">
        <v>1.0</v>
      </c>
      <c r="H773" s="12">
        <f t="shared" si="1"/>
        <v>1.24</v>
      </c>
      <c r="I773" s="13">
        <v>3.0</v>
      </c>
      <c r="J773" s="14">
        <f t="shared" si="2"/>
        <v>3.72</v>
      </c>
      <c r="K773" s="15" t="str">
        <f t="shared" si="3"/>
        <v>Baja</v>
      </c>
    </row>
    <row r="774" ht="14.25" customHeight="1">
      <c r="A774" s="6" t="s">
        <v>1496</v>
      </c>
      <c r="B774" s="9" t="s">
        <v>848</v>
      </c>
      <c r="C774" s="10">
        <v>1.0</v>
      </c>
      <c r="D774" s="10">
        <v>1.0</v>
      </c>
      <c r="E774" s="10">
        <v>2.0</v>
      </c>
      <c r="F774" s="10">
        <v>1.0</v>
      </c>
      <c r="G774" s="10">
        <v>1.0</v>
      </c>
      <c r="H774" s="12">
        <f t="shared" si="1"/>
        <v>1.24</v>
      </c>
      <c r="I774" s="13">
        <v>3.0</v>
      </c>
      <c r="J774" s="14">
        <f t="shared" si="2"/>
        <v>3.72</v>
      </c>
      <c r="K774" s="15" t="str">
        <f t="shared" si="3"/>
        <v>Baja</v>
      </c>
    </row>
    <row r="775" ht="14.25" customHeight="1">
      <c r="A775" s="6" t="s">
        <v>1502</v>
      </c>
      <c r="B775" s="27" t="s">
        <v>1661</v>
      </c>
      <c r="C775" s="10">
        <v>2.0</v>
      </c>
      <c r="D775" s="10">
        <v>1.0</v>
      </c>
      <c r="E775" s="10">
        <v>3.0</v>
      </c>
      <c r="F775" s="10">
        <v>1.0</v>
      </c>
      <c r="G775" s="10">
        <v>2.0</v>
      </c>
      <c r="H775" s="12">
        <f t="shared" si="1"/>
        <v>1.964</v>
      </c>
      <c r="I775" s="13">
        <v>3.0</v>
      </c>
      <c r="J775" s="14">
        <f t="shared" si="2"/>
        <v>5.892</v>
      </c>
      <c r="K775" s="15" t="str">
        <f t="shared" si="3"/>
        <v>Media</v>
      </c>
    </row>
    <row r="776" ht="14.25" customHeight="1">
      <c r="A776" s="6" t="s">
        <v>1502</v>
      </c>
      <c r="B776" s="27" t="s">
        <v>1668</v>
      </c>
      <c r="C776" s="10">
        <v>1.0</v>
      </c>
      <c r="D776" s="10">
        <v>1.0</v>
      </c>
      <c r="E776" s="10">
        <v>2.0</v>
      </c>
      <c r="F776" s="10">
        <v>1.0</v>
      </c>
      <c r="G776" s="10">
        <v>1.0</v>
      </c>
      <c r="H776" s="12">
        <f t="shared" si="1"/>
        <v>1.24</v>
      </c>
      <c r="I776" s="13">
        <v>3.0</v>
      </c>
      <c r="J776" s="14">
        <f t="shared" si="2"/>
        <v>3.72</v>
      </c>
      <c r="K776" s="15" t="str">
        <f t="shared" si="3"/>
        <v>Baja</v>
      </c>
    </row>
    <row r="777" ht="14.25" customHeight="1">
      <c r="A777" s="6" t="s">
        <v>1502</v>
      </c>
      <c r="B777" s="27" t="s">
        <v>1672</v>
      </c>
      <c r="C777" s="10">
        <v>1.0</v>
      </c>
      <c r="D777" s="10">
        <v>1.0</v>
      </c>
      <c r="E777" s="10">
        <v>2.0</v>
      </c>
      <c r="F777" s="10">
        <v>1.0</v>
      </c>
      <c r="G777" s="10">
        <v>1.0</v>
      </c>
      <c r="H777" s="12">
        <f t="shared" si="1"/>
        <v>1.24</v>
      </c>
      <c r="I777" s="13">
        <v>2.0</v>
      </c>
      <c r="J777" s="14">
        <f t="shared" si="2"/>
        <v>2.48</v>
      </c>
      <c r="K777" s="15" t="str">
        <f t="shared" si="3"/>
        <v>Baja</v>
      </c>
    </row>
    <row r="778" ht="14.25" customHeight="1">
      <c r="A778" s="6" t="s">
        <v>1502</v>
      </c>
      <c r="B778" s="27" t="s">
        <v>1676</v>
      </c>
      <c r="C778" s="10">
        <v>1.0</v>
      </c>
      <c r="D778" s="10">
        <v>1.0</v>
      </c>
      <c r="E778" s="10">
        <v>2.0</v>
      </c>
      <c r="F778" s="10">
        <v>1.0</v>
      </c>
      <c r="G778" s="10">
        <v>1.0</v>
      </c>
      <c r="H778" s="12">
        <f t="shared" si="1"/>
        <v>1.24</v>
      </c>
      <c r="I778" s="13">
        <v>3.0</v>
      </c>
      <c r="J778" s="14">
        <f t="shared" si="2"/>
        <v>3.72</v>
      </c>
      <c r="K778" s="15" t="str">
        <f t="shared" si="3"/>
        <v>Baja</v>
      </c>
    </row>
    <row r="779" ht="14.25" customHeight="1">
      <c r="A779" s="6" t="s">
        <v>1512</v>
      </c>
      <c r="B779" s="9" t="s">
        <v>971</v>
      </c>
      <c r="C779" s="10">
        <v>2.0</v>
      </c>
      <c r="D779" s="10">
        <v>1.0</v>
      </c>
      <c r="E779" s="10">
        <v>3.0</v>
      </c>
      <c r="F779" s="10">
        <v>2.0</v>
      </c>
      <c r="G779" s="10">
        <v>1.0</v>
      </c>
      <c r="H779" s="12">
        <f t="shared" si="1"/>
        <v>1.96</v>
      </c>
      <c r="I779" s="13">
        <v>2.0</v>
      </c>
      <c r="J779" s="14">
        <f t="shared" si="2"/>
        <v>3.92</v>
      </c>
      <c r="K779" s="15" t="str">
        <f t="shared" si="3"/>
        <v>Baja</v>
      </c>
    </row>
    <row r="780" ht="14.25" customHeight="1">
      <c r="A780" s="6" t="s">
        <v>1512</v>
      </c>
      <c r="B780" s="9" t="s">
        <v>974</v>
      </c>
      <c r="C780" s="10">
        <v>2.0</v>
      </c>
      <c r="D780" s="10">
        <v>1.0</v>
      </c>
      <c r="E780" s="10">
        <v>3.0</v>
      </c>
      <c r="F780" s="10">
        <v>2.0</v>
      </c>
      <c r="G780" s="10">
        <v>1.0</v>
      </c>
      <c r="H780" s="12">
        <f t="shared" si="1"/>
        <v>1.96</v>
      </c>
      <c r="I780" s="13">
        <v>1.0</v>
      </c>
      <c r="J780" s="14">
        <f t="shared" si="2"/>
        <v>1.96</v>
      </c>
      <c r="K780" s="15" t="str">
        <f t="shared" si="3"/>
        <v>Baja</v>
      </c>
    </row>
    <row r="781" ht="14.25" customHeight="1">
      <c r="A781" s="6" t="s">
        <v>1512</v>
      </c>
      <c r="B781" s="9" t="s">
        <v>976</v>
      </c>
      <c r="C781" s="10">
        <v>2.0</v>
      </c>
      <c r="D781" s="10">
        <v>1.0</v>
      </c>
      <c r="E781" s="10">
        <v>2.0</v>
      </c>
      <c r="F781" s="10">
        <v>1.0</v>
      </c>
      <c r="G781" s="10">
        <v>1.0</v>
      </c>
      <c r="H781" s="12">
        <f t="shared" si="1"/>
        <v>1.624</v>
      </c>
      <c r="I781" s="13">
        <v>2.0</v>
      </c>
      <c r="J781" s="14">
        <f t="shared" si="2"/>
        <v>3.248</v>
      </c>
      <c r="K781" s="15" t="str">
        <f t="shared" si="3"/>
        <v>Baja</v>
      </c>
    </row>
    <row r="782" ht="14.25" customHeight="1">
      <c r="A782" s="6" t="s">
        <v>1512</v>
      </c>
      <c r="B782" s="9" t="s">
        <v>982</v>
      </c>
      <c r="C782" s="10">
        <v>1.0</v>
      </c>
      <c r="D782" s="10">
        <v>1.0</v>
      </c>
      <c r="E782" s="10">
        <v>2.0</v>
      </c>
      <c r="F782" s="10">
        <v>2.0</v>
      </c>
      <c r="G782" s="10">
        <v>1.0</v>
      </c>
      <c r="H782" s="12">
        <f t="shared" si="1"/>
        <v>1.336</v>
      </c>
      <c r="I782" s="13">
        <v>2.0</v>
      </c>
      <c r="J782" s="14">
        <f t="shared" si="2"/>
        <v>2.672</v>
      </c>
      <c r="K782" s="15" t="str">
        <f t="shared" si="3"/>
        <v>Baja</v>
      </c>
    </row>
    <row r="783" ht="14.25" customHeight="1">
      <c r="A783" s="6" t="s">
        <v>1512</v>
      </c>
      <c r="B783" s="9" t="s">
        <v>990</v>
      </c>
      <c r="C783" s="10">
        <v>1.0</v>
      </c>
      <c r="D783" s="10">
        <v>1.0</v>
      </c>
      <c r="E783" s="10">
        <v>2.0</v>
      </c>
      <c r="F783" s="10">
        <v>2.0</v>
      </c>
      <c r="G783" s="10">
        <v>1.0</v>
      </c>
      <c r="H783" s="12">
        <f t="shared" si="1"/>
        <v>1.336</v>
      </c>
      <c r="I783" s="13">
        <v>3.0</v>
      </c>
      <c r="J783" s="14">
        <f t="shared" si="2"/>
        <v>4.008</v>
      </c>
      <c r="K783" s="15" t="str">
        <f t="shared" si="3"/>
        <v>Media</v>
      </c>
    </row>
    <row r="784" ht="14.25" customHeight="1">
      <c r="A784" s="6" t="s">
        <v>1521</v>
      </c>
      <c r="B784" s="27" t="s">
        <v>930</v>
      </c>
      <c r="C784" s="10">
        <v>2.0</v>
      </c>
      <c r="D784" s="10">
        <v>1.0</v>
      </c>
      <c r="E784" s="10">
        <v>2.0</v>
      </c>
      <c r="F784" s="10">
        <v>1.0</v>
      </c>
      <c r="G784" s="10">
        <v>2.0</v>
      </c>
      <c r="H784" s="12">
        <f t="shared" si="1"/>
        <v>1.724</v>
      </c>
      <c r="I784" s="13">
        <v>1.0</v>
      </c>
      <c r="J784" s="14">
        <f t="shared" si="2"/>
        <v>1.724</v>
      </c>
      <c r="K784" s="15" t="str">
        <f t="shared" si="3"/>
        <v>Baja</v>
      </c>
    </row>
    <row r="785" ht="14.25" customHeight="1">
      <c r="A785" s="6" t="s">
        <v>1521</v>
      </c>
      <c r="B785" s="27" t="s">
        <v>3294</v>
      </c>
      <c r="C785" s="10">
        <v>2.0</v>
      </c>
      <c r="D785" s="10">
        <v>1.0</v>
      </c>
      <c r="E785" s="10">
        <v>3.0</v>
      </c>
      <c r="F785" s="10">
        <v>1.0</v>
      </c>
      <c r="G785" s="10">
        <v>2.0</v>
      </c>
      <c r="H785" s="12">
        <f t="shared" si="1"/>
        <v>1.964</v>
      </c>
      <c r="I785" s="13">
        <v>3.0</v>
      </c>
      <c r="J785" s="14">
        <f t="shared" si="2"/>
        <v>5.892</v>
      </c>
      <c r="K785" s="15" t="str">
        <f t="shared" si="3"/>
        <v>Media</v>
      </c>
    </row>
    <row r="786" ht="14.25" customHeight="1">
      <c r="A786" s="6" t="s">
        <v>1521</v>
      </c>
      <c r="B786" s="27" t="s">
        <v>3295</v>
      </c>
      <c r="C786" s="10">
        <v>1.0</v>
      </c>
      <c r="D786" s="10">
        <v>1.0</v>
      </c>
      <c r="E786" s="10">
        <v>2.0</v>
      </c>
      <c r="F786" s="10">
        <v>1.0</v>
      </c>
      <c r="G786" s="10">
        <v>1.0</v>
      </c>
      <c r="H786" s="12">
        <f t="shared" si="1"/>
        <v>1.24</v>
      </c>
      <c r="I786" s="13">
        <v>3.0</v>
      </c>
      <c r="J786" s="14">
        <f t="shared" si="2"/>
        <v>3.72</v>
      </c>
      <c r="K786" s="15" t="str">
        <f t="shared" si="3"/>
        <v>Baja</v>
      </c>
    </row>
    <row r="787" ht="14.25" customHeight="1">
      <c r="A787" s="6" t="s">
        <v>1521</v>
      </c>
      <c r="B787" s="27" t="s">
        <v>3296</v>
      </c>
      <c r="C787" s="10">
        <v>1.0</v>
      </c>
      <c r="D787" s="10">
        <v>1.0</v>
      </c>
      <c r="E787" s="10">
        <v>2.0</v>
      </c>
      <c r="F787" s="10">
        <v>1.0</v>
      </c>
      <c r="G787" s="10">
        <v>1.0</v>
      </c>
      <c r="H787" s="12">
        <f t="shared" si="1"/>
        <v>1.24</v>
      </c>
      <c r="I787" s="13">
        <v>3.0</v>
      </c>
      <c r="J787" s="14">
        <f t="shared" si="2"/>
        <v>3.72</v>
      </c>
      <c r="K787" s="15" t="str">
        <f t="shared" si="3"/>
        <v>Baja</v>
      </c>
    </row>
    <row r="788" ht="14.25" customHeight="1">
      <c r="A788" s="6" t="s">
        <v>1521</v>
      </c>
      <c r="B788" s="27" t="s">
        <v>3299</v>
      </c>
      <c r="C788" s="10">
        <v>1.0</v>
      </c>
      <c r="D788" s="10">
        <v>1.0</v>
      </c>
      <c r="E788" s="10">
        <v>2.0</v>
      </c>
      <c r="F788" s="10">
        <v>1.0</v>
      </c>
      <c r="G788" s="10">
        <v>1.0</v>
      </c>
      <c r="H788" s="12">
        <f t="shared" si="1"/>
        <v>1.24</v>
      </c>
      <c r="I788" s="13">
        <v>3.0</v>
      </c>
      <c r="J788" s="14">
        <f t="shared" si="2"/>
        <v>3.72</v>
      </c>
      <c r="K788" s="15" t="str">
        <f t="shared" si="3"/>
        <v>Baja</v>
      </c>
    </row>
    <row r="789" ht="14.25" customHeight="1">
      <c r="A789" s="6" t="s">
        <v>1521</v>
      </c>
      <c r="B789" s="27" t="s">
        <v>3300</v>
      </c>
      <c r="C789" s="10">
        <v>1.0</v>
      </c>
      <c r="D789" s="10">
        <v>1.0</v>
      </c>
      <c r="E789" s="10">
        <v>2.0</v>
      </c>
      <c r="F789" s="10">
        <v>1.0</v>
      </c>
      <c r="G789" s="10">
        <v>1.0</v>
      </c>
      <c r="H789" s="12">
        <f t="shared" si="1"/>
        <v>1.24</v>
      </c>
      <c r="I789" s="13">
        <v>2.0</v>
      </c>
      <c r="J789" s="14">
        <f t="shared" si="2"/>
        <v>2.48</v>
      </c>
      <c r="K789" s="15" t="str">
        <f t="shared" si="3"/>
        <v>Baja</v>
      </c>
    </row>
    <row r="790" ht="14.25" customHeight="1">
      <c r="A790" s="6" t="s">
        <v>1528</v>
      </c>
      <c r="B790" s="9" t="s">
        <v>1609</v>
      </c>
      <c r="C790" s="10">
        <v>3.0</v>
      </c>
      <c r="D790" s="10">
        <v>3.0</v>
      </c>
      <c r="E790" s="10">
        <v>3.0</v>
      </c>
      <c r="F790" s="10">
        <v>3.0</v>
      </c>
      <c r="G790" s="10">
        <v>2.0</v>
      </c>
      <c r="H790" s="12">
        <f t="shared" si="1"/>
        <v>2.9</v>
      </c>
      <c r="I790" s="13">
        <v>1.0</v>
      </c>
      <c r="J790" s="14">
        <f t="shared" si="2"/>
        <v>2.9</v>
      </c>
      <c r="K790" s="15" t="str">
        <f t="shared" si="3"/>
        <v>Baja</v>
      </c>
    </row>
    <row r="791" ht="14.25" customHeight="1">
      <c r="A791" s="6" t="s">
        <v>1528</v>
      </c>
      <c r="B791" s="9" t="s">
        <v>1615</v>
      </c>
      <c r="C791" s="10">
        <v>3.0</v>
      </c>
      <c r="D791" s="10">
        <v>3.0</v>
      </c>
      <c r="E791" s="10">
        <v>3.0</v>
      </c>
      <c r="F791" s="10">
        <v>2.0</v>
      </c>
      <c r="G791" s="10">
        <v>2.0</v>
      </c>
      <c r="H791" s="12">
        <f t="shared" si="1"/>
        <v>2.804</v>
      </c>
      <c r="I791" s="13">
        <v>1.0</v>
      </c>
      <c r="J791" s="14">
        <f t="shared" si="2"/>
        <v>2.804</v>
      </c>
      <c r="K791" s="15" t="str">
        <f t="shared" si="3"/>
        <v>Baja</v>
      </c>
    </row>
    <row r="792" ht="14.25" customHeight="1">
      <c r="A792" s="6" t="s">
        <v>1528</v>
      </c>
      <c r="B792" s="9" t="s">
        <v>1622</v>
      </c>
      <c r="C792" s="10">
        <v>2.0</v>
      </c>
      <c r="D792" s="10">
        <v>2.0</v>
      </c>
      <c r="E792" s="10">
        <v>3.0</v>
      </c>
      <c r="F792" s="10">
        <v>3.0</v>
      </c>
      <c r="G792" s="10">
        <v>1.0</v>
      </c>
      <c r="H792" s="12">
        <f t="shared" si="1"/>
        <v>2.236</v>
      </c>
      <c r="I792" s="13">
        <v>1.0</v>
      </c>
      <c r="J792" s="14">
        <f t="shared" si="2"/>
        <v>2.236</v>
      </c>
      <c r="K792" s="15" t="str">
        <f t="shared" si="3"/>
        <v>Baja</v>
      </c>
    </row>
    <row r="793" ht="14.25" customHeight="1">
      <c r="A793" s="6" t="s">
        <v>1528</v>
      </c>
      <c r="B793" s="9" t="s">
        <v>1625</v>
      </c>
      <c r="C793" s="10">
        <v>2.0</v>
      </c>
      <c r="D793" s="10">
        <v>2.0</v>
      </c>
      <c r="E793" s="10">
        <v>3.0</v>
      </c>
      <c r="F793" s="10">
        <v>2.0</v>
      </c>
      <c r="G793" s="10">
        <v>1.0</v>
      </c>
      <c r="H793" s="12">
        <f t="shared" si="1"/>
        <v>2.14</v>
      </c>
      <c r="I793" s="13">
        <v>2.0</v>
      </c>
      <c r="J793" s="14">
        <f t="shared" si="2"/>
        <v>4.28</v>
      </c>
      <c r="K793" s="15" t="str">
        <f t="shared" si="3"/>
        <v>Media</v>
      </c>
    </row>
    <row r="794" ht="14.25" customHeight="1">
      <c r="A794" s="6" t="s">
        <v>1535</v>
      </c>
      <c r="B794" s="27" t="s">
        <v>1127</v>
      </c>
      <c r="C794" s="10">
        <v>3.0</v>
      </c>
      <c r="D794" s="10">
        <v>3.0</v>
      </c>
      <c r="E794" s="10">
        <v>3.0</v>
      </c>
      <c r="F794" s="10">
        <v>3.0</v>
      </c>
      <c r="G794" s="10">
        <v>2.0</v>
      </c>
      <c r="H794" s="12">
        <f t="shared" si="1"/>
        <v>2.9</v>
      </c>
      <c r="I794" s="13">
        <v>1.0</v>
      </c>
      <c r="J794" s="14">
        <f t="shared" si="2"/>
        <v>2.9</v>
      </c>
      <c r="K794" s="15" t="str">
        <f t="shared" si="3"/>
        <v>Baja</v>
      </c>
    </row>
    <row r="795" ht="14.25" customHeight="1">
      <c r="A795" s="6" t="s">
        <v>1535</v>
      </c>
      <c r="B795" s="27" t="s">
        <v>1134</v>
      </c>
      <c r="C795" s="10">
        <v>2.0</v>
      </c>
      <c r="D795" s="10">
        <v>2.0</v>
      </c>
      <c r="E795" s="10">
        <v>3.0</v>
      </c>
      <c r="F795" s="10">
        <v>3.0</v>
      </c>
      <c r="G795" s="10">
        <v>1.0</v>
      </c>
      <c r="H795" s="12">
        <f t="shared" si="1"/>
        <v>2.236</v>
      </c>
      <c r="I795" s="13">
        <v>3.0</v>
      </c>
      <c r="J795" s="14">
        <f t="shared" si="2"/>
        <v>6.708</v>
      </c>
      <c r="K795" s="15" t="str">
        <f t="shared" si="3"/>
        <v>Media</v>
      </c>
    </row>
    <row r="796" ht="14.25" customHeight="1">
      <c r="A796" s="6" t="s">
        <v>1535</v>
      </c>
      <c r="B796" s="27" t="s">
        <v>1141</v>
      </c>
      <c r="C796" s="10">
        <v>2.0</v>
      </c>
      <c r="D796" s="10">
        <v>2.0</v>
      </c>
      <c r="E796" s="10">
        <v>2.0</v>
      </c>
      <c r="F796" s="10">
        <v>1.0</v>
      </c>
      <c r="G796" s="10">
        <v>1.0</v>
      </c>
      <c r="H796" s="12">
        <f t="shared" si="1"/>
        <v>1.804</v>
      </c>
      <c r="I796" s="13">
        <v>3.0</v>
      </c>
      <c r="J796" s="14">
        <f t="shared" si="2"/>
        <v>5.412</v>
      </c>
      <c r="K796" s="15" t="str">
        <f t="shared" si="3"/>
        <v>Media</v>
      </c>
    </row>
    <row r="797" ht="14.25" customHeight="1">
      <c r="A797" s="6" t="s">
        <v>1535</v>
      </c>
      <c r="B797" s="27" t="s">
        <v>1147</v>
      </c>
      <c r="C797" s="10">
        <v>2.0</v>
      </c>
      <c r="D797" s="10">
        <v>2.0</v>
      </c>
      <c r="E797" s="10">
        <v>3.0</v>
      </c>
      <c r="F797" s="10">
        <v>3.0</v>
      </c>
      <c r="G797" s="10">
        <v>1.0</v>
      </c>
      <c r="H797" s="12">
        <f t="shared" si="1"/>
        <v>2.236</v>
      </c>
      <c r="I797" s="13">
        <v>3.0</v>
      </c>
      <c r="J797" s="14">
        <f t="shared" si="2"/>
        <v>6.708</v>
      </c>
      <c r="K797" s="15" t="str">
        <f t="shared" si="3"/>
        <v>Media</v>
      </c>
    </row>
    <row r="798" ht="14.25" customHeight="1">
      <c r="A798" s="6" t="s">
        <v>1539</v>
      </c>
      <c r="B798" s="9" t="s">
        <v>1644</v>
      </c>
      <c r="C798" s="10">
        <v>3.0</v>
      </c>
      <c r="D798" s="10">
        <v>3.0</v>
      </c>
      <c r="E798" s="10">
        <v>3.0</v>
      </c>
      <c r="F798" s="10">
        <v>2.0</v>
      </c>
      <c r="G798" s="10">
        <v>2.0</v>
      </c>
      <c r="H798" s="12">
        <f t="shared" si="1"/>
        <v>2.804</v>
      </c>
      <c r="I798" s="13">
        <v>1.0</v>
      </c>
      <c r="J798" s="14">
        <f t="shared" si="2"/>
        <v>2.804</v>
      </c>
      <c r="K798" s="15" t="str">
        <f t="shared" si="3"/>
        <v>Baja</v>
      </c>
    </row>
    <row r="799" ht="14.25" customHeight="1">
      <c r="A799" s="6" t="s">
        <v>1539</v>
      </c>
      <c r="B799" s="9" t="s">
        <v>1650</v>
      </c>
      <c r="C799" s="10">
        <v>2.0</v>
      </c>
      <c r="D799" s="10">
        <v>2.0</v>
      </c>
      <c r="E799" s="10">
        <v>3.0</v>
      </c>
      <c r="F799" s="10">
        <v>2.0</v>
      </c>
      <c r="G799" s="10">
        <v>1.0</v>
      </c>
      <c r="H799" s="12">
        <f t="shared" si="1"/>
        <v>2.14</v>
      </c>
      <c r="I799" s="13">
        <v>1.0</v>
      </c>
      <c r="J799" s="14">
        <f t="shared" si="2"/>
        <v>2.14</v>
      </c>
      <c r="K799" s="15" t="str">
        <f t="shared" si="3"/>
        <v>Baja</v>
      </c>
    </row>
    <row r="800" ht="14.25" customHeight="1">
      <c r="A800" s="6" t="s">
        <v>1539</v>
      </c>
      <c r="B800" s="9" t="s">
        <v>1655</v>
      </c>
      <c r="C800" s="10">
        <v>2.0</v>
      </c>
      <c r="D800" s="10">
        <v>2.0</v>
      </c>
      <c r="E800" s="10">
        <v>3.0</v>
      </c>
      <c r="F800" s="10">
        <v>3.0</v>
      </c>
      <c r="G800" s="10">
        <v>1.0</v>
      </c>
      <c r="H800" s="12">
        <f t="shared" si="1"/>
        <v>2.236</v>
      </c>
      <c r="I800" s="13">
        <v>1.0</v>
      </c>
      <c r="J800" s="14">
        <f t="shared" si="2"/>
        <v>2.236</v>
      </c>
      <c r="K800" s="15" t="str">
        <f t="shared" si="3"/>
        <v>Baja</v>
      </c>
    </row>
    <row r="801" ht="14.25" customHeight="1">
      <c r="A801" s="6" t="s">
        <v>1543</v>
      </c>
      <c r="B801" s="27" t="s">
        <v>1127</v>
      </c>
      <c r="C801" s="10">
        <v>3.0</v>
      </c>
      <c r="D801" s="10">
        <v>3.0</v>
      </c>
      <c r="E801" s="10">
        <v>3.0</v>
      </c>
      <c r="F801" s="10">
        <v>3.0</v>
      </c>
      <c r="G801" s="10">
        <v>2.0</v>
      </c>
      <c r="H801" s="12">
        <f t="shared" si="1"/>
        <v>2.9</v>
      </c>
      <c r="I801" s="13">
        <v>1.0</v>
      </c>
      <c r="J801" s="14">
        <f t="shared" si="2"/>
        <v>2.9</v>
      </c>
      <c r="K801" s="15" t="str">
        <f t="shared" si="3"/>
        <v>Baja</v>
      </c>
    </row>
    <row r="802" ht="14.25" customHeight="1">
      <c r="A802" s="6" t="s">
        <v>1543</v>
      </c>
      <c r="B802" s="27" t="s">
        <v>3154</v>
      </c>
      <c r="C802" s="10">
        <v>2.0</v>
      </c>
      <c r="D802" s="10">
        <v>2.0</v>
      </c>
      <c r="E802" s="10">
        <v>3.0</v>
      </c>
      <c r="F802" s="10">
        <v>3.0</v>
      </c>
      <c r="G802" s="10">
        <v>1.0</v>
      </c>
      <c r="H802" s="12">
        <f t="shared" si="1"/>
        <v>2.236</v>
      </c>
      <c r="I802" s="13">
        <v>3.0</v>
      </c>
      <c r="J802" s="14">
        <f t="shared" si="2"/>
        <v>6.708</v>
      </c>
      <c r="K802" s="15" t="str">
        <f t="shared" si="3"/>
        <v>Media</v>
      </c>
    </row>
    <row r="803" ht="14.25" customHeight="1">
      <c r="A803" s="6" t="s">
        <v>1543</v>
      </c>
      <c r="B803" s="27" t="s">
        <v>1141</v>
      </c>
      <c r="C803" s="10">
        <v>2.0</v>
      </c>
      <c r="D803" s="10">
        <v>2.0</v>
      </c>
      <c r="E803" s="10">
        <v>2.0</v>
      </c>
      <c r="F803" s="10">
        <v>1.0</v>
      </c>
      <c r="G803" s="10">
        <v>1.0</v>
      </c>
      <c r="H803" s="12">
        <f t="shared" si="1"/>
        <v>1.804</v>
      </c>
      <c r="I803" s="13">
        <v>3.0</v>
      </c>
      <c r="J803" s="14">
        <f t="shared" si="2"/>
        <v>5.412</v>
      </c>
      <c r="K803" s="15" t="str">
        <f t="shared" si="3"/>
        <v>Media</v>
      </c>
    </row>
    <row r="804" ht="14.25" customHeight="1">
      <c r="A804" s="6" t="s">
        <v>1546</v>
      </c>
      <c r="B804" s="9" t="s">
        <v>3475</v>
      </c>
      <c r="C804" s="10">
        <v>1.0</v>
      </c>
      <c r="D804" s="10">
        <v>1.0</v>
      </c>
      <c r="E804" s="10">
        <v>3.0</v>
      </c>
      <c r="F804" s="10">
        <v>3.0</v>
      </c>
      <c r="G804" s="10">
        <v>1.0</v>
      </c>
      <c r="H804" s="12">
        <f t="shared" si="1"/>
        <v>1.672</v>
      </c>
      <c r="I804" s="13">
        <v>2.0</v>
      </c>
      <c r="J804" s="14">
        <f t="shared" si="2"/>
        <v>3.344</v>
      </c>
      <c r="K804" s="15" t="str">
        <f t="shared" si="3"/>
        <v>Baja</v>
      </c>
    </row>
    <row r="805" ht="14.25" customHeight="1">
      <c r="A805" s="6" t="s">
        <v>1546</v>
      </c>
      <c r="B805" s="9" t="s">
        <v>3476</v>
      </c>
      <c r="C805" s="10">
        <v>1.0</v>
      </c>
      <c r="D805" s="10">
        <v>1.0</v>
      </c>
      <c r="E805" s="10">
        <v>2.0</v>
      </c>
      <c r="F805" s="10">
        <v>1.0</v>
      </c>
      <c r="G805" s="10">
        <v>1.0</v>
      </c>
      <c r="H805" s="12">
        <f t="shared" si="1"/>
        <v>1.24</v>
      </c>
      <c r="I805" s="13">
        <v>1.0</v>
      </c>
      <c r="J805" s="14">
        <f t="shared" si="2"/>
        <v>1.24</v>
      </c>
      <c r="K805" s="15" t="str">
        <f t="shared" si="3"/>
        <v>Baja</v>
      </c>
    </row>
    <row r="806" ht="14.25" customHeight="1">
      <c r="A806" s="6" t="s">
        <v>1546</v>
      </c>
      <c r="B806" s="9" t="s">
        <v>3478</v>
      </c>
      <c r="C806" s="10">
        <v>1.0</v>
      </c>
      <c r="D806" s="10">
        <v>1.0</v>
      </c>
      <c r="E806" s="10">
        <v>2.0</v>
      </c>
      <c r="F806" s="10">
        <v>1.0</v>
      </c>
      <c r="G806" s="10">
        <v>1.0</v>
      </c>
      <c r="H806" s="12">
        <f t="shared" si="1"/>
        <v>1.24</v>
      </c>
      <c r="I806" s="13">
        <v>3.0</v>
      </c>
      <c r="J806" s="14">
        <f t="shared" si="2"/>
        <v>3.72</v>
      </c>
      <c r="K806" s="15" t="str">
        <f t="shared" si="3"/>
        <v>Baja</v>
      </c>
    </row>
    <row r="807" ht="14.25" customHeight="1">
      <c r="A807" s="6" t="s">
        <v>1546</v>
      </c>
      <c r="B807" s="9" t="s">
        <v>3480</v>
      </c>
      <c r="C807" s="10">
        <v>1.0</v>
      </c>
      <c r="D807" s="10">
        <v>1.0</v>
      </c>
      <c r="E807" s="10">
        <v>2.0</v>
      </c>
      <c r="F807" s="10">
        <v>1.0</v>
      </c>
      <c r="G807" s="10">
        <v>1.0</v>
      </c>
      <c r="H807" s="12">
        <f t="shared" si="1"/>
        <v>1.24</v>
      </c>
      <c r="I807" s="13">
        <v>3.0</v>
      </c>
      <c r="J807" s="14">
        <f t="shared" si="2"/>
        <v>3.72</v>
      </c>
      <c r="K807" s="15" t="str">
        <f t="shared" si="3"/>
        <v>Baja</v>
      </c>
    </row>
    <row r="808" ht="14.25" customHeight="1">
      <c r="A808" s="6" t="s">
        <v>1546</v>
      </c>
      <c r="B808" s="9" t="s">
        <v>3481</v>
      </c>
      <c r="C808" s="10">
        <v>1.0</v>
      </c>
      <c r="D808" s="10">
        <v>1.0</v>
      </c>
      <c r="E808" s="10">
        <v>3.0</v>
      </c>
      <c r="F808" s="10">
        <v>1.0</v>
      </c>
      <c r="G808" s="10">
        <v>1.0</v>
      </c>
      <c r="H808" s="12">
        <f t="shared" si="1"/>
        <v>1.48</v>
      </c>
      <c r="I808" s="13">
        <v>3.0</v>
      </c>
      <c r="J808" s="14">
        <f t="shared" si="2"/>
        <v>4.44</v>
      </c>
      <c r="K808" s="15" t="str">
        <f t="shared" si="3"/>
        <v>Media</v>
      </c>
    </row>
    <row r="809" ht="14.25" customHeight="1">
      <c r="A809" s="6" t="s">
        <v>1546</v>
      </c>
      <c r="B809" s="9" t="s">
        <v>3482</v>
      </c>
      <c r="C809" s="10">
        <v>1.0</v>
      </c>
      <c r="D809" s="10">
        <v>1.0</v>
      </c>
      <c r="E809" s="10">
        <v>2.0</v>
      </c>
      <c r="F809" s="10">
        <v>1.0</v>
      </c>
      <c r="G809" s="10">
        <v>1.0</v>
      </c>
      <c r="H809" s="12">
        <f t="shared" si="1"/>
        <v>1.24</v>
      </c>
      <c r="I809" s="13">
        <v>3.0</v>
      </c>
      <c r="J809" s="14">
        <f t="shared" si="2"/>
        <v>3.72</v>
      </c>
      <c r="K809" s="15" t="str">
        <f t="shared" si="3"/>
        <v>Baja</v>
      </c>
    </row>
    <row r="810" ht="14.25" customHeight="1">
      <c r="A810" s="6" t="s">
        <v>1559</v>
      </c>
      <c r="B810" s="27" t="s">
        <v>1157</v>
      </c>
      <c r="C810" s="10">
        <v>1.0</v>
      </c>
      <c r="D810" s="10">
        <v>1.0</v>
      </c>
      <c r="E810" s="10">
        <v>3.0</v>
      </c>
      <c r="F810" s="10">
        <v>1.0</v>
      </c>
      <c r="G810" s="10">
        <v>1.0</v>
      </c>
      <c r="H810" s="12">
        <f t="shared" si="1"/>
        <v>1.48</v>
      </c>
      <c r="I810" s="13">
        <v>2.0</v>
      </c>
      <c r="J810" s="14">
        <f t="shared" si="2"/>
        <v>2.96</v>
      </c>
      <c r="K810" s="15" t="str">
        <f t="shared" si="3"/>
        <v>Baja</v>
      </c>
    </row>
    <row r="811" ht="14.25" customHeight="1">
      <c r="A811" s="6" t="s">
        <v>1559</v>
      </c>
      <c r="B811" s="27" t="s">
        <v>1167</v>
      </c>
      <c r="C811" s="10">
        <v>1.0</v>
      </c>
      <c r="D811" s="10">
        <v>1.0</v>
      </c>
      <c r="E811" s="10">
        <v>2.0</v>
      </c>
      <c r="F811" s="10">
        <v>1.0</v>
      </c>
      <c r="G811" s="10">
        <v>1.0</v>
      </c>
      <c r="H811" s="12">
        <f t="shared" si="1"/>
        <v>1.24</v>
      </c>
      <c r="I811" s="13">
        <v>1.0</v>
      </c>
      <c r="J811" s="14">
        <f t="shared" si="2"/>
        <v>1.24</v>
      </c>
      <c r="K811" s="15" t="str">
        <f t="shared" si="3"/>
        <v>Baja</v>
      </c>
    </row>
    <row r="812" ht="14.25" customHeight="1">
      <c r="A812" s="6" t="s">
        <v>1559</v>
      </c>
      <c r="B812" s="27" t="s">
        <v>1176</v>
      </c>
      <c r="C812" s="10">
        <v>1.0</v>
      </c>
      <c r="D812" s="10">
        <v>1.0</v>
      </c>
      <c r="E812" s="10">
        <v>2.0</v>
      </c>
      <c r="F812" s="10">
        <v>1.0</v>
      </c>
      <c r="G812" s="10">
        <v>1.0</v>
      </c>
      <c r="H812" s="12">
        <f t="shared" si="1"/>
        <v>1.24</v>
      </c>
      <c r="I812" s="13">
        <v>3.0</v>
      </c>
      <c r="J812" s="14">
        <f t="shared" si="2"/>
        <v>3.72</v>
      </c>
      <c r="K812" s="15" t="str">
        <f t="shared" si="3"/>
        <v>Baja</v>
      </c>
    </row>
    <row r="813" ht="14.25" customHeight="1">
      <c r="A813" s="6" t="s">
        <v>1559</v>
      </c>
      <c r="B813" s="27" t="s">
        <v>1184</v>
      </c>
      <c r="C813" s="10">
        <v>1.0</v>
      </c>
      <c r="D813" s="10">
        <v>1.0</v>
      </c>
      <c r="E813" s="10">
        <v>2.0</v>
      </c>
      <c r="F813" s="10">
        <v>1.0</v>
      </c>
      <c r="G813" s="10">
        <v>1.0</v>
      </c>
      <c r="H813" s="12">
        <f t="shared" si="1"/>
        <v>1.24</v>
      </c>
      <c r="I813" s="13">
        <v>2.0</v>
      </c>
      <c r="J813" s="14">
        <f t="shared" si="2"/>
        <v>2.48</v>
      </c>
      <c r="K813" s="15" t="str">
        <f t="shared" si="3"/>
        <v>Baja</v>
      </c>
    </row>
    <row r="814" ht="14.25" customHeight="1">
      <c r="A814" s="6" t="s">
        <v>1566</v>
      </c>
      <c r="B814" s="9" t="s">
        <v>3486</v>
      </c>
      <c r="C814" s="10">
        <v>3.0</v>
      </c>
      <c r="D814" s="10">
        <v>1.0</v>
      </c>
      <c r="E814" s="10">
        <v>2.0</v>
      </c>
      <c r="F814" s="10">
        <v>1.0</v>
      </c>
      <c r="G814" s="10">
        <v>1.0</v>
      </c>
      <c r="H814" s="12">
        <f t="shared" si="1"/>
        <v>2.008</v>
      </c>
      <c r="I814" s="13">
        <v>3.0</v>
      </c>
      <c r="J814" s="14">
        <f t="shared" si="2"/>
        <v>6.024</v>
      </c>
      <c r="K814" s="15" t="str">
        <f t="shared" si="3"/>
        <v>Media</v>
      </c>
    </row>
    <row r="815" ht="14.25" customHeight="1">
      <c r="A815" s="6" t="s">
        <v>1566</v>
      </c>
      <c r="B815" s="9" t="s">
        <v>3487</v>
      </c>
      <c r="C815" s="10">
        <v>3.0</v>
      </c>
      <c r="D815" s="10">
        <v>1.0</v>
      </c>
      <c r="E815" s="10">
        <v>2.0</v>
      </c>
      <c r="F815" s="10">
        <v>1.0</v>
      </c>
      <c r="G815" s="10">
        <v>1.0</v>
      </c>
      <c r="H815" s="12">
        <f t="shared" si="1"/>
        <v>2.008</v>
      </c>
      <c r="I815" s="13">
        <v>2.0</v>
      </c>
      <c r="J815" s="14">
        <f t="shared" si="2"/>
        <v>4.016</v>
      </c>
      <c r="K815" s="15" t="str">
        <f t="shared" si="3"/>
        <v>Media</v>
      </c>
    </row>
    <row r="816" ht="14.25" customHeight="1">
      <c r="A816" s="6" t="s">
        <v>1566</v>
      </c>
      <c r="B816" s="9" t="s">
        <v>3488</v>
      </c>
      <c r="C816" s="10">
        <v>3.0</v>
      </c>
      <c r="D816" s="10">
        <v>1.0</v>
      </c>
      <c r="E816" s="10">
        <v>2.0</v>
      </c>
      <c r="F816" s="10">
        <v>1.0</v>
      </c>
      <c r="G816" s="10">
        <v>1.0</v>
      </c>
      <c r="H816" s="12">
        <f t="shared" si="1"/>
        <v>2.008</v>
      </c>
      <c r="I816" s="13">
        <v>1.0</v>
      </c>
      <c r="J816" s="14">
        <f t="shared" si="2"/>
        <v>2.008</v>
      </c>
      <c r="K816" s="15" t="str">
        <f t="shared" si="3"/>
        <v>Baja</v>
      </c>
    </row>
    <row r="817" ht="14.25" customHeight="1">
      <c r="A817" s="6" t="s">
        <v>1566</v>
      </c>
      <c r="B817" s="9" t="s">
        <v>3489</v>
      </c>
      <c r="C817" s="10">
        <v>2.0</v>
      </c>
      <c r="D817" s="10">
        <v>1.0</v>
      </c>
      <c r="E817" s="10">
        <v>2.0</v>
      </c>
      <c r="F817" s="10">
        <v>1.0</v>
      </c>
      <c r="G817" s="10">
        <v>1.0</v>
      </c>
      <c r="H817" s="12">
        <f t="shared" si="1"/>
        <v>1.624</v>
      </c>
      <c r="I817" s="13">
        <v>3.0</v>
      </c>
      <c r="J817" s="14">
        <f t="shared" si="2"/>
        <v>4.872</v>
      </c>
      <c r="K817" s="15" t="str">
        <f t="shared" si="3"/>
        <v>Media</v>
      </c>
    </row>
    <row r="818" ht="14.25" customHeight="1">
      <c r="A818" s="6" t="s">
        <v>1566</v>
      </c>
      <c r="B818" s="9" t="s">
        <v>3490</v>
      </c>
      <c r="C818" s="10">
        <v>2.0</v>
      </c>
      <c r="D818" s="10">
        <v>1.0</v>
      </c>
      <c r="E818" s="10">
        <v>2.0</v>
      </c>
      <c r="F818" s="10">
        <v>1.0</v>
      </c>
      <c r="G818" s="10">
        <v>1.0</v>
      </c>
      <c r="H818" s="12">
        <f t="shared" si="1"/>
        <v>1.624</v>
      </c>
      <c r="I818" s="13">
        <v>2.0</v>
      </c>
      <c r="J818" s="14">
        <f t="shared" si="2"/>
        <v>3.248</v>
      </c>
      <c r="K818" s="15" t="str">
        <f t="shared" si="3"/>
        <v>Baja</v>
      </c>
    </row>
    <row r="819" ht="14.25" customHeight="1">
      <c r="A819" s="6" t="s">
        <v>1581</v>
      </c>
      <c r="B819" s="27" t="s">
        <v>3491</v>
      </c>
      <c r="C819" s="10">
        <v>2.0</v>
      </c>
      <c r="D819" s="10">
        <v>1.0</v>
      </c>
      <c r="E819" s="10">
        <v>3.0</v>
      </c>
      <c r="F819" s="10">
        <v>2.0</v>
      </c>
      <c r="G819" s="10">
        <v>1.0</v>
      </c>
      <c r="H819" s="12">
        <f t="shared" si="1"/>
        <v>1.96</v>
      </c>
      <c r="I819" s="13">
        <v>2.0</v>
      </c>
      <c r="J819" s="14">
        <f t="shared" si="2"/>
        <v>3.92</v>
      </c>
      <c r="K819" s="15" t="str">
        <f t="shared" si="3"/>
        <v>Baja</v>
      </c>
    </row>
    <row r="820" ht="14.25" customHeight="1">
      <c r="A820" s="6" t="s">
        <v>1581</v>
      </c>
      <c r="B820" s="27" t="s">
        <v>3492</v>
      </c>
      <c r="C820" s="10">
        <v>2.0</v>
      </c>
      <c r="D820" s="10">
        <v>1.0</v>
      </c>
      <c r="E820" s="10">
        <v>2.0</v>
      </c>
      <c r="F820" s="10">
        <v>1.0</v>
      </c>
      <c r="G820" s="10">
        <v>1.0</v>
      </c>
      <c r="H820" s="12">
        <f t="shared" si="1"/>
        <v>1.624</v>
      </c>
      <c r="I820" s="13">
        <v>3.0</v>
      </c>
      <c r="J820" s="14">
        <f t="shared" si="2"/>
        <v>4.872</v>
      </c>
      <c r="K820" s="15" t="str">
        <f t="shared" si="3"/>
        <v>Media</v>
      </c>
    </row>
    <row r="821" ht="14.25" customHeight="1">
      <c r="A821" s="6" t="s">
        <v>1581</v>
      </c>
      <c r="B821" s="27" t="s">
        <v>3493</v>
      </c>
      <c r="C821" s="10">
        <v>1.0</v>
      </c>
      <c r="D821" s="10">
        <v>1.0</v>
      </c>
      <c r="E821" s="10">
        <v>2.0</v>
      </c>
      <c r="F821" s="10">
        <v>1.0</v>
      </c>
      <c r="G821" s="10">
        <v>1.0</v>
      </c>
      <c r="H821" s="12">
        <f t="shared" si="1"/>
        <v>1.24</v>
      </c>
      <c r="I821" s="13">
        <v>2.0</v>
      </c>
      <c r="J821" s="14">
        <f t="shared" si="2"/>
        <v>2.48</v>
      </c>
      <c r="K821" s="15" t="str">
        <f t="shared" si="3"/>
        <v>Baja</v>
      </c>
    </row>
    <row r="822" ht="14.25" customHeight="1">
      <c r="A822" s="6" t="s">
        <v>1581</v>
      </c>
      <c r="B822" s="27" t="s">
        <v>3495</v>
      </c>
      <c r="C822" s="10">
        <v>1.0</v>
      </c>
      <c r="D822" s="10">
        <v>1.0</v>
      </c>
      <c r="E822" s="10">
        <v>2.0</v>
      </c>
      <c r="F822" s="10">
        <v>1.0</v>
      </c>
      <c r="G822" s="10">
        <v>1.0</v>
      </c>
      <c r="H822" s="12">
        <f t="shared" si="1"/>
        <v>1.24</v>
      </c>
      <c r="I822" s="13">
        <v>2.0</v>
      </c>
      <c r="J822" s="14">
        <f t="shared" si="2"/>
        <v>2.48</v>
      </c>
      <c r="K822" s="15" t="str">
        <f t="shared" si="3"/>
        <v>Baja</v>
      </c>
    </row>
    <row r="823" ht="14.25" customHeight="1">
      <c r="A823" s="6" t="s">
        <v>1595</v>
      </c>
      <c r="B823" s="9" t="s">
        <v>1191</v>
      </c>
      <c r="C823" s="10">
        <v>1.0</v>
      </c>
      <c r="D823" s="10">
        <v>2.0</v>
      </c>
      <c r="E823" s="10">
        <v>2.0</v>
      </c>
      <c r="F823" s="10">
        <v>1.0</v>
      </c>
      <c r="G823" s="10">
        <v>1.0</v>
      </c>
      <c r="H823" s="12">
        <f t="shared" si="1"/>
        <v>1.42</v>
      </c>
      <c r="I823" s="13">
        <v>3.0</v>
      </c>
      <c r="J823" s="14">
        <f t="shared" si="2"/>
        <v>4.26</v>
      </c>
      <c r="K823" s="15" t="str">
        <f t="shared" si="3"/>
        <v>Media</v>
      </c>
    </row>
    <row r="824" ht="14.25" customHeight="1">
      <c r="A824" s="6" t="s">
        <v>1595</v>
      </c>
      <c r="B824" s="9" t="s">
        <v>1195</v>
      </c>
      <c r="C824" s="10">
        <v>1.0</v>
      </c>
      <c r="D824" s="10">
        <v>2.0</v>
      </c>
      <c r="E824" s="10">
        <v>2.0</v>
      </c>
      <c r="F824" s="10">
        <v>1.0</v>
      </c>
      <c r="G824" s="10">
        <v>1.0</v>
      </c>
      <c r="H824" s="12">
        <f t="shared" si="1"/>
        <v>1.42</v>
      </c>
      <c r="I824" s="13">
        <v>2.0</v>
      </c>
      <c r="J824" s="14">
        <f t="shared" si="2"/>
        <v>2.84</v>
      </c>
      <c r="K824" s="15" t="str">
        <f t="shared" si="3"/>
        <v>Baja</v>
      </c>
    </row>
    <row r="825" ht="14.25" customHeight="1">
      <c r="A825" s="6" t="s">
        <v>1595</v>
      </c>
      <c r="B825" s="9" t="s">
        <v>1204</v>
      </c>
      <c r="C825" s="10">
        <v>1.0</v>
      </c>
      <c r="D825" s="10">
        <v>2.0</v>
      </c>
      <c r="E825" s="10">
        <v>2.0</v>
      </c>
      <c r="F825" s="10">
        <v>1.0</v>
      </c>
      <c r="G825" s="10">
        <v>1.0</v>
      </c>
      <c r="H825" s="12">
        <f t="shared" si="1"/>
        <v>1.42</v>
      </c>
      <c r="I825" s="13">
        <v>1.0</v>
      </c>
      <c r="J825" s="14">
        <f t="shared" si="2"/>
        <v>1.42</v>
      </c>
      <c r="K825" s="15" t="str">
        <f t="shared" si="3"/>
        <v>Baja</v>
      </c>
    </row>
    <row r="826" ht="14.25" customHeight="1">
      <c r="A826" s="6" t="s">
        <v>1595</v>
      </c>
      <c r="B826" s="9" t="s">
        <v>1210</v>
      </c>
      <c r="C826" s="10">
        <v>1.0</v>
      </c>
      <c r="D826" s="10">
        <v>2.0</v>
      </c>
      <c r="E826" s="10">
        <v>2.0</v>
      </c>
      <c r="F826" s="10">
        <v>1.0</v>
      </c>
      <c r="G826" s="10">
        <v>1.0</v>
      </c>
      <c r="H826" s="12">
        <f t="shared" si="1"/>
        <v>1.42</v>
      </c>
      <c r="I826" s="13">
        <v>3.0</v>
      </c>
      <c r="J826" s="14">
        <f t="shared" si="2"/>
        <v>4.26</v>
      </c>
      <c r="K826" s="15" t="str">
        <f t="shared" si="3"/>
        <v>Media</v>
      </c>
    </row>
    <row r="827" ht="14.25" customHeight="1">
      <c r="A827" s="6" t="s">
        <v>1595</v>
      </c>
      <c r="B827" s="9" t="s">
        <v>1219</v>
      </c>
      <c r="C827" s="10">
        <v>1.0</v>
      </c>
      <c r="D827" s="10">
        <v>2.0</v>
      </c>
      <c r="E827" s="10">
        <v>2.0</v>
      </c>
      <c r="F827" s="10">
        <v>1.0</v>
      </c>
      <c r="G827" s="10">
        <v>1.0</v>
      </c>
      <c r="H827" s="12">
        <f t="shared" si="1"/>
        <v>1.42</v>
      </c>
      <c r="I827" s="13">
        <v>3.0</v>
      </c>
      <c r="J827" s="14">
        <f t="shared" si="2"/>
        <v>4.26</v>
      </c>
      <c r="K827" s="15" t="str">
        <f t="shared" si="3"/>
        <v>Media</v>
      </c>
    </row>
    <row r="828" ht="14.25" customHeight="1">
      <c r="A828" s="6" t="s">
        <v>1595</v>
      </c>
      <c r="B828" s="9" t="s">
        <v>1228</v>
      </c>
      <c r="C828" s="10">
        <v>1.0</v>
      </c>
      <c r="D828" s="10">
        <v>1.0</v>
      </c>
      <c r="E828" s="10">
        <v>2.0</v>
      </c>
      <c r="F828" s="10">
        <v>1.0</v>
      </c>
      <c r="G828" s="10">
        <v>1.0</v>
      </c>
      <c r="H828" s="12">
        <f t="shared" si="1"/>
        <v>1.24</v>
      </c>
      <c r="I828" s="13">
        <v>2.0</v>
      </c>
      <c r="J828" s="14">
        <f t="shared" si="2"/>
        <v>2.48</v>
      </c>
      <c r="K828" s="15" t="str">
        <f t="shared" si="3"/>
        <v>Baja</v>
      </c>
    </row>
    <row r="829" ht="14.25" customHeight="1">
      <c r="A829" s="6" t="s">
        <v>1595</v>
      </c>
      <c r="B829" s="9" t="s">
        <v>1233</v>
      </c>
      <c r="C829" s="10">
        <v>1.0</v>
      </c>
      <c r="D829" s="10">
        <v>1.0</v>
      </c>
      <c r="E829" s="10">
        <v>2.0</v>
      </c>
      <c r="F829" s="10">
        <v>1.0</v>
      </c>
      <c r="G829" s="10">
        <v>1.0</v>
      </c>
      <c r="H829" s="12">
        <f t="shared" si="1"/>
        <v>1.24</v>
      </c>
      <c r="I829" s="13">
        <v>3.0</v>
      </c>
      <c r="J829" s="14">
        <f t="shared" si="2"/>
        <v>3.72</v>
      </c>
      <c r="K829" s="15" t="str">
        <f t="shared" si="3"/>
        <v>Baja</v>
      </c>
    </row>
    <row r="830" ht="14.25" customHeight="1">
      <c r="A830" s="6" t="s">
        <v>1600</v>
      </c>
      <c r="B830" s="27" t="s">
        <v>1191</v>
      </c>
      <c r="C830" s="10">
        <v>1.0</v>
      </c>
      <c r="D830" s="10">
        <v>2.0</v>
      </c>
      <c r="E830" s="10">
        <v>2.0</v>
      </c>
      <c r="F830" s="10">
        <v>1.0</v>
      </c>
      <c r="G830" s="10">
        <v>1.0</v>
      </c>
      <c r="H830" s="12">
        <f t="shared" si="1"/>
        <v>1.42</v>
      </c>
      <c r="I830" s="13">
        <v>3.0</v>
      </c>
      <c r="J830" s="14">
        <f t="shared" si="2"/>
        <v>4.26</v>
      </c>
      <c r="K830" s="15" t="str">
        <f t="shared" si="3"/>
        <v>Media</v>
      </c>
    </row>
    <row r="831" ht="14.25" customHeight="1">
      <c r="A831" s="6" t="s">
        <v>1600</v>
      </c>
      <c r="B831" s="27" t="s">
        <v>1204</v>
      </c>
      <c r="C831" s="10">
        <v>1.0</v>
      </c>
      <c r="D831" s="10">
        <v>2.0</v>
      </c>
      <c r="E831" s="10">
        <v>2.0</v>
      </c>
      <c r="F831" s="10">
        <v>1.0</v>
      </c>
      <c r="G831" s="10">
        <v>1.0</v>
      </c>
      <c r="H831" s="12">
        <f t="shared" si="1"/>
        <v>1.42</v>
      </c>
      <c r="I831" s="13">
        <v>1.0</v>
      </c>
      <c r="J831" s="14">
        <f t="shared" si="2"/>
        <v>1.42</v>
      </c>
      <c r="K831" s="15" t="str">
        <f t="shared" si="3"/>
        <v>Baja</v>
      </c>
    </row>
    <row r="832" ht="14.25" customHeight="1">
      <c r="A832" s="6" t="s">
        <v>1600</v>
      </c>
      <c r="B832" s="27" t="s">
        <v>1228</v>
      </c>
      <c r="C832" s="10">
        <v>1.0</v>
      </c>
      <c r="D832" s="10">
        <v>1.0</v>
      </c>
      <c r="E832" s="10">
        <v>2.0</v>
      </c>
      <c r="F832" s="10">
        <v>1.0</v>
      </c>
      <c r="G832" s="10">
        <v>1.0</v>
      </c>
      <c r="H832" s="12">
        <f t="shared" si="1"/>
        <v>1.24</v>
      </c>
      <c r="I832" s="13">
        <v>2.0</v>
      </c>
      <c r="J832" s="14">
        <f t="shared" si="2"/>
        <v>2.48</v>
      </c>
      <c r="K832" s="15" t="str">
        <f t="shared" si="3"/>
        <v>Baja</v>
      </c>
    </row>
    <row r="833" ht="14.25" customHeight="1">
      <c r="A833" s="6" t="s">
        <v>1604</v>
      </c>
      <c r="B833" s="9" t="s">
        <v>3499</v>
      </c>
      <c r="C833" s="10">
        <v>1.0</v>
      </c>
      <c r="D833" s="10">
        <v>1.0</v>
      </c>
      <c r="E833" s="10">
        <v>3.0</v>
      </c>
      <c r="F833" s="10">
        <v>2.0</v>
      </c>
      <c r="G833" s="10">
        <v>1.0</v>
      </c>
      <c r="H833" s="12">
        <f t="shared" si="1"/>
        <v>1.576</v>
      </c>
      <c r="I833" s="13">
        <v>2.0</v>
      </c>
      <c r="J833" s="14">
        <f t="shared" si="2"/>
        <v>3.152</v>
      </c>
      <c r="K833" s="15" t="str">
        <f t="shared" si="3"/>
        <v>Baja</v>
      </c>
    </row>
    <row r="834" ht="14.25" customHeight="1">
      <c r="A834" s="6" t="s">
        <v>1604</v>
      </c>
      <c r="B834" s="9" t="s">
        <v>3502</v>
      </c>
      <c r="C834" s="10">
        <v>1.0</v>
      </c>
      <c r="D834" s="10">
        <v>1.0</v>
      </c>
      <c r="E834" s="10">
        <v>2.0</v>
      </c>
      <c r="F834" s="10">
        <v>2.0</v>
      </c>
      <c r="G834" s="10">
        <v>1.0</v>
      </c>
      <c r="H834" s="12">
        <f t="shared" si="1"/>
        <v>1.336</v>
      </c>
      <c r="I834" s="13">
        <v>2.0</v>
      </c>
      <c r="J834" s="14">
        <f t="shared" si="2"/>
        <v>2.672</v>
      </c>
      <c r="K834" s="15" t="str">
        <f t="shared" si="3"/>
        <v>Baja</v>
      </c>
    </row>
    <row r="835" ht="14.25" customHeight="1">
      <c r="A835" s="6" t="s">
        <v>1604</v>
      </c>
      <c r="B835" s="9" t="s">
        <v>3503</v>
      </c>
      <c r="C835" s="10">
        <v>1.0</v>
      </c>
      <c r="D835" s="10">
        <v>1.0</v>
      </c>
      <c r="E835" s="10">
        <v>2.0</v>
      </c>
      <c r="F835" s="10">
        <v>2.0</v>
      </c>
      <c r="G835" s="10">
        <v>1.0</v>
      </c>
      <c r="H835" s="12">
        <f t="shared" si="1"/>
        <v>1.336</v>
      </c>
      <c r="I835" s="13">
        <v>2.0</v>
      </c>
      <c r="J835" s="14">
        <f t="shared" si="2"/>
        <v>2.672</v>
      </c>
      <c r="K835" s="15" t="str">
        <f t="shared" si="3"/>
        <v>Baja</v>
      </c>
    </row>
    <row r="836" ht="14.25" customHeight="1">
      <c r="A836" s="6" t="s">
        <v>1604</v>
      </c>
      <c r="B836" s="9" t="s">
        <v>3504</v>
      </c>
      <c r="C836" s="10">
        <v>1.0</v>
      </c>
      <c r="D836" s="10">
        <v>1.0</v>
      </c>
      <c r="E836" s="10">
        <v>3.0</v>
      </c>
      <c r="F836" s="10">
        <v>2.0</v>
      </c>
      <c r="G836" s="10">
        <v>1.0</v>
      </c>
      <c r="H836" s="12">
        <f t="shared" si="1"/>
        <v>1.576</v>
      </c>
      <c r="I836" s="13">
        <v>2.0</v>
      </c>
      <c r="J836" s="14">
        <f t="shared" si="2"/>
        <v>3.152</v>
      </c>
      <c r="K836" s="15" t="str">
        <f t="shared" si="3"/>
        <v>Baja</v>
      </c>
    </row>
    <row r="837" ht="14.25" customHeight="1">
      <c r="A837" s="6" t="s">
        <v>1604</v>
      </c>
      <c r="B837" s="9" t="s">
        <v>3505</v>
      </c>
      <c r="C837" s="10">
        <v>1.0</v>
      </c>
      <c r="D837" s="10">
        <v>1.0</v>
      </c>
      <c r="E837" s="10">
        <v>3.0</v>
      </c>
      <c r="F837" s="10">
        <v>2.0</v>
      </c>
      <c r="G837" s="10">
        <v>1.0</v>
      </c>
      <c r="H837" s="12">
        <f t="shared" si="1"/>
        <v>1.576</v>
      </c>
      <c r="I837" s="13">
        <v>1.0</v>
      </c>
      <c r="J837" s="14">
        <f t="shared" si="2"/>
        <v>1.576</v>
      </c>
      <c r="K837" s="15" t="str">
        <f t="shared" si="3"/>
        <v>Baja</v>
      </c>
    </row>
    <row r="838" ht="14.25" customHeight="1">
      <c r="A838" s="6" t="s">
        <v>1604</v>
      </c>
      <c r="B838" s="9" t="s">
        <v>3508</v>
      </c>
      <c r="C838" s="10">
        <v>1.0</v>
      </c>
      <c r="D838" s="10">
        <v>1.0</v>
      </c>
      <c r="E838" s="10">
        <v>2.0</v>
      </c>
      <c r="F838" s="10">
        <v>2.0</v>
      </c>
      <c r="G838" s="10">
        <v>1.0</v>
      </c>
      <c r="H838" s="12">
        <f t="shared" si="1"/>
        <v>1.336</v>
      </c>
      <c r="I838" s="13">
        <v>2.0</v>
      </c>
      <c r="J838" s="14">
        <f t="shared" si="2"/>
        <v>2.672</v>
      </c>
      <c r="K838" s="15" t="str">
        <f t="shared" si="3"/>
        <v>Baja</v>
      </c>
    </row>
    <row r="839" ht="14.25" customHeight="1">
      <c r="A839" s="6" t="s">
        <v>1618</v>
      </c>
      <c r="B839" s="27" t="s">
        <v>3509</v>
      </c>
      <c r="C839" s="10">
        <v>3.0</v>
      </c>
      <c r="D839" s="10">
        <v>1.0</v>
      </c>
      <c r="E839" s="10">
        <v>3.0</v>
      </c>
      <c r="F839" s="10">
        <v>2.0</v>
      </c>
      <c r="G839" s="10">
        <v>1.0</v>
      </c>
      <c r="H839" s="12">
        <f t="shared" si="1"/>
        <v>2.344</v>
      </c>
      <c r="I839" s="13">
        <v>2.0</v>
      </c>
      <c r="J839" s="14">
        <f t="shared" si="2"/>
        <v>4.688</v>
      </c>
      <c r="K839" s="15" t="str">
        <f t="shared" si="3"/>
        <v>Media</v>
      </c>
    </row>
    <row r="840" ht="14.25" customHeight="1">
      <c r="A840" s="6" t="s">
        <v>1618</v>
      </c>
      <c r="B840" s="27" t="s">
        <v>3510</v>
      </c>
      <c r="C840" s="10">
        <v>3.0</v>
      </c>
      <c r="D840" s="10">
        <v>1.0</v>
      </c>
      <c r="E840" s="10">
        <v>2.0</v>
      </c>
      <c r="F840" s="10">
        <v>2.0</v>
      </c>
      <c r="G840" s="10">
        <v>1.0</v>
      </c>
      <c r="H840" s="12">
        <f t="shared" si="1"/>
        <v>2.104</v>
      </c>
      <c r="I840" s="13">
        <v>1.0</v>
      </c>
      <c r="J840" s="14">
        <f t="shared" si="2"/>
        <v>2.104</v>
      </c>
      <c r="K840" s="15" t="str">
        <f t="shared" si="3"/>
        <v>Baja</v>
      </c>
    </row>
    <row r="841" ht="14.25" customHeight="1">
      <c r="A841" s="6" t="s">
        <v>1618</v>
      </c>
      <c r="B841" s="27" t="s">
        <v>3511</v>
      </c>
      <c r="C841" s="10">
        <v>1.0</v>
      </c>
      <c r="D841" s="10">
        <v>1.0</v>
      </c>
      <c r="E841" s="10">
        <v>2.0</v>
      </c>
      <c r="F841" s="10">
        <v>2.0</v>
      </c>
      <c r="G841" s="10">
        <v>1.0</v>
      </c>
      <c r="H841" s="12">
        <f t="shared" si="1"/>
        <v>1.336</v>
      </c>
      <c r="I841" s="13">
        <v>3.0</v>
      </c>
      <c r="J841" s="14">
        <f t="shared" si="2"/>
        <v>4.008</v>
      </c>
      <c r="K841" s="15" t="str">
        <f t="shared" si="3"/>
        <v>Media</v>
      </c>
    </row>
    <row r="842" ht="14.25" customHeight="1">
      <c r="A842" s="6" t="s">
        <v>1618</v>
      </c>
      <c r="B842" s="27" t="s">
        <v>3514</v>
      </c>
      <c r="C842" s="10">
        <v>1.0</v>
      </c>
      <c r="D842" s="10">
        <v>1.0</v>
      </c>
      <c r="E842" s="10">
        <v>2.0</v>
      </c>
      <c r="F842" s="10">
        <v>1.0</v>
      </c>
      <c r="G842" s="10">
        <v>1.0</v>
      </c>
      <c r="H842" s="12">
        <f t="shared" si="1"/>
        <v>1.24</v>
      </c>
      <c r="I842" s="13">
        <v>2.0</v>
      </c>
      <c r="J842" s="14">
        <f t="shared" si="2"/>
        <v>2.48</v>
      </c>
      <c r="K842" s="15" t="str">
        <f t="shared" si="3"/>
        <v>Baja</v>
      </c>
    </row>
    <row r="843" ht="14.25" customHeight="1">
      <c r="A843" s="6" t="s">
        <v>1618</v>
      </c>
      <c r="B843" s="27" t="s">
        <v>3515</v>
      </c>
      <c r="C843" s="10">
        <v>3.0</v>
      </c>
      <c r="D843" s="10">
        <v>1.0</v>
      </c>
      <c r="E843" s="10">
        <v>2.0</v>
      </c>
      <c r="F843" s="10">
        <v>1.0</v>
      </c>
      <c r="G843" s="10">
        <v>1.0</v>
      </c>
      <c r="H843" s="12">
        <f t="shared" si="1"/>
        <v>2.008</v>
      </c>
      <c r="I843" s="13">
        <v>2.0</v>
      </c>
      <c r="J843" s="14">
        <f t="shared" si="2"/>
        <v>4.016</v>
      </c>
      <c r="K843" s="15" t="str">
        <f t="shared" si="3"/>
        <v>Media</v>
      </c>
    </row>
    <row r="844" ht="14.25" customHeight="1">
      <c r="A844" s="6" t="s">
        <v>1627</v>
      </c>
      <c r="B844" s="9" t="s">
        <v>3516</v>
      </c>
      <c r="C844" s="10">
        <v>1.0</v>
      </c>
      <c r="D844" s="10">
        <v>1.0</v>
      </c>
      <c r="E844" s="10">
        <v>3.0</v>
      </c>
      <c r="F844" s="10">
        <v>2.0</v>
      </c>
      <c r="G844" s="10">
        <v>1.0</v>
      </c>
      <c r="H844" s="12">
        <f t="shared" si="1"/>
        <v>1.576</v>
      </c>
      <c r="I844" s="13">
        <v>3.0</v>
      </c>
      <c r="J844" s="14">
        <f t="shared" si="2"/>
        <v>4.728</v>
      </c>
      <c r="K844" s="15" t="str">
        <f t="shared" si="3"/>
        <v>Media</v>
      </c>
    </row>
    <row r="845" ht="14.25" customHeight="1">
      <c r="A845" s="6" t="s">
        <v>1627</v>
      </c>
      <c r="B845" s="9" t="s">
        <v>3517</v>
      </c>
      <c r="C845" s="10">
        <v>1.0</v>
      </c>
      <c r="D845" s="10">
        <v>1.0</v>
      </c>
      <c r="E845" s="10">
        <v>2.0</v>
      </c>
      <c r="F845" s="10">
        <v>1.0</v>
      </c>
      <c r="G845" s="10">
        <v>1.0</v>
      </c>
      <c r="H845" s="12">
        <f t="shared" si="1"/>
        <v>1.24</v>
      </c>
      <c r="I845" s="13">
        <v>3.0</v>
      </c>
      <c r="J845" s="14">
        <f t="shared" si="2"/>
        <v>3.72</v>
      </c>
      <c r="K845" s="15" t="str">
        <f t="shared" si="3"/>
        <v>Baja</v>
      </c>
    </row>
    <row r="846" ht="14.25" customHeight="1">
      <c r="A846" s="6" t="s">
        <v>1627</v>
      </c>
      <c r="B846" s="9" t="s">
        <v>3518</v>
      </c>
      <c r="C846" s="10">
        <v>1.0</v>
      </c>
      <c r="D846" s="10">
        <v>1.0</v>
      </c>
      <c r="E846" s="10">
        <v>2.0</v>
      </c>
      <c r="F846" s="10">
        <v>1.0</v>
      </c>
      <c r="G846" s="10">
        <v>1.0</v>
      </c>
      <c r="H846" s="12">
        <f t="shared" si="1"/>
        <v>1.24</v>
      </c>
      <c r="I846" s="13">
        <v>2.0</v>
      </c>
      <c r="J846" s="14">
        <f t="shared" si="2"/>
        <v>2.48</v>
      </c>
      <c r="K846" s="15" t="str">
        <f t="shared" si="3"/>
        <v>Baja</v>
      </c>
    </row>
    <row r="847" ht="14.25" customHeight="1">
      <c r="A847" s="6" t="s">
        <v>1637</v>
      </c>
      <c r="B847" s="27" t="s">
        <v>1246</v>
      </c>
      <c r="C847" s="10">
        <v>3.0</v>
      </c>
      <c r="D847" s="10">
        <v>2.0</v>
      </c>
      <c r="E847" s="10">
        <v>3.0</v>
      </c>
      <c r="F847" s="10">
        <v>1.0</v>
      </c>
      <c r="G847" s="10">
        <v>1.0</v>
      </c>
      <c r="H847" s="12">
        <f t="shared" si="1"/>
        <v>2.428</v>
      </c>
      <c r="I847" s="13">
        <v>3.0</v>
      </c>
      <c r="J847" s="14">
        <f t="shared" si="2"/>
        <v>7.284</v>
      </c>
      <c r="K847" s="15" t="str">
        <f t="shared" si="3"/>
        <v>Media</v>
      </c>
    </row>
    <row r="848" ht="14.25" customHeight="1">
      <c r="A848" s="6" t="s">
        <v>1637</v>
      </c>
      <c r="B848" s="27" t="s">
        <v>1248</v>
      </c>
      <c r="C848" s="10">
        <v>3.0</v>
      </c>
      <c r="D848" s="10">
        <v>2.0</v>
      </c>
      <c r="E848" s="10">
        <v>2.0</v>
      </c>
      <c r="F848" s="10">
        <v>2.0</v>
      </c>
      <c r="G848" s="10">
        <v>1.0</v>
      </c>
      <c r="H848" s="12">
        <f t="shared" si="1"/>
        <v>2.284</v>
      </c>
      <c r="I848" s="13">
        <v>2.0</v>
      </c>
      <c r="J848" s="14">
        <f t="shared" si="2"/>
        <v>4.568</v>
      </c>
      <c r="K848" s="15" t="str">
        <f t="shared" si="3"/>
        <v>Media</v>
      </c>
    </row>
    <row r="849" ht="14.25" customHeight="1">
      <c r="A849" s="6" t="s">
        <v>1637</v>
      </c>
      <c r="B849" s="27" t="s">
        <v>1255</v>
      </c>
      <c r="C849" s="10">
        <v>2.0</v>
      </c>
      <c r="D849" s="10">
        <v>1.0</v>
      </c>
      <c r="E849" s="10">
        <v>2.0</v>
      </c>
      <c r="F849" s="10">
        <v>1.0</v>
      </c>
      <c r="G849" s="10">
        <v>1.0</v>
      </c>
      <c r="H849" s="12">
        <f t="shared" si="1"/>
        <v>1.624</v>
      </c>
      <c r="I849" s="13">
        <v>2.0</v>
      </c>
      <c r="J849" s="14">
        <f t="shared" si="2"/>
        <v>3.248</v>
      </c>
      <c r="K849" s="15" t="str">
        <f t="shared" si="3"/>
        <v>Baja</v>
      </c>
    </row>
    <row r="850" ht="14.25" customHeight="1">
      <c r="A850" s="6" t="s">
        <v>1637</v>
      </c>
      <c r="B850" s="27" t="s">
        <v>1259</v>
      </c>
      <c r="C850" s="10">
        <v>2.0</v>
      </c>
      <c r="D850" s="10">
        <v>1.0</v>
      </c>
      <c r="E850" s="10">
        <v>2.0</v>
      </c>
      <c r="F850" s="10">
        <v>2.0</v>
      </c>
      <c r="G850" s="10">
        <v>1.0</v>
      </c>
      <c r="H850" s="12">
        <f t="shared" si="1"/>
        <v>1.72</v>
      </c>
      <c r="I850" s="13">
        <v>2.0</v>
      </c>
      <c r="J850" s="14">
        <f t="shared" si="2"/>
        <v>3.44</v>
      </c>
      <c r="K850" s="15" t="str">
        <f t="shared" si="3"/>
        <v>Baja</v>
      </c>
    </row>
    <row r="851" ht="14.25" customHeight="1">
      <c r="A851" s="6" t="s">
        <v>1637</v>
      </c>
      <c r="B851" s="27" t="s">
        <v>1265</v>
      </c>
      <c r="C851" s="10">
        <v>2.0</v>
      </c>
      <c r="D851" s="10">
        <v>1.0</v>
      </c>
      <c r="E851" s="10">
        <v>2.0</v>
      </c>
      <c r="F851" s="10">
        <v>1.0</v>
      </c>
      <c r="G851" s="10">
        <v>1.0</v>
      </c>
      <c r="H851" s="12">
        <f t="shared" si="1"/>
        <v>1.624</v>
      </c>
      <c r="I851" s="13">
        <v>3.0</v>
      </c>
      <c r="J851" s="14">
        <f t="shared" si="2"/>
        <v>4.872</v>
      </c>
      <c r="K851" s="15" t="str">
        <f t="shared" si="3"/>
        <v>Media</v>
      </c>
    </row>
    <row r="852" ht="14.25" customHeight="1">
      <c r="A852" s="6" t="s">
        <v>1637</v>
      </c>
      <c r="B852" s="27" t="s">
        <v>1275</v>
      </c>
      <c r="C852" s="10">
        <v>2.0</v>
      </c>
      <c r="D852" s="10">
        <v>1.0</v>
      </c>
      <c r="E852" s="10">
        <v>2.0</v>
      </c>
      <c r="F852" s="10">
        <v>1.0</v>
      </c>
      <c r="G852" s="10">
        <v>1.0</v>
      </c>
      <c r="H852" s="12">
        <f t="shared" si="1"/>
        <v>1.624</v>
      </c>
      <c r="I852" s="13">
        <v>2.0</v>
      </c>
      <c r="J852" s="14">
        <f t="shared" si="2"/>
        <v>3.248</v>
      </c>
      <c r="K852" s="15" t="str">
        <f t="shared" si="3"/>
        <v>Baja</v>
      </c>
    </row>
    <row r="853" ht="14.25" customHeight="1">
      <c r="A853" s="6" t="s">
        <v>1642</v>
      </c>
      <c r="B853" s="9" t="s">
        <v>3519</v>
      </c>
      <c r="C853" s="10">
        <v>1.0</v>
      </c>
      <c r="D853" s="10">
        <v>1.0</v>
      </c>
      <c r="E853" s="10">
        <v>3.0</v>
      </c>
      <c r="F853" s="10">
        <v>1.0</v>
      </c>
      <c r="G853" s="10">
        <v>1.0</v>
      </c>
      <c r="H853" s="12">
        <f t="shared" si="1"/>
        <v>1.48</v>
      </c>
      <c r="I853" s="13">
        <v>1.0</v>
      </c>
      <c r="J853" s="14">
        <f t="shared" si="2"/>
        <v>1.48</v>
      </c>
      <c r="K853" s="15" t="str">
        <f t="shared" si="3"/>
        <v>Baja</v>
      </c>
    </row>
    <row r="854" ht="14.25" customHeight="1">
      <c r="A854" s="6" t="s">
        <v>1642</v>
      </c>
      <c r="B854" s="9" t="s">
        <v>3520</v>
      </c>
      <c r="C854" s="10">
        <v>1.0</v>
      </c>
      <c r="D854" s="10">
        <v>1.0</v>
      </c>
      <c r="E854" s="10">
        <v>2.0</v>
      </c>
      <c r="F854" s="10">
        <v>1.0</v>
      </c>
      <c r="G854" s="10">
        <v>1.0</v>
      </c>
      <c r="H854" s="12">
        <f t="shared" si="1"/>
        <v>1.24</v>
      </c>
      <c r="I854" s="13">
        <v>2.0</v>
      </c>
      <c r="J854" s="14">
        <f t="shared" si="2"/>
        <v>2.48</v>
      </c>
      <c r="K854" s="15" t="str">
        <f t="shared" si="3"/>
        <v>Baja</v>
      </c>
    </row>
    <row r="855" ht="14.25" customHeight="1">
      <c r="A855" s="6" t="s">
        <v>1642</v>
      </c>
      <c r="B855" s="9" t="s">
        <v>2874</v>
      </c>
      <c r="C855" s="10">
        <v>1.0</v>
      </c>
      <c r="D855" s="10">
        <v>1.0</v>
      </c>
      <c r="E855" s="10">
        <v>2.0</v>
      </c>
      <c r="F855" s="10">
        <v>1.0</v>
      </c>
      <c r="G855" s="10">
        <v>1.0</v>
      </c>
      <c r="H855" s="12">
        <f t="shared" si="1"/>
        <v>1.24</v>
      </c>
      <c r="I855" s="13">
        <v>3.0</v>
      </c>
      <c r="J855" s="14">
        <f t="shared" si="2"/>
        <v>3.72</v>
      </c>
      <c r="K855" s="15" t="str">
        <f t="shared" si="3"/>
        <v>Baja</v>
      </c>
    </row>
    <row r="856" ht="14.25" customHeight="1">
      <c r="A856" s="6" t="s">
        <v>1654</v>
      </c>
      <c r="B856" s="27" t="s">
        <v>3521</v>
      </c>
      <c r="C856" s="10">
        <v>1.0</v>
      </c>
      <c r="D856" s="10">
        <v>1.0</v>
      </c>
      <c r="E856" s="10">
        <v>3.0</v>
      </c>
      <c r="F856" s="10">
        <v>1.0</v>
      </c>
      <c r="G856" s="10">
        <v>1.0</v>
      </c>
      <c r="H856" s="12">
        <f t="shared" si="1"/>
        <v>1.48</v>
      </c>
      <c r="I856" s="13">
        <v>1.0</v>
      </c>
      <c r="J856" s="14">
        <f t="shared" si="2"/>
        <v>1.48</v>
      </c>
      <c r="K856" s="15" t="str">
        <f t="shared" si="3"/>
        <v>Baja</v>
      </c>
    </row>
    <row r="857" ht="14.25" customHeight="1">
      <c r="A857" s="6" t="s">
        <v>1654</v>
      </c>
      <c r="B857" s="27" t="s">
        <v>3522</v>
      </c>
      <c r="C857" s="10">
        <v>1.0</v>
      </c>
      <c r="D857" s="10">
        <v>1.0</v>
      </c>
      <c r="E857" s="10">
        <v>2.0</v>
      </c>
      <c r="F857" s="10">
        <v>1.0</v>
      </c>
      <c r="G857" s="10">
        <v>1.0</v>
      </c>
      <c r="H857" s="12">
        <f t="shared" si="1"/>
        <v>1.24</v>
      </c>
      <c r="I857" s="13">
        <v>2.0</v>
      </c>
      <c r="J857" s="14">
        <f t="shared" si="2"/>
        <v>2.48</v>
      </c>
      <c r="K857" s="15" t="str">
        <f t="shared" si="3"/>
        <v>Baja</v>
      </c>
    </row>
    <row r="858" ht="14.25" customHeight="1">
      <c r="A858" s="6" t="s">
        <v>1654</v>
      </c>
      <c r="B858" s="27" t="s">
        <v>2874</v>
      </c>
      <c r="C858" s="10">
        <v>1.0</v>
      </c>
      <c r="D858" s="10">
        <v>1.0</v>
      </c>
      <c r="E858" s="10">
        <v>2.0</v>
      </c>
      <c r="F858" s="10">
        <v>1.0</v>
      </c>
      <c r="G858" s="10">
        <v>1.0</v>
      </c>
      <c r="H858" s="12">
        <f t="shared" si="1"/>
        <v>1.24</v>
      </c>
      <c r="I858" s="13">
        <v>3.0</v>
      </c>
      <c r="J858" s="14">
        <f t="shared" si="2"/>
        <v>3.72</v>
      </c>
      <c r="K858" s="15" t="str">
        <f t="shared" si="3"/>
        <v>Baja</v>
      </c>
    </row>
    <row r="859" ht="14.25" customHeight="1">
      <c r="A859" s="6" t="s">
        <v>1666</v>
      </c>
      <c r="B859" s="9" t="s">
        <v>1305</v>
      </c>
      <c r="C859" s="10">
        <v>1.0</v>
      </c>
      <c r="D859" s="10">
        <v>1.0</v>
      </c>
      <c r="E859" s="10">
        <v>3.0</v>
      </c>
      <c r="F859" s="10">
        <v>3.0</v>
      </c>
      <c r="G859" s="10">
        <v>1.0</v>
      </c>
      <c r="H859" s="12">
        <f t="shared" si="1"/>
        <v>1.672</v>
      </c>
      <c r="I859" s="13">
        <v>1.0</v>
      </c>
      <c r="J859" s="14">
        <f t="shared" si="2"/>
        <v>1.672</v>
      </c>
      <c r="K859" s="15" t="str">
        <f t="shared" si="3"/>
        <v>Baja</v>
      </c>
    </row>
    <row r="860" ht="14.25" customHeight="1">
      <c r="A860" s="6" t="s">
        <v>1666</v>
      </c>
      <c r="B860" s="9" t="s">
        <v>1311</v>
      </c>
      <c r="C860" s="10">
        <v>1.0</v>
      </c>
      <c r="D860" s="10">
        <v>1.0</v>
      </c>
      <c r="E860" s="10">
        <v>3.0</v>
      </c>
      <c r="F860" s="10">
        <v>2.0</v>
      </c>
      <c r="G860" s="10">
        <v>1.0</v>
      </c>
      <c r="H860" s="12">
        <f t="shared" si="1"/>
        <v>1.576</v>
      </c>
      <c r="I860" s="13">
        <v>1.0</v>
      </c>
      <c r="J860" s="14">
        <f t="shared" si="2"/>
        <v>1.576</v>
      </c>
      <c r="K860" s="15" t="str">
        <f t="shared" si="3"/>
        <v>Baja</v>
      </c>
    </row>
    <row r="861" ht="14.25" customHeight="1">
      <c r="A861" s="6" t="s">
        <v>1666</v>
      </c>
      <c r="B861" s="9" t="s">
        <v>1315</v>
      </c>
      <c r="C861" s="10">
        <v>1.0</v>
      </c>
      <c r="D861" s="10">
        <v>1.0</v>
      </c>
      <c r="E861" s="10">
        <v>3.0</v>
      </c>
      <c r="F861" s="10">
        <v>2.0</v>
      </c>
      <c r="G861" s="10">
        <v>1.0</v>
      </c>
      <c r="H861" s="12">
        <f t="shared" si="1"/>
        <v>1.576</v>
      </c>
      <c r="I861" s="13">
        <v>2.0</v>
      </c>
      <c r="J861" s="14">
        <f t="shared" si="2"/>
        <v>3.152</v>
      </c>
      <c r="K861" s="15" t="str">
        <f t="shared" si="3"/>
        <v>Baja</v>
      </c>
    </row>
    <row r="862" ht="14.25" customHeight="1">
      <c r="A862" s="6" t="s">
        <v>1666</v>
      </c>
      <c r="B862" s="9" t="s">
        <v>1325</v>
      </c>
      <c r="C862" s="10">
        <v>1.0</v>
      </c>
      <c r="D862" s="10">
        <v>1.0</v>
      </c>
      <c r="E862" s="10">
        <v>3.0</v>
      </c>
      <c r="F862" s="10">
        <v>2.0</v>
      </c>
      <c r="G862" s="10">
        <v>1.0</v>
      </c>
      <c r="H862" s="12">
        <f t="shared" si="1"/>
        <v>1.576</v>
      </c>
      <c r="I862" s="13">
        <v>2.0</v>
      </c>
      <c r="J862" s="14">
        <f t="shared" si="2"/>
        <v>3.152</v>
      </c>
      <c r="K862" s="15" t="str">
        <f t="shared" si="3"/>
        <v>Baja</v>
      </c>
    </row>
    <row r="863" ht="14.25" customHeight="1">
      <c r="A863" s="6" t="s">
        <v>1666</v>
      </c>
      <c r="B863" s="9" t="s">
        <v>1333</v>
      </c>
      <c r="C863" s="10">
        <v>1.0</v>
      </c>
      <c r="D863" s="10">
        <v>1.0</v>
      </c>
      <c r="E863" s="10">
        <v>3.0</v>
      </c>
      <c r="F863" s="10">
        <v>2.0</v>
      </c>
      <c r="G863" s="10">
        <v>1.0</v>
      </c>
      <c r="H863" s="12">
        <f t="shared" si="1"/>
        <v>1.576</v>
      </c>
      <c r="I863" s="13">
        <v>1.0</v>
      </c>
      <c r="J863" s="14">
        <f t="shared" si="2"/>
        <v>1.576</v>
      </c>
      <c r="K863" s="15" t="str">
        <f t="shared" si="3"/>
        <v>Baja</v>
      </c>
    </row>
    <row r="864" ht="14.25" customHeight="1">
      <c r="A864" s="6" t="s">
        <v>1675</v>
      </c>
      <c r="B864" s="27" t="s">
        <v>2149</v>
      </c>
      <c r="C864" s="10">
        <v>3.0</v>
      </c>
      <c r="D864" s="10">
        <v>1.0</v>
      </c>
      <c r="E864" s="10">
        <v>3.0</v>
      </c>
      <c r="F864" s="10">
        <v>1.0</v>
      </c>
      <c r="G864" s="10">
        <v>3.0</v>
      </c>
      <c r="H864" s="12">
        <f t="shared" si="1"/>
        <v>2.448</v>
      </c>
      <c r="I864" s="13">
        <v>3.0</v>
      </c>
      <c r="J864" s="14">
        <f t="shared" si="2"/>
        <v>7.344</v>
      </c>
      <c r="K864" s="15" t="str">
        <f t="shared" si="3"/>
        <v>Media</v>
      </c>
    </row>
    <row r="865" ht="14.25" customHeight="1">
      <c r="A865" s="6" t="s">
        <v>1675</v>
      </c>
      <c r="B865" s="27" t="s">
        <v>2154</v>
      </c>
      <c r="C865" s="10">
        <v>3.0</v>
      </c>
      <c r="D865" s="10">
        <v>1.0</v>
      </c>
      <c r="E865" s="10">
        <v>2.0</v>
      </c>
      <c r="F865" s="10">
        <v>1.0</v>
      </c>
      <c r="G865" s="10">
        <v>3.0</v>
      </c>
      <c r="H865" s="12">
        <f t="shared" si="1"/>
        <v>2.208</v>
      </c>
      <c r="I865" s="13">
        <v>2.0</v>
      </c>
      <c r="J865" s="14">
        <f t="shared" si="2"/>
        <v>4.416</v>
      </c>
      <c r="K865" s="15" t="str">
        <f t="shared" si="3"/>
        <v>Media</v>
      </c>
    </row>
    <row r="866" ht="14.25" customHeight="1">
      <c r="A866" s="6" t="s">
        <v>1675</v>
      </c>
      <c r="B866" s="27" t="s">
        <v>2159</v>
      </c>
      <c r="C866" s="10">
        <v>2.0</v>
      </c>
      <c r="D866" s="10">
        <v>1.0</v>
      </c>
      <c r="E866" s="10">
        <v>2.0</v>
      </c>
      <c r="F866" s="10">
        <v>1.0</v>
      </c>
      <c r="G866" s="10">
        <v>2.0</v>
      </c>
      <c r="H866" s="12">
        <f t="shared" si="1"/>
        <v>1.724</v>
      </c>
      <c r="I866" s="13">
        <v>2.0</v>
      </c>
      <c r="J866" s="14">
        <f t="shared" si="2"/>
        <v>3.448</v>
      </c>
      <c r="K866" s="15" t="str">
        <f t="shared" si="3"/>
        <v>Baja</v>
      </c>
    </row>
    <row r="867" ht="14.25" customHeight="1">
      <c r="A867" s="6" t="s">
        <v>1675</v>
      </c>
      <c r="B867" s="27" t="s">
        <v>2180</v>
      </c>
      <c r="C867" s="10">
        <v>2.0</v>
      </c>
      <c r="D867" s="10">
        <v>1.0</v>
      </c>
      <c r="E867" s="10">
        <v>2.0</v>
      </c>
      <c r="F867" s="10">
        <v>1.0</v>
      </c>
      <c r="G867" s="10">
        <v>2.0</v>
      </c>
      <c r="H867" s="12">
        <f t="shared" si="1"/>
        <v>1.724</v>
      </c>
      <c r="I867" s="13">
        <v>3.0</v>
      </c>
      <c r="J867" s="14">
        <f t="shared" si="2"/>
        <v>5.172</v>
      </c>
      <c r="K867" s="15" t="str">
        <f t="shared" si="3"/>
        <v>Media</v>
      </c>
    </row>
    <row r="868" ht="14.25" customHeight="1">
      <c r="A868" s="6" t="s">
        <v>1675</v>
      </c>
      <c r="B868" s="27" t="s">
        <v>2186</v>
      </c>
      <c r="C868" s="10">
        <v>2.0</v>
      </c>
      <c r="D868" s="10">
        <v>1.0</v>
      </c>
      <c r="E868" s="10">
        <v>2.0</v>
      </c>
      <c r="F868" s="10">
        <v>1.0</v>
      </c>
      <c r="G868" s="10">
        <v>2.0</v>
      </c>
      <c r="H868" s="12">
        <f t="shared" si="1"/>
        <v>1.724</v>
      </c>
      <c r="I868" s="13">
        <v>3.0</v>
      </c>
      <c r="J868" s="14">
        <f t="shared" si="2"/>
        <v>5.172</v>
      </c>
      <c r="K868" s="15" t="str">
        <f t="shared" si="3"/>
        <v>Media</v>
      </c>
    </row>
    <row r="869" ht="14.25" customHeight="1">
      <c r="A869" s="6" t="s">
        <v>1682</v>
      </c>
      <c r="B869" s="9" t="s">
        <v>3532</v>
      </c>
      <c r="C869" s="10">
        <v>1.0</v>
      </c>
      <c r="D869" s="10">
        <v>1.0</v>
      </c>
      <c r="E869" s="10">
        <v>2.0</v>
      </c>
      <c r="F869" s="10">
        <v>1.0</v>
      </c>
      <c r="G869" s="10">
        <v>1.0</v>
      </c>
      <c r="H869" s="12">
        <f t="shared" si="1"/>
        <v>1.24</v>
      </c>
      <c r="I869" s="13">
        <v>3.0</v>
      </c>
      <c r="J869" s="14">
        <f t="shared" si="2"/>
        <v>3.72</v>
      </c>
      <c r="K869" s="15" t="str">
        <f t="shared" si="3"/>
        <v>Baja</v>
      </c>
    </row>
    <row r="870" ht="14.25" customHeight="1">
      <c r="A870" s="6" t="s">
        <v>1682</v>
      </c>
      <c r="B870" s="9" t="s">
        <v>3533</v>
      </c>
      <c r="C870" s="10">
        <v>1.0</v>
      </c>
      <c r="D870" s="10">
        <v>1.0</v>
      </c>
      <c r="E870" s="10">
        <v>2.0</v>
      </c>
      <c r="F870" s="10">
        <v>1.0</v>
      </c>
      <c r="G870" s="10">
        <v>1.0</v>
      </c>
      <c r="H870" s="12">
        <f t="shared" si="1"/>
        <v>1.24</v>
      </c>
      <c r="I870" s="13">
        <v>2.0</v>
      </c>
      <c r="J870" s="14">
        <f t="shared" si="2"/>
        <v>2.48</v>
      </c>
      <c r="K870" s="15" t="str">
        <f t="shared" si="3"/>
        <v>Baja</v>
      </c>
    </row>
    <row r="871" ht="14.25" customHeight="1">
      <c r="A871" s="6" t="s">
        <v>1682</v>
      </c>
      <c r="B871" s="9" t="s">
        <v>3537</v>
      </c>
      <c r="C871" s="10">
        <v>1.0</v>
      </c>
      <c r="D871" s="10">
        <v>1.0</v>
      </c>
      <c r="E871" s="10">
        <v>2.0</v>
      </c>
      <c r="F871" s="10">
        <v>1.0</v>
      </c>
      <c r="G871" s="10">
        <v>1.0</v>
      </c>
      <c r="H871" s="12">
        <f t="shared" si="1"/>
        <v>1.24</v>
      </c>
      <c r="I871" s="13">
        <v>2.0</v>
      </c>
      <c r="J871" s="14">
        <f t="shared" si="2"/>
        <v>2.48</v>
      </c>
      <c r="K871" s="15" t="str">
        <f t="shared" si="3"/>
        <v>Baja</v>
      </c>
    </row>
    <row r="872" ht="14.25" customHeight="1">
      <c r="A872" s="6" t="s">
        <v>1697</v>
      </c>
      <c r="B872" s="27" t="s">
        <v>1339</v>
      </c>
      <c r="C872" s="10">
        <v>1.0</v>
      </c>
      <c r="D872" s="10">
        <v>1.0</v>
      </c>
      <c r="E872" s="10">
        <v>3.0</v>
      </c>
      <c r="F872" s="10">
        <v>2.0</v>
      </c>
      <c r="G872" s="10">
        <v>1.0</v>
      </c>
      <c r="H872" s="12">
        <f t="shared" si="1"/>
        <v>1.576</v>
      </c>
      <c r="I872" s="13">
        <v>3.0</v>
      </c>
      <c r="J872" s="14">
        <f t="shared" si="2"/>
        <v>4.728</v>
      </c>
      <c r="K872" s="15" t="str">
        <f t="shared" si="3"/>
        <v>Media</v>
      </c>
    </row>
    <row r="873" ht="14.25" customHeight="1">
      <c r="A873" s="6" t="s">
        <v>1697</v>
      </c>
      <c r="B873" s="27" t="s">
        <v>1786</v>
      </c>
      <c r="C873" s="10">
        <v>1.0</v>
      </c>
      <c r="D873" s="10">
        <v>1.0</v>
      </c>
      <c r="E873" s="10">
        <v>2.0</v>
      </c>
      <c r="F873" s="10">
        <v>1.0</v>
      </c>
      <c r="G873" s="10">
        <v>1.0</v>
      </c>
      <c r="H873" s="12">
        <f t="shared" si="1"/>
        <v>1.24</v>
      </c>
      <c r="I873" s="13">
        <v>3.0</v>
      </c>
      <c r="J873" s="14">
        <f t="shared" si="2"/>
        <v>3.72</v>
      </c>
      <c r="K873" s="15" t="str">
        <f t="shared" si="3"/>
        <v>Baja</v>
      </c>
    </row>
    <row r="874" ht="14.25" customHeight="1">
      <c r="A874" s="6" t="s">
        <v>1697</v>
      </c>
      <c r="B874" s="27" t="s">
        <v>1350</v>
      </c>
      <c r="C874" s="10">
        <v>1.0</v>
      </c>
      <c r="D874" s="10">
        <v>1.0</v>
      </c>
      <c r="E874" s="10">
        <v>2.0</v>
      </c>
      <c r="F874" s="10">
        <v>1.0</v>
      </c>
      <c r="G874" s="10">
        <v>1.0</v>
      </c>
      <c r="H874" s="12">
        <f t="shared" si="1"/>
        <v>1.24</v>
      </c>
      <c r="I874" s="13">
        <v>3.0</v>
      </c>
      <c r="J874" s="14">
        <f t="shared" si="2"/>
        <v>3.72</v>
      </c>
      <c r="K874" s="15" t="str">
        <f t="shared" si="3"/>
        <v>Baja</v>
      </c>
    </row>
    <row r="875" ht="14.25" customHeight="1">
      <c r="A875" s="6" t="s">
        <v>1697</v>
      </c>
      <c r="B875" s="27" t="s">
        <v>1794</v>
      </c>
      <c r="C875" s="10">
        <v>1.0</v>
      </c>
      <c r="D875" s="10">
        <v>1.0</v>
      </c>
      <c r="E875" s="10">
        <v>3.0</v>
      </c>
      <c r="F875" s="10">
        <v>3.0</v>
      </c>
      <c r="G875" s="10">
        <v>1.0</v>
      </c>
      <c r="H875" s="12">
        <f t="shared" si="1"/>
        <v>1.672</v>
      </c>
      <c r="I875" s="13">
        <v>2.0</v>
      </c>
      <c r="J875" s="14">
        <f t="shared" si="2"/>
        <v>3.344</v>
      </c>
      <c r="K875" s="15" t="str">
        <f t="shared" si="3"/>
        <v>Baja</v>
      </c>
    </row>
    <row r="876" ht="14.25" customHeight="1">
      <c r="A876" s="6" t="s">
        <v>1697</v>
      </c>
      <c r="B876" s="27" t="s">
        <v>2376</v>
      </c>
      <c r="C876" s="10">
        <v>1.0</v>
      </c>
      <c r="D876" s="10">
        <v>1.0</v>
      </c>
      <c r="E876" s="10">
        <v>2.0</v>
      </c>
      <c r="F876" s="10">
        <v>1.0</v>
      </c>
      <c r="G876" s="10">
        <v>1.0</v>
      </c>
      <c r="H876" s="12">
        <f t="shared" si="1"/>
        <v>1.24</v>
      </c>
      <c r="I876" s="13">
        <v>3.0</v>
      </c>
      <c r="J876" s="14">
        <f t="shared" si="2"/>
        <v>3.72</v>
      </c>
      <c r="K876" s="15" t="str">
        <f t="shared" si="3"/>
        <v>Baja</v>
      </c>
    </row>
    <row r="877" ht="14.25" customHeight="1">
      <c r="A877" s="6" t="s">
        <v>1703</v>
      </c>
      <c r="B877" s="9" t="s">
        <v>3543</v>
      </c>
      <c r="C877" s="10">
        <v>1.0</v>
      </c>
      <c r="D877" s="10">
        <v>1.0</v>
      </c>
      <c r="E877" s="10">
        <v>3.0</v>
      </c>
      <c r="F877" s="10">
        <v>2.0</v>
      </c>
      <c r="G877" s="10">
        <v>1.0</v>
      </c>
      <c r="H877" s="12">
        <f t="shared" si="1"/>
        <v>1.576</v>
      </c>
      <c r="I877" s="13">
        <v>3.0</v>
      </c>
      <c r="J877" s="14">
        <f t="shared" si="2"/>
        <v>4.728</v>
      </c>
      <c r="K877" s="15" t="str">
        <f t="shared" si="3"/>
        <v>Media</v>
      </c>
    </row>
    <row r="878" ht="14.25" customHeight="1">
      <c r="A878" s="6" t="s">
        <v>1703</v>
      </c>
      <c r="B878" s="9" t="s">
        <v>3544</v>
      </c>
      <c r="C878" s="10">
        <v>1.0</v>
      </c>
      <c r="D878" s="10">
        <v>1.0</v>
      </c>
      <c r="E878" s="10">
        <v>3.0</v>
      </c>
      <c r="F878" s="10">
        <v>2.0</v>
      </c>
      <c r="G878" s="10">
        <v>1.0</v>
      </c>
      <c r="H878" s="12">
        <f t="shared" si="1"/>
        <v>1.576</v>
      </c>
      <c r="I878" s="13">
        <v>3.0</v>
      </c>
      <c r="J878" s="14">
        <f t="shared" si="2"/>
        <v>4.728</v>
      </c>
      <c r="K878" s="15" t="str">
        <f t="shared" si="3"/>
        <v>Media</v>
      </c>
    </row>
    <row r="879" ht="14.25" customHeight="1">
      <c r="A879" s="6" t="s">
        <v>1703</v>
      </c>
      <c r="B879" s="9" t="s">
        <v>3545</v>
      </c>
      <c r="C879" s="10">
        <v>1.0</v>
      </c>
      <c r="D879" s="10">
        <v>1.0</v>
      </c>
      <c r="E879" s="10">
        <v>2.0</v>
      </c>
      <c r="F879" s="10">
        <v>1.0</v>
      </c>
      <c r="G879" s="10">
        <v>1.0</v>
      </c>
      <c r="H879" s="12">
        <f t="shared" si="1"/>
        <v>1.24</v>
      </c>
      <c r="I879" s="13">
        <v>3.0</v>
      </c>
      <c r="J879" s="14">
        <f t="shared" si="2"/>
        <v>3.72</v>
      </c>
      <c r="K879" s="15" t="str">
        <f t="shared" si="3"/>
        <v>Baja</v>
      </c>
    </row>
    <row r="880" ht="14.25" customHeight="1">
      <c r="A880" s="6" t="s">
        <v>1703</v>
      </c>
      <c r="B880" s="9" t="s">
        <v>1102</v>
      </c>
      <c r="C880" s="10">
        <v>1.0</v>
      </c>
      <c r="D880" s="10">
        <v>1.0</v>
      </c>
      <c r="E880" s="10">
        <v>2.0</v>
      </c>
      <c r="F880" s="10">
        <v>1.0</v>
      </c>
      <c r="G880" s="10">
        <v>1.0</v>
      </c>
      <c r="H880" s="12">
        <f t="shared" si="1"/>
        <v>1.24</v>
      </c>
      <c r="I880" s="13">
        <v>2.0</v>
      </c>
      <c r="J880" s="14">
        <f t="shared" si="2"/>
        <v>2.48</v>
      </c>
      <c r="K880" s="15" t="str">
        <f t="shared" si="3"/>
        <v>Baja</v>
      </c>
    </row>
    <row r="881" ht="14.25" customHeight="1">
      <c r="A881" s="6" t="s">
        <v>1703</v>
      </c>
      <c r="B881" s="9" t="s">
        <v>3548</v>
      </c>
      <c r="C881" s="10">
        <v>1.0</v>
      </c>
      <c r="D881" s="10">
        <v>1.0</v>
      </c>
      <c r="E881" s="10">
        <v>2.0</v>
      </c>
      <c r="F881" s="10">
        <v>2.0</v>
      </c>
      <c r="G881" s="10">
        <v>1.0</v>
      </c>
      <c r="H881" s="12">
        <f t="shared" si="1"/>
        <v>1.336</v>
      </c>
      <c r="I881" s="13">
        <v>3.0</v>
      </c>
      <c r="J881" s="14">
        <f t="shared" si="2"/>
        <v>4.008</v>
      </c>
      <c r="K881" s="15" t="str">
        <f t="shared" si="3"/>
        <v>Media</v>
      </c>
    </row>
    <row r="882" ht="14.25" customHeight="1">
      <c r="A882" s="6" t="s">
        <v>1718</v>
      </c>
      <c r="B882" s="27" t="s">
        <v>999</v>
      </c>
      <c r="C882" s="10">
        <v>2.0</v>
      </c>
      <c r="D882" s="10">
        <v>2.0</v>
      </c>
      <c r="E882" s="10">
        <v>3.0</v>
      </c>
      <c r="F882" s="10">
        <v>3.0</v>
      </c>
      <c r="G882" s="10">
        <v>1.0</v>
      </c>
      <c r="H882" s="12">
        <f t="shared" si="1"/>
        <v>2.236</v>
      </c>
      <c r="I882" s="13">
        <v>2.0</v>
      </c>
      <c r="J882" s="14">
        <f t="shared" si="2"/>
        <v>4.472</v>
      </c>
      <c r="K882" s="15" t="str">
        <f t="shared" si="3"/>
        <v>Media</v>
      </c>
    </row>
    <row r="883" ht="14.25" customHeight="1">
      <c r="A883" s="6" t="s">
        <v>1718</v>
      </c>
      <c r="B883" s="27" t="s">
        <v>1005</v>
      </c>
      <c r="C883" s="10">
        <v>2.0</v>
      </c>
      <c r="D883" s="10">
        <v>2.0</v>
      </c>
      <c r="E883" s="10">
        <v>2.0</v>
      </c>
      <c r="F883" s="10">
        <v>3.0</v>
      </c>
      <c r="G883" s="10">
        <v>1.0</v>
      </c>
      <c r="H883" s="12">
        <f t="shared" si="1"/>
        <v>1.996</v>
      </c>
      <c r="I883" s="13">
        <v>1.0</v>
      </c>
      <c r="J883" s="14">
        <f t="shared" si="2"/>
        <v>1.996</v>
      </c>
      <c r="K883" s="15" t="str">
        <f t="shared" si="3"/>
        <v>Baja</v>
      </c>
    </row>
    <row r="884" ht="14.25" customHeight="1">
      <c r="A884" s="6" t="s">
        <v>1718</v>
      </c>
      <c r="B884" s="27" t="s">
        <v>1017</v>
      </c>
      <c r="C884" s="10">
        <v>2.0</v>
      </c>
      <c r="D884" s="10">
        <v>2.0</v>
      </c>
      <c r="E884" s="10">
        <v>3.0</v>
      </c>
      <c r="F884" s="10">
        <v>3.0</v>
      </c>
      <c r="G884" s="10">
        <v>1.0</v>
      </c>
      <c r="H884" s="12">
        <f t="shared" si="1"/>
        <v>2.236</v>
      </c>
      <c r="I884" s="13">
        <v>2.0</v>
      </c>
      <c r="J884" s="14">
        <f t="shared" si="2"/>
        <v>4.472</v>
      </c>
      <c r="K884" s="15" t="str">
        <f t="shared" si="3"/>
        <v>Media</v>
      </c>
    </row>
    <row r="885" ht="14.25" customHeight="1">
      <c r="A885" s="6" t="s">
        <v>1718</v>
      </c>
      <c r="B885" s="27" t="s">
        <v>727</v>
      </c>
      <c r="C885" s="10">
        <v>1.0</v>
      </c>
      <c r="D885" s="10">
        <v>1.0</v>
      </c>
      <c r="E885" s="10">
        <v>3.0</v>
      </c>
      <c r="F885" s="10">
        <v>3.0</v>
      </c>
      <c r="G885" s="10">
        <v>1.0</v>
      </c>
      <c r="H885" s="12">
        <f t="shared" si="1"/>
        <v>1.672</v>
      </c>
      <c r="I885" s="13">
        <v>2.0</v>
      </c>
      <c r="J885" s="14">
        <f t="shared" si="2"/>
        <v>3.344</v>
      </c>
      <c r="K885" s="15" t="str">
        <f t="shared" si="3"/>
        <v>Baja</v>
      </c>
    </row>
    <row r="886" ht="14.25" customHeight="1">
      <c r="A886" s="6" t="s">
        <v>1718</v>
      </c>
      <c r="B886" s="27" t="s">
        <v>1036</v>
      </c>
      <c r="C886" s="10">
        <v>1.0</v>
      </c>
      <c r="D886" s="10">
        <v>1.0</v>
      </c>
      <c r="E886" s="10">
        <v>3.0</v>
      </c>
      <c r="F886" s="10">
        <v>1.0</v>
      </c>
      <c r="G886" s="10">
        <v>1.0</v>
      </c>
      <c r="H886" s="12">
        <f t="shared" si="1"/>
        <v>1.48</v>
      </c>
      <c r="I886" s="13">
        <v>2.0</v>
      </c>
      <c r="J886" s="14">
        <f t="shared" si="2"/>
        <v>2.96</v>
      </c>
      <c r="K886" s="15" t="str">
        <f t="shared" si="3"/>
        <v>Baja</v>
      </c>
    </row>
    <row r="887" ht="14.25" customHeight="1">
      <c r="A887" s="6" t="s">
        <v>1718</v>
      </c>
      <c r="B887" s="27" t="s">
        <v>1421</v>
      </c>
      <c r="C887" s="10">
        <v>1.0</v>
      </c>
      <c r="D887" s="10">
        <v>1.0</v>
      </c>
      <c r="E887" s="10">
        <v>2.0</v>
      </c>
      <c r="F887" s="10">
        <v>1.0</v>
      </c>
      <c r="G887" s="10">
        <v>1.0</v>
      </c>
      <c r="H887" s="12">
        <f t="shared" si="1"/>
        <v>1.24</v>
      </c>
      <c r="I887" s="13">
        <v>2.0</v>
      </c>
      <c r="J887" s="14">
        <f t="shared" si="2"/>
        <v>2.48</v>
      </c>
      <c r="K887" s="15" t="str">
        <f t="shared" si="3"/>
        <v>Baja</v>
      </c>
    </row>
    <row r="888" ht="14.25" customHeight="1">
      <c r="A888" s="6" t="s">
        <v>1718</v>
      </c>
      <c r="B888" s="27" t="s">
        <v>1426</v>
      </c>
      <c r="C888" s="10">
        <v>1.0</v>
      </c>
      <c r="D888" s="10">
        <v>1.0</v>
      </c>
      <c r="E888" s="10">
        <v>2.0</v>
      </c>
      <c r="F888" s="10">
        <v>1.0</v>
      </c>
      <c r="G888" s="10">
        <v>1.0</v>
      </c>
      <c r="H888" s="12">
        <f t="shared" si="1"/>
        <v>1.24</v>
      </c>
      <c r="I888" s="13">
        <v>3.0</v>
      </c>
      <c r="J888" s="14">
        <f t="shared" si="2"/>
        <v>3.72</v>
      </c>
      <c r="K888" s="15" t="str">
        <f t="shared" si="3"/>
        <v>Baja</v>
      </c>
    </row>
    <row r="889" ht="14.25" customHeight="1">
      <c r="A889" s="6" t="s">
        <v>1725</v>
      </c>
      <c r="B889" s="9" t="s">
        <v>999</v>
      </c>
      <c r="C889" s="10">
        <v>2.0</v>
      </c>
      <c r="D889" s="10">
        <v>2.0</v>
      </c>
      <c r="E889" s="10">
        <v>3.0</v>
      </c>
      <c r="F889" s="10">
        <v>3.0</v>
      </c>
      <c r="G889" s="10">
        <v>1.0</v>
      </c>
      <c r="H889" s="12">
        <f t="shared" si="1"/>
        <v>2.236</v>
      </c>
      <c r="I889" s="13">
        <v>2.0</v>
      </c>
      <c r="J889" s="14">
        <f t="shared" si="2"/>
        <v>4.472</v>
      </c>
      <c r="K889" s="15" t="str">
        <f t="shared" si="3"/>
        <v>Media</v>
      </c>
    </row>
    <row r="890" ht="14.25" customHeight="1">
      <c r="A890" s="6" t="s">
        <v>1725</v>
      </c>
      <c r="B890" s="9" t="s">
        <v>1005</v>
      </c>
      <c r="C890" s="10">
        <v>2.0</v>
      </c>
      <c r="D890" s="10">
        <v>2.0</v>
      </c>
      <c r="E890" s="10">
        <v>2.0</v>
      </c>
      <c r="F890" s="10">
        <v>3.0</v>
      </c>
      <c r="G890" s="10">
        <v>1.0</v>
      </c>
      <c r="H890" s="12">
        <f t="shared" si="1"/>
        <v>1.996</v>
      </c>
      <c r="I890" s="13">
        <v>1.0</v>
      </c>
      <c r="J890" s="14">
        <f t="shared" si="2"/>
        <v>1.996</v>
      </c>
      <c r="K890" s="15" t="str">
        <f t="shared" si="3"/>
        <v>Baja</v>
      </c>
    </row>
    <row r="891" ht="14.25" customHeight="1">
      <c r="A891" s="6" t="s">
        <v>1725</v>
      </c>
      <c r="B891" s="9" t="s">
        <v>1017</v>
      </c>
      <c r="C891" s="10">
        <v>2.0</v>
      </c>
      <c r="D891" s="10">
        <v>2.0</v>
      </c>
      <c r="E891" s="10">
        <v>3.0</v>
      </c>
      <c r="F891" s="10">
        <v>3.0</v>
      </c>
      <c r="G891" s="10">
        <v>1.0</v>
      </c>
      <c r="H891" s="12">
        <f t="shared" si="1"/>
        <v>2.236</v>
      </c>
      <c r="I891" s="13">
        <v>2.0</v>
      </c>
      <c r="J891" s="14">
        <f t="shared" si="2"/>
        <v>4.472</v>
      </c>
      <c r="K891" s="15" t="str">
        <f t="shared" si="3"/>
        <v>Media</v>
      </c>
    </row>
    <row r="892" ht="14.25" customHeight="1">
      <c r="A892" s="6" t="s">
        <v>1725</v>
      </c>
      <c r="B892" s="9" t="s">
        <v>727</v>
      </c>
      <c r="C892" s="10">
        <v>1.0</v>
      </c>
      <c r="D892" s="10">
        <v>1.0</v>
      </c>
      <c r="E892" s="10">
        <v>3.0</v>
      </c>
      <c r="F892" s="10">
        <v>3.0</v>
      </c>
      <c r="G892" s="10">
        <v>1.0</v>
      </c>
      <c r="H892" s="12">
        <f t="shared" si="1"/>
        <v>1.672</v>
      </c>
      <c r="I892" s="13">
        <v>2.0</v>
      </c>
      <c r="J892" s="14">
        <f t="shared" si="2"/>
        <v>3.344</v>
      </c>
      <c r="K892" s="15" t="str">
        <f t="shared" si="3"/>
        <v>Baja</v>
      </c>
    </row>
    <row r="893" ht="14.25" customHeight="1">
      <c r="A893" s="6" t="s">
        <v>1725</v>
      </c>
      <c r="B893" s="9" t="s">
        <v>1031</v>
      </c>
      <c r="C893" s="10">
        <v>1.0</v>
      </c>
      <c r="D893" s="10">
        <v>1.0</v>
      </c>
      <c r="E893" s="10">
        <v>2.0</v>
      </c>
      <c r="F893" s="10">
        <v>1.0</v>
      </c>
      <c r="G893" s="10">
        <v>1.0</v>
      </c>
      <c r="H893" s="12">
        <f t="shared" si="1"/>
        <v>1.24</v>
      </c>
      <c r="I893" s="13">
        <v>3.0</v>
      </c>
      <c r="J893" s="14">
        <f t="shared" si="2"/>
        <v>3.72</v>
      </c>
      <c r="K893" s="15" t="str">
        <f t="shared" si="3"/>
        <v>Baja</v>
      </c>
    </row>
    <row r="894" ht="14.25" customHeight="1">
      <c r="A894" s="6" t="s">
        <v>1725</v>
      </c>
      <c r="B894" s="9" t="s">
        <v>1036</v>
      </c>
      <c r="C894" s="10">
        <v>1.0</v>
      </c>
      <c r="D894" s="10">
        <v>1.0</v>
      </c>
      <c r="E894" s="10">
        <v>3.0</v>
      </c>
      <c r="F894" s="10">
        <v>1.0</v>
      </c>
      <c r="G894" s="10">
        <v>1.0</v>
      </c>
      <c r="H894" s="12">
        <f t="shared" si="1"/>
        <v>1.48</v>
      </c>
      <c r="I894" s="13">
        <v>2.0</v>
      </c>
      <c r="J894" s="14">
        <f t="shared" si="2"/>
        <v>2.96</v>
      </c>
      <c r="K894" s="15" t="str">
        <f t="shared" si="3"/>
        <v>Baja</v>
      </c>
    </row>
    <row r="895" ht="14.25" customHeight="1">
      <c r="A895" s="6" t="s">
        <v>1725</v>
      </c>
      <c r="B895" s="9" t="s">
        <v>1041</v>
      </c>
      <c r="C895" s="10">
        <v>1.0</v>
      </c>
      <c r="D895" s="10">
        <v>1.0</v>
      </c>
      <c r="E895" s="10">
        <v>2.0</v>
      </c>
      <c r="F895" s="10">
        <v>1.0</v>
      </c>
      <c r="G895" s="10">
        <v>1.0</v>
      </c>
      <c r="H895" s="12">
        <f t="shared" si="1"/>
        <v>1.24</v>
      </c>
      <c r="I895" s="13">
        <v>2.0</v>
      </c>
      <c r="J895" s="14">
        <f t="shared" si="2"/>
        <v>2.48</v>
      </c>
      <c r="K895" s="15" t="str">
        <f t="shared" si="3"/>
        <v>Baja</v>
      </c>
    </row>
    <row r="896" ht="14.25" customHeight="1">
      <c r="A896" s="6" t="s">
        <v>1725</v>
      </c>
      <c r="B896" s="9" t="s">
        <v>1047</v>
      </c>
      <c r="C896" s="10">
        <v>1.0</v>
      </c>
      <c r="D896" s="10">
        <v>1.0</v>
      </c>
      <c r="E896" s="10">
        <v>2.0</v>
      </c>
      <c r="F896" s="10">
        <v>1.0</v>
      </c>
      <c r="G896" s="10">
        <v>1.0</v>
      </c>
      <c r="H896" s="12">
        <f t="shared" si="1"/>
        <v>1.24</v>
      </c>
      <c r="I896" s="13">
        <v>3.0</v>
      </c>
      <c r="J896" s="14">
        <f t="shared" si="2"/>
        <v>3.72</v>
      </c>
      <c r="K896" s="15" t="str">
        <f t="shared" si="3"/>
        <v>Baja</v>
      </c>
    </row>
    <row r="897" ht="14.25" customHeight="1">
      <c r="A897" s="6" t="s">
        <v>1730</v>
      </c>
      <c r="B897" s="27" t="s">
        <v>3555</v>
      </c>
      <c r="C897" s="10">
        <v>3.0</v>
      </c>
      <c r="D897" s="10">
        <v>1.0</v>
      </c>
      <c r="E897" s="10">
        <v>3.0</v>
      </c>
      <c r="F897" s="10">
        <v>2.0</v>
      </c>
      <c r="G897" s="10">
        <v>1.0</v>
      </c>
      <c r="H897" s="12">
        <f t="shared" si="1"/>
        <v>2.344</v>
      </c>
      <c r="I897" s="13">
        <v>2.0</v>
      </c>
      <c r="J897" s="14">
        <f t="shared" si="2"/>
        <v>4.688</v>
      </c>
      <c r="K897" s="15" t="str">
        <f t="shared" si="3"/>
        <v>Media</v>
      </c>
    </row>
    <row r="898" ht="14.25" customHeight="1">
      <c r="A898" s="6" t="s">
        <v>1730</v>
      </c>
      <c r="B898" s="27" t="s">
        <v>3556</v>
      </c>
      <c r="C898" s="10">
        <v>1.0</v>
      </c>
      <c r="D898" s="10">
        <v>1.0</v>
      </c>
      <c r="E898" s="10">
        <v>2.0</v>
      </c>
      <c r="F898" s="10">
        <v>1.0</v>
      </c>
      <c r="G898" s="10">
        <v>1.0</v>
      </c>
      <c r="H898" s="12">
        <f t="shared" si="1"/>
        <v>1.24</v>
      </c>
      <c r="I898" s="13">
        <v>3.0</v>
      </c>
      <c r="J898" s="14">
        <f t="shared" si="2"/>
        <v>3.72</v>
      </c>
      <c r="K898" s="15" t="str">
        <f t="shared" si="3"/>
        <v>Baja</v>
      </c>
    </row>
    <row r="899" ht="14.25" customHeight="1">
      <c r="A899" s="6" t="s">
        <v>1730</v>
      </c>
      <c r="B899" s="27" t="s">
        <v>3515</v>
      </c>
      <c r="C899" s="10">
        <v>3.0</v>
      </c>
      <c r="D899" s="10">
        <v>1.0</v>
      </c>
      <c r="E899" s="10">
        <v>2.0</v>
      </c>
      <c r="F899" s="10">
        <v>1.0</v>
      </c>
      <c r="G899" s="10">
        <v>1.0</v>
      </c>
      <c r="H899" s="12">
        <f t="shared" si="1"/>
        <v>2.008</v>
      </c>
      <c r="I899" s="13">
        <v>2.0</v>
      </c>
      <c r="J899" s="14">
        <f t="shared" si="2"/>
        <v>4.016</v>
      </c>
      <c r="K899" s="15" t="str">
        <f t="shared" si="3"/>
        <v>Media</v>
      </c>
    </row>
    <row r="900" ht="14.25" customHeight="1">
      <c r="A900" s="6" t="s">
        <v>1738</v>
      </c>
      <c r="B900" s="9" t="s">
        <v>3499</v>
      </c>
      <c r="C900" s="10">
        <v>1.0</v>
      </c>
      <c r="D900" s="10">
        <v>1.0</v>
      </c>
      <c r="E900" s="10">
        <v>3.0</v>
      </c>
      <c r="F900" s="10">
        <v>2.0</v>
      </c>
      <c r="G900" s="10">
        <v>1.0</v>
      </c>
      <c r="H900" s="12">
        <f t="shared" si="1"/>
        <v>1.576</v>
      </c>
      <c r="I900" s="13">
        <v>2.0</v>
      </c>
      <c r="J900" s="14">
        <f t="shared" si="2"/>
        <v>3.152</v>
      </c>
      <c r="K900" s="15" t="str">
        <f t="shared" si="3"/>
        <v>Baja</v>
      </c>
    </row>
    <row r="901" ht="14.25" customHeight="1">
      <c r="A901" s="6" t="s">
        <v>1738</v>
      </c>
      <c r="B901" s="9" t="s">
        <v>3502</v>
      </c>
      <c r="C901" s="10">
        <v>1.0</v>
      </c>
      <c r="D901" s="10">
        <v>1.0</v>
      </c>
      <c r="E901" s="10">
        <v>2.0</v>
      </c>
      <c r="F901" s="10">
        <v>2.0</v>
      </c>
      <c r="G901" s="10">
        <v>1.0</v>
      </c>
      <c r="H901" s="12">
        <f t="shared" si="1"/>
        <v>1.336</v>
      </c>
      <c r="I901" s="13">
        <v>2.0</v>
      </c>
      <c r="J901" s="14">
        <f t="shared" si="2"/>
        <v>2.672</v>
      </c>
      <c r="K901" s="15" t="str">
        <f t="shared" si="3"/>
        <v>Baja</v>
      </c>
    </row>
    <row r="902" ht="14.25" customHeight="1">
      <c r="A902" s="6" t="s">
        <v>1738</v>
      </c>
      <c r="B902" s="9" t="s">
        <v>3503</v>
      </c>
      <c r="C902" s="10">
        <v>1.0</v>
      </c>
      <c r="D902" s="10">
        <v>1.0</v>
      </c>
      <c r="E902" s="10">
        <v>2.0</v>
      </c>
      <c r="F902" s="10">
        <v>2.0</v>
      </c>
      <c r="G902" s="10">
        <v>1.0</v>
      </c>
      <c r="H902" s="12">
        <f t="shared" si="1"/>
        <v>1.336</v>
      </c>
      <c r="I902" s="13">
        <v>2.0</v>
      </c>
      <c r="J902" s="14">
        <f t="shared" si="2"/>
        <v>2.672</v>
      </c>
      <c r="K902" s="15" t="str">
        <f t="shared" si="3"/>
        <v>Baja</v>
      </c>
    </row>
    <row r="903" ht="14.25" customHeight="1">
      <c r="A903" s="6" t="s">
        <v>1738</v>
      </c>
      <c r="B903" s="9" t="s">
        <v>3504</v>
      </c>
      <c r="C903" s="10">
        <v>1.0</v>
      </c>
      <c r="D903" s="10">
        <v>1.0</v>
      </c>
      <c r="E903" s="10">
        <v>3.0</v>
      </c>
      <c r="F903" s="10">
        <v>2.0</v>
      </c>
      <c r="G903" s="10">
        <v>1.0</v>
      </c>
      <c r="H903" s="12">
        <f t="shared" si="1"/>
        <v>1.576</v>
      </c>
      <c r="I903" s="13">
        <v>2.0</v>
      </c>
      <c r="J903" s="14">
        <f t="shared" si="2"/>
        <v>3.152</v>
      </c>
      <c r="K903" s="15" t="str">
        <f t="shared" si="3"/>
        <v>Baja</v>
      </c>
    </row>
    <row r="904" ht="14.25" customHeight="1">
      <c r="A904" s="6" t="s">
        <v>1738</v>
      </c>
      <c r="B904" s="9" t="s">
        <v>3505</v>
      </c>
      <c r="C904" s="10">
        <v>1.0</v>
      </c>
      <c r="D904" s="10">
        <v>1.0</v>
      </c>
      <c r="E904" s="10">
        <v>3.0</v>
      </c>
      <c r="F904" s="10">
        <v>2.0</v>
      </c>
      <c r="G904" s="10">
        <v>1.0</v>
      </c>
      <c r="H904" s="12">
        <f t="shared" si="1"/>
        <v>1.576</v>
      </c>
      <c r="I904" s="13">
        <v>1.0</v>
      </c>
      <c r="J904" s="14">
        <f t="shared" si="2"/>
        <v>1.576</v>
      </c>
      <c r="K904" s="15" t="str">
        <f t="shared" si="3"/>
        <v>Baja</v>
      </c>
    </row>
    <row r="905" ht="14.25" customHeight="1">
      <c r="A905" s="6" t="s">
        <v>1738</v>
      </c>
      <c r="B905" s="9" t="s">
        <v>3508</v>
      </c>
      <c r="C905" s="10">
        <v>1.0</v>
      </c>
      <c r="D905" s="10">
        <v>1.0</v>
      </c>
      <c r="E905" s="10">
        <v>2.0</v>
      </c>
      <c r="F905" s="10">
        <v>2.0</v>
      </c>
      <c r="G905" s="10">
        <v>1.0</v>
      </c>
      <c r="H905" s="12">
        <f t="shared" si="1"/>
        <v>1.336</v>
      </c>
      <c r="I905" s="13">
        <v>2.0</v>
      </c>
      <c r="J905" s="14">
        <f t="shared" si="2"/>
        <v>2.672</v>
      </c>
      <c r="K905" s="15" t="str">
        <f t="shared" si="3"/>
        <v>Baja</v>
      </c>
    </row>
    <row r="906" ht="14.25" customHeight="1">
      <c r="A906" s="6" t="s">
        <v>1740</v>
      </c>
      <c r="B906" s="27" t="s">
        <v>1813</v>
      </c>
      <c r="C906" s="10">
        <v>3.0</v>
      </c>
      <c r="D906" s="10">
        <v>2.0</v>
      </c>
      <c r="E906" s="10">
        <v>3.0</v>
      </c>
      <c r="F906" s="10">
        <v>2.0</v>
      </c>
      <c r="G906" s="10">
        <v>1.0</v>
      </c>
      <c r="H906" s="12">
        <f t="shared" si="1"/>
        <v>2.524</v>
      </c>
      <c r="I906" s="13">
        <v>1.0</v>
      </c>
      <c r="J906" s="14">
        <f t="shared" si="2"/>
        <v>2.524</v>
      </c>
      <c r="K906" s="15" t="str">
        <f t="shared" si="3"/>
        <v>Baja</v>
      </c>
    </row>
    <row r="907" ht="14.25" customHeight="1">
      <c r="A907" s="6" t="s">
        <v>1740</v>
      </c>
      <c r="B907" s="27" t="s">
        <v>2009</v>
      </c>
      <c r="C907" s="10">
        <v>3.0</v>
      </c>
      <c r="D907" s="10">
        <v>2.0</v>
      </c>
      <c r="E907" s="10">
        <v>3.0</v>
      </c>
      <c r="F907" s="10">
        <v>4.0</v>
      </c>
      <c r="G907" s="10">
        <v>1.0</v>
      </c>
      <c r="H907" s="12">
        <f t="shared" si="1"/>
        <v>2.716</v>
      </c>
      <c r="I907" s="13">
        <v>1.0</v>
      </c>
      <c r="J907" s="14">
        <f t="shared" si="2"/>
        <v>2.716</v>
      </c>
      <c r="K907" s="15" t="str">
        <f t="shared" si="3"/>
        <v>Baja</v>
      </c>
    </row>
    <row r="908" ht="14.25" customHeight="1">
      <c r="A908" s="6" t="s">
        <v>1740</v>
      </c>
      <c r="B908" s="27" t="s">
        <v>1822</v>
      </c>
      <c r="C908" s="10">
        <v>2.0</v>
      </c>
      <c r="D908" s="10">
        <v>1.0</v>
      </c>
      <c r="E908" s="10">
        <v>2.0</v>
      </c>
      <c r="F908" s="10">
        <v>1.0</v>
      </c>
      <c r="G908" s="10">
        <v>1.0</v>
      </c>
      <c r="H908" s="12">
        <f t="shared" si="1"/>
        <v>1.624</v>
      </c>
      <c r="I908" s="13">
        <v>3.0</v>
      </c>
      <c r="J908" s="14">
        <f t="shared" si="2"/>
        <v>4.872</v>
      </c>
      <c r="K908" s="15" t="str">
        <f t="shared" si="3"/>
        <v>Media</v>
      </c>
    </row>
    <row r="909" ht="14.25" customHeight="1">
      <c r="A909" s="6" t="s">
        <v>1740</v>
      </c>
      <c r="B909" s="27" t="s">
        <v>2011</v>
      </c>
      <c r="C909" s="10">
        <v>2.0</v>
      </c>
      <c r="D909" s="10">
        <v>1.0</v>
      </c>
      <c r="E909" s="10">
        <v>3.0</v>
      </c>
      <c r="F909" s="10">
        <v>2.0</v>
      </c>
      <c r="G909" s="10">
        <v>1.0</v>
      </c>
      <c r="H909" s="12">
        <f t="shared" si="1"/>
        <v>1.96</v>
      </c>
      <c r="I909" s="13">
        <v>3.0</v>
      </c>
      <c r="J909" s="14">
        <f t="shared" si="2"/>
        <v>5.88</v>
      </c>
      <c r="K909" s="15" t="str">
        <f t="shared" si="3"/>
        <v>Media</v>
      </c>
    </row>
    <row r="910" ht="14.25" customHeight="1">
      <c r="A910" s="6" t="s">
        <v>1748</v>
      </c>
      <c r="B910" s="9" t="s">
        <v>999</v>
      </c>
      <c r="C910" s="10">
        <v>2.0</v>
      </c>
      <c r="D910" s="10">
        <v>2.0</v>
      </c>
      <c r="E910" s="10">
        <v>3.0</v>
      </c>
      <c r="F910" s="10">
        <v>3.0</v>
      </c>
      <c r="G910" s="10">
        <v>1.0</v>
      </c>
      <c r="H910" s="12">
        <f t="shared" si="1"/>
        <v>2.236</v>
      </c>
      <c r="I910" s="13">
        <v>2.0</v>
      </c>
      <c r="J910" s="14">
        <f t="shared" si="2"/>
        <v>4.472</v>
      </c>
      <c r="K910" s="15" t="str">
        <f t="shared" si="3"/>
        <v>Media</v>
      </c>
    </row>
    <row r="911" ht="14.25" customHeight="1">
      <c r="A911" s="6" t="s">
        <v>1748</v>
      </c>
      <c r="B911" s="9" t="s">
        <v>1005</v>
      </c>
      <c r="C911" s="10">
        <v>2.0</v>
      </c>
      <c r="D911" s="10">
        <v>2.0</v>
      </c>
      <c r="E911" s="10">
        <v>2.0</v>
      </c>
      <c r="F911" s="10">
        <v>3.0</v>
      </c>
      <c r="G911" s="10">
        <v>1.0</v>
      </c>
      <c r="H911" s="12">
        <f t="shared" si="1"/>
        <v>1.996</v>
      </c>
      <c r="I911" s="13">
        <v>1.0</v>
      </c>
      <c r="J911" s="14">
        <f t="shared" si="2"/>
        <v>1.996</v>
      </c>
      <c r="K911" s="15" t="str">
        <f t="shared" si="3"/>
        <v>Baja</v>
      </c>
    </row>
    <row r="912" ht="14.25" customHeight="1">
      <c r="A912" s="6" t="s">
        <v>1748</v>
      </c>
      <c r="B912" s="9" t="s">
        <v>1017</v>
      </c>
      <c r="C912" s="10">
        <v>2.0</v>
      </c>
      <c r="D912" s="10">
        <v>2.0</v>
      </c>
      <c r="E912" s="10">
        <v>3.0</v>
      </c>
      <c r="F912" s="10">
        <v>3.0</v>
      </c>
      <c r="G912" s="10">
        <v>1.0</v>
      </c>
      <c r="H912" s="12">
        <f t="shared" si="1"/>
        <v>2.236</v>
      </c>
      <c r="I912" s="13">
        <v>2.0</v>
      </c>
      <c r="J912" s="14">
        <f t="shared" si="2"/>
        <v>4.472</v>
      </c>
      <c r="K912" s="15" t="str">
        <f t="shared" si="3"/>
        <v>Media</v>
      </c>
    </row>
    <row r="913" ht="14.25" customHeight="1">
      <c r="A913" s="6" t="s">
        <v>1748</v>
      </c>
      <c r="B913" s="9" t="s">
        <v>727</v>
      </c>
      <c r="C913" s="10">
        <v>1.0</v>
      </c>
      <c r="D913" s="10">
        <v>1.0</v>
      </c>
      <c r="E913" s="10">
        <v>3.0</v>
      </c>
      <c r="F913" s="10">
        <v>3.0</v>
      </c>
      <c r="G913" s="10">
        <v>1.0</v>
      </c>
      <c r="H913" s="12">
        <f t="shared" si="1"/>
        <v>1.672</v>
      </c>
      <c r="I913" s="13">
        <v>2.0</v>
      </c>
      <c r="J913" s="14">
        <f t="shared" si="2"/>
        <v>3.344</v>
      </c>
      <c r="K913" s="15" t="str">
        <f t="shared" si="3"/>
        <v>Baja</v>
      </c>
    </row>
    <row r="914" ht="14.25" customHeight="1">
      <c r="A914" s="6" t="s">
        <v>1748</v>
      </c>
      <c r="B914" s="9" t="s">
        <v>1036</v>
      </c>
      <c r="C914" s="10">
        <v>1.0</v>
      </c>
      <c r="D914" s="10">
        <v>1.0</v>
      </c>
      <c r="E914" s="10">
        <v>3.0</v>
      </c>
      <c r="F914" s="10">
        <v>1.0</v>
      </c>
      <c r="G914" s="10">
        <v>1.0</v>
      </c>
      <c r="H914" s="12">
        <f t="shared" si="1"/>
        <v>1.48</v>
      </c>
      <c r="I914" s="13">
        <v>2.0</v>
      </c>
      <c r="J914" s="14">
        <f t="shared" si="2"/>
        <v>2.96</v>
      </c>
      <c r="K914" s="15" t="str">
        <f t="shared" si="3"/>
        <v>Baja</v>
      </c>
    </row>
    <row r="915" ht="14.25" customHeight="1">
      <c r="A915" s="6" t="s">
        <v>1748</v>
      </c>
      <c r="B915" s="9" t="s">
        <v>1421</v>
      </c>
      <c r="C915" s="10">
        <v>1.0</v>
      </c>
      <c r="D915" s="10">
        <v>1.0</v>
      </c>
      <c r="E915" s="10">
        <v>2.0</v>
      </c>
      <c r="F915" s="10">
        <v>1.0</v>
      </c>
      <c r="G915" s="10">
        <v>1.0</v>
      </c>
      <c r="H915" s="12">
        <f t="shared" si="1"/>
        <v>1.24</v>
      </c>
      <c r="I915" s="13">
        <v>2.0</v>
      </c>
      <c r="J915" s="14">
        <f t="shared" si="2"/>
        <v>2.48</v>
      </c>
      <c r="K915" s="15" t="str">
        <f t="shared" si="3"/>
        <v>Baja</v>
      </c>
    </row>
    <row r="916" ht="14.25" customHeight="1">
      <c r="A916" s="6" t="s">
        <v>1748</v>
      </c>
      <c r="B916" s="9" t="s">
        <v>1426</v>
      </c>
      <c r="C916" s="10">
        <v>1.0</v>
      </c>
      <c r="D916" s="10">
        <v>1.0</v>
      </c>
      <c r="E916" s="10">
        <v>2.0</v>
      </c>
      <c r="F916" s="10">
        <v>1.0</v>
      </c>
      <c r="G916" s="10">
        <v>1.0</v>
      </c>
      <c r="H916" s="12">
        <f t="shared" si="1"/>
        <v>1.24</v>
      </c>
      <c r="I916" s="13">
        <v>3.0</v>
      </c>
      <c r="J916" s="14">
        <f t="shared" si="2"/>
        <v>3.72</v>
      </c>
      <c r="K916" s="15" t="str">
        <f t="shared" si="3"/>
        <v>Baja</v>
      </c>
    </row>
    <row r="917" ht="14.25" customHeight="1">
      <c r="A917" s="6" t="s">
        <v>1754</v>
      </c>
      <c r="B917" s="27" t="s">
        <v>999</v>
      </c>
      <c r="C917" s="10">
        <v>2.0</v>
      </c>
      <c r="D917" s="10">
        <v>2.0</v>
      </c>
      <c r="E917" s="10">
        <v>3.0</v>
      </c>
      <c r="F917" s="10">
        <v>3.0</v>
      </c>
      <c r="G917" s="10">
        <v>1.0</v>
      </c>
      <c r="H917" s="12">
        <f t="shared" si="1"/>
        <v>2.236</v>
      </c>
      <c r="I917" s="13">
        <v>2.0</v>
      </c>
      <c r="J917" s="14">
        <f t="shared" si="2"/>
        <v>4.472</v>
      </c>
      <c r="K917" s="15" t="str">
        <f t="shared" si="3"/>
        <v>Media</v>
      </c>
    </row>
    <row r="918" ht="14.25" customHeight="1">
      <c r="A918" s="6" t="s">
        <v>1754</v>
      </c>
      <c r="B918" s="27" t="s">
        <v>1005</v>
      </c>
      <c r="C918" s="10">
        <v>2.0</v>
      </c>
      <c r="D918" s="10">
        <v>2.0</v>
      </c>
      <c r="E918" s="10">
        <v>2.0</v>
      </c>
      <c r="F918" s="10">
        <v>3.0</v>
      </c>
      <c r="G918" s="10">
        <v>1.0</v>
      </c>
      <c r="H918" s="12">
        <f t="shared" si="1"/>
        <v>1.996</v>
      </c>
      <c r="I918" s="13">
        <v>1.0</v>
      </c>
      <c r="J918" s="14">
        <f t="shared" si="2"/>
        <v>1.996</v>
      </c>
      <c r="K918" s="15" t="str">
        <f t="shared" si="3"/>
        <v>Baja</v>
      </c>
    </row>
    <row r="919" ht="14.25" customHeight="1">
      <c r="A919" s="6" t="s">
        <v>1754</v>
      </c>
      <c r="B919" s="27" t="s">
        <v>1017</v>
      </c>
      <c r="C919" s="10">
        <v>2.0</v>
      </c>
      <c r="D919" s="10">
        <v>2.0</v>
      </c>
      <c r="E919" s="10">
        <v>3.0</v>
      </c>
      <c r="F919" s="10">
        <v>3.0</v>
      </c>
      <c r="G919" s="10">
        <v>1.0</v>
      </c>
      <c r="H919" s="12">
        <f t="shared" si="1"/>
        <v>2.236</v>
      </c>
      <c r="I919" s="13">
        <v>2.0</v>
      </c>
      <c r="J919" s="14">
        <f t="shared" si="2"/>
        <v>4.472</v>
      </c>
      <c r="K919" s="15" t="str">
        <f t="shared" si="3"/>
        <v>Media</v>
      </c>
    </row>
    <row r="920" ht="14.25" customHeight="1">
      <c r="A920" s="6" t="s">
        <v>1754</v>
      </c>
      <c r="B920" s="27" t="s">
        <v>727</v>
      </c>
      <c r="C920" s="10">
        <v>1.0</v>
      </c>
      <c r="D920" s="10">
        <v>1.0</v>
      </c>
      <c r="E920" s="10">
        <v>3.0</v>
      </c>
      <c r="F920" s="10">
        <v>3.0</v>
      </c>
      <c r="G920" s="10">
        <v>1.0</v>
      </c>
      <c r="H920" s="12">
        <f t="shared" si="1"/>
        <v>1.672</v>
      </c>
      <c r="I920" s="13">
        <v>2.0</v>
      </c>
      <c r="J920" s="14">
        <f t="shared" si="2"/>
        <v>3.344</v>
      </c>
      <c r="K920" s="15" t="str">
        <f t="shared" si="3"/>
        <v>Baja</v>
      </c>
    </row>
    <row r="921" ht="14.25" customHeight="1">
      <c r="A921" s="6" t="s">
        <v>1754</v>
      </c>
      <c r="B921" s="27" t="s">
        <v>1031</v>
      </c>
      <c r="C921" s="10">
        <v>1.0</v>
      </c>
      <c r="D921" s="10">
        <v>1.0</v>
      </c>
      <c r="E921" s="10">
        <v>2.0</v>
      </c>
      <c r="F921" s="10">
        <v>1.0</v>
      </c>
      <c r="G921" s="10">
        <v>1.0</v>
      </c>
      <c r="H921" s="12">
        <f t="shared" si="1"/>
        <v>1.24</v>
      </c>
      <c r="I921" s="13">
        <v>3.0</v>
      </c>
      <c r="J921" s="14">
        <f t="shared" si="2"/>
        <v>3.72</v>
      </c>
      <c r="K921" s="15" t="str">
        <f t="shared" si="3"/>
        <v>Baja</v>
      </c>
    </row>
    <row r="922" ht="14.25" customHeight="1">
      <c r="A922" s="6" t="s">
        <v>1754</v>
      </c>
      <c r="B922" s="27" t="s">
        <v>1036</v>
      </c>
      <c r="C922" s="10">
        <v>1.0</v>
      </c>
      <c r="D922" s="10">
        <v>1.0</v>
      </c>
      <c r="E922" s="10">
        <v>3.0</v>
      </c>
      <c r="F922" s="10">
        <v>1.0</v>
      </c>
      <c r="G922" s="10">
        <v>1.0</v>
      </c>
      <c r="H922" s="12">
        <f t="shared" si="1"/>
        <v>1.48</v>
      </c>
      <c r="I922" s="13">
        <v>2.0</v>
      </c>
      <c r="J922" s="14">
        <f t="shared" si="2"/>
        <v>2.96</v>
      </c>
      <c r="K922" s="15" t="str">
        <f t="shared" si="3"/>
        <v>Baja</v>
      </c>
    </row>
    <row r="923" ht="14.25" customHeight="1">
      <c r="A923" s="6" t="s">
        <v>1754</v>
      </c>
      <c r="B923" s="27" t="s">
        <v>1041</v>
      </c>
      <c r="C923" s="10">
        <v>1.0</v>
      </c>
      <c r="D923" s="10">
        <v>1.0</v>
      </c>
      <c r="E923" s="10">
        <v>2.0</v>
      </c>
      <c r="F923" s="10">
        <v>1.0</v>
      </c>
      <c r="G923" s="10">
        <v>1.0</v>
      </c>
      <c r="H923" s="12">
        <f t="shared" si="1"/>
        <v>1.24</v>
      </c>
      <c r="I923" s="13">
        <v>2.0</v>
      </c>
      <c r="J923" s="14">
        <f t="shared" si="2"/>
        <v>2.48</v>
      </c>
      <c r="K923" s="15" t="str">
        <f t="shared" si="3"/>
        <v>Baja</v>
      </c>
    </row>
    <row r="924" ht="14.25" customHeight="1">
      <c r="A924" s="6" t="s">
        <v>1754</v>
      </c>
      <c r="B924" s="27" t="s">
        <v>1047</v>
      </c>
      <c r="C924" s="10">
        <v>1.0</v>
      </c>
      <c r="D924" s="10">
        <v>1.0</v>
      </c>
      <c r="E924" s="10">
        <v>2.0</v>
      </c>
      <c r="F924" s="10">
        <v>1.0</v>
      </c>
      <c r="G924" s="10">
        <v>1.0</v>
      </c>
      <c r="H924" s="12">
        <f t="shared" si="1"/>
        <v>1.24</v>
      </c>
      <c r="I924" s="13">
        <v>3.0</v>
      </c>
      <c r="J924" s="14">
        <f t="shared" si="2"/>
        <v>3.72</v>
      </c>
      <c r="K924" s="15" t="str">
        <f t="shared" si="3"/>
        <v>Baja</v>
      </c>
    </row>
    <row r="925" ht="14.25" customHeight="1">
      <c r="A925" s="6" t="s">
        <v>1758</v>
      </c>
      <c r="B925" s="9" t="s">
        <v>820</v>
      </c>
      <c r="C925" s="10">
        <v>2.0</v>
      </c>
      <c r="D925" s="10">
        <v>1.0</v>
      </c>
      <c r="E925" s="10">
        <v>2.0</v>
      </c>
      <c r="F925" s="10">
        <v>1.0</v>
      </c>
      <c r="G925" s="10">
        <v>1.0</v>
      </c>
      <c r="H925" s="12">
        <f t="shared" si="1"/>
        <v>1.624</v>
      </c>
      <c r="I925" s="13">
        <v>3.0</v>
      </c>
      <c r="J925" s="14">
        <f t="shared" si="2"/>
        <v>4.872</v>
      </c>
      <c r="K925" s="15" t="str">
        <f t="shared" si="3"/>
        <v>Media</v>
      </c>
    </row>
    <row r="926" ht="14.25" customHeight="1">
      <c r="A926" s="6" t="s">
        <v>1758</v>
      </c>
      <c r="B926" s="9" t="s">
        <v>825</v>
      </c>
      <c r="C926" s="10">
        <v>2.0</v>
      </c>
      <c r="D926" s="10">
        <v>1.0</v>
      </c>
      <c r="E926" s="10">
        <v>2.0</v>
      </c>
      <c r="F926" s="10">
        <v>2.0</v>
      </c>
      <c r="G926" s="10">
        <v>1.0</v>
      </c>
      <c r="H926" s="12">
        <f t="shared" si="1"/>
        <v>1.72</v>
      </c>
      <c r="I926" s="13">
        <v>3.0</v>
      </c>
      <c r="J926" s="14">
        <f t="shared" si="2"/>
        <v>5.16</v>
      </c>
      <c r="K926" s="15" t="str">
        <f t="shared" si="3"/>
        <v>Media</v>
      </c>
    </row>
    <row r="927" ht="14.25" customHeight="1">
      <c r="A927" s="6" t="s">
        <v>1758</v>
      </c>
      <c r="B927" s="9" t="s">
        <v>827</v>
      </c>
      <c r="C927" s="10">
        <v>2.0</v>
      </c>
      <c r="D927" s="10">
        <v>1.0</v>
      </c>
      <c r="E927" s="10">
        <v>2.0</v>
      </c>
      <c r="F927" s="10">
        <v>2.0</v>
      </c>
      <c r="G927" s="10">
        <v>1.0</v>
      </c>
      <c r="H927" s="12">
        <f t="shared" si="1"/>
        <v>1.72</v>
      </c>
      <c r="I927" s="13">
        <v>3.0</v>
      </c>
      <c r="J927" s="14">
        <f t="shared" si="2"/>
        <v>5.16</v>
      </c>
      <c r="K927" s="15" t="str">
        <f t="shared" si="3"/>
        <v>Media</v>
      </c>
    </row>
    <row r="928" ht="14.25" customHeight="1">
      <c r="A928" s="6" t="s">
        <v>1758</v>
      </c>
      <c r="B928" s="9" t="s">
        <v>836</v>
      </c>
      <c r="C928" s="10">
        <v>1.0</v>
      </c>
      <c r="D928" s="10">
        <v>1.0</v>
      </c>
      <c r="E928" s="10">
        <v>2.0</v>
      </c>
      <c r="F928" s="10">
        <v>1.0</v>
      </c>
      <c r="G928" s="10">
        <v>1.0</v>
      </c>
      <c r="H928" s="12">
        <f t="shared" si="1"/>
        <v>1.24</v>
      </c>
      <c r="I928" s="13">
        <v>2.0</v>
      </c>
      <c r="J928" s="14">
        <f t="shared" si="2"/>
        <v>2.48</v>
      </c>
      <c r="K928" s="15" t="str">
        <f t="shared" si="3"/>
        <v>Baja</v>
      </c>
    </row>
    <row r="929" ht="14.25" customHeight="1">
      <c r="A929" s="6" t="s">
        <v>1758</v>
      </c>
      <c r="B929" s="9" t="s">
        <v>842</v>
      </c>
      <c r="C929" s="10">
        <v>1.0</v>
      </c>
      <c r="D929" s="10">
        <v>1.0</v>
      </c>
      <c r="E929" s="10">
        <v>2.0</v>
      </c>
      <c r="F929" s="10">
        <v>1.0</v>
      </c>
      <c r="G929" s="10">
        <v>1.0</v>
      </c>
      <c r="H929" s="12">
        <f t="shared" si="1"/>
        <v>1.24</v>
      </c>
      <c r="I929" s="13">
        <v>3.0</v>
      </c>
      <c r="J929" s="14">
        <f t="shared" si="2"/>
        <v>3.72</v>
      </c>
      <c r="K929" s="15" t="str">
        <f t="shared" si="3"/>
        <v>Baja</v>
      </c>
    </row>
    <row r="930" ht="14.25" customHeight="1">
      <c r="A930" s="6" t="s">
        <v>1758</v>
      </c>
      <c r="B930" s="9" t="s">
        <v>848</v>
      </c>
      <c r="C930" s="10">
        <v>1.0</v>
      </c>
      <c r="D930" s="10">
        <v>1.0</v>
      </c>
      <c r="E930" s="10">
        <v>2.0</v>
      </c>
      <c r="F930" s="10">
        <v>1.0</v>
      </c>
      <c r="G930" s="10">
        <v>1.0</v>
      </c>
      <c r="H930" s="12">
        <f t="shared" si="1"/>
        <v>1.24</v>
      </c>
      <c r="I930" s="13">
        <v>3.0</v>
      </c>
      <c r="J930" s="14">
        <f t="shared" si="2"/>
        <v>3.72</v>
      </c>
      <c r="K930" s="15" t="str">
        <f t="shared" si="3"/>
        <v>Baja</v>
      </c>
    </row>
    <row r="931" ht="14.25" customHeight="1">
      <c r="A931" s="6" t="s">
        <v>1768</v>
      </c>
      <c r="B931" s="27" t="s">
        <v>930</v>
      </c>
      <c r="C931" s="10">
        <v>2.0</v>
      </c>
      <c r="D931" s="10">
        <v>1.0</v>
      </c>
      <c r="E931" s="10">
        <v>2.0</v>
      </c>
      <c r="F931" s="10">
        <v>1.0</v>
      </c>
      <c r="G931" s="10">
        <v>2.0</v>
      </c>
      <c r="H931" s="12">
        <f t="shared" si="1"/>
        <v>1.724</v>
      </c>
      <c r="I931" s="13">
        <v>1.0</v>
      </c>
      <c r="J931" s="14">
        <f t="shared" si="2"/>
        <v>1.724</v>
      </c>
      <c r="K931" s="15" t="str">
        <f t="shared" si="3"/>
        <v>Baja</v>
      </c>
    </row>
    <row r="932" ht="14.25" customHeight="1">
      <c r="A932" s="6" t="s">
        <v>1768</v>
      </c>
      <c r="B932" s="27" t="s">
        <v>3294</v>
      </c>
      <c r="C932" s="10">
        <v>2.0</v>
      </c>
      <c r="D932" s="10">
        <v>1.0</v>
      </c>
      <c r="E932" s="10">
        <v>3.0</v>
      </c>
      <c r="F932" s="10">
        <v>1.0</v>
      </c>
      <c r="G932" s="10">
        <v>2.0</v>
      </c>
      <c r="H932" s="12">
        <f t="shared" si="1"/>
        <v>1.964</v>
      </c>
      <c r="I932" s="13">
        <v>3.0</v>
      </c>
      <c r="J932" s="14">
        <f t="shared" si="2"/>
        <v>5.892</v>
      </c>
      <c r="K932" s="15" t="str">
        <f t="shared" si="3"/>
        <v>Media</v>
      </c>
    </row>
    <row r="933" ht="14.25" customHeight="1">
      <c r="A933" s="6" t="s">
        <v>1768</v>
      </c>
      <c r="B933" s="27" t="s">
        <v>3295</v>
      </c>
      <c r="C933" s="10">
        <v>1.0</v>
      </c>
      <c r="D933" s="10">
        <v>1.0</v>
      </c>
      <c r="E933" s="10">
        <v>2.0</v>
      </c>
      <c r="F933" s="10">
        <v>1.0</v>
      </c>
      <c r="G933" s="10">
        <v>1.0</v>
      </c>
      <c r="H933" s="12">
        <f t="shared" si="1"/>
        <v>1.24</v>
      </c>
      <c r="I933" s="13">
        <v>3.0</v>
      </c>
      <c r="J933" s="14">
        <f t="shared" si="2"/>
        <v>3.72</v>
      </c>
      <c r="K933" s="15" t="str">
        <f t="shared" si="3"/>
        <v>Baja</v>
      </c>
    </row>
    <row r="934" ht="14.25" customHeight="1">
      <c r="A934" s="6" t="s">
        <v>1768</v>
      </c>
      <c r="B934" s="27" t="s">
        <v>3296</v>
      </c>
      <c r="C934" s="10">
        <v>1.0</v>
      </c>
      <c r="D934" s="10">
        <v>1.0</v>
      </c>
      <c r="E934" s="10">
        <v>2.0</v>
      </c>
      <c r="F934" s="10">
        <v>1.0</v>
      </c>
      <c r="G934" s="10">
        <v>1.0</v>
      </c>
      <c r="H934" s="12">
        <f t="shared" si="1"/>
        <v>1.24</v>
      </c>
      <c r="I934" s="13">
        <v>3.0</v>
      </c>
      <c r="J934" s="14">
        <f t="shared" si="2"/>
        <v>3.72</v>
      </c>
      <c r="K934" s="15" t="str">
        <f t="shared" si="3"/>
        <v>Baja</v>
      </c>
    </row>
    <row r="935" ht="14.25" customHeight="1">
      <c r="A935" s="6" t="s">
        <v>1768</v>
      </c>
      <c r="B935" s="27" t="s">
        <v>3299</v>
      </c>
      <c r="C935" s="10">
        <v>1.0</v>
      </c>
      <c r="D935" s="10">
        <v>1.0</v>
      </c>
      <c r="E935" s="10">
        <v>2.0</v>
      </c>
      <c r="F935" s="10">
        <v>1.0</v>
      </c>
      <c r="G935" s="10">
        <v>1.0</v>
      </c>
      <c r="H935" s="12">
        <f t="shared" si="1"/>
        <v>1.24</v>
      </c>
      <c r="I935" s="13">
        <v>3.0</v>
      </c>
      <c r="J935" s="14">
        <f t="shared" si="2"/>
        <v>3.72</v>
      </c>
      <c r="K935" s="15" t="str">
        <f t="shared" si="3"/>
        <v>Baja</v>
      </c>
    </row>
    <row r="936" ht="14.25" customHeight="1">
      <c r="A936" s="6" t="s">
        <v>1768</v>
      </c>
      <c r="B936" s="27" t="s">
        <v>3300</v>
      </c>
      <c r="C936" s="10">
        <v>1.0</v>
      </c>
      <c r="D936" s="10">
        <v>1.0</v>
      </c>
      <c r="E936" s="10">
        <v>2.0</v>
      </c>
      <c r="F936" s="10">
        <v>1.0</v>
      </c>
      <c r="G936" s="10">
        <v>1.0</v>
      </c>
      <c r="H936" s="12">
        <f t="shared" si="1"/>
        <v>1.24</v>
      </c>
      <c r="I936" s="13">
        <v>2.0</v>
      </c>
      <c r="J936" s="14">
        <f t="shared" si="2"/>
        <v>2.48</v>
      </c>
      <c r="K936" s="15" t="str">
        <f t="shared" si="3"/>
        <v>Baja</v>
      </c>
    </row>
    <row r="937" ht="14.25" customHeight="1">
      <c r="A937" s="6" t="s">
        <v>1774</v>
      </c>
      <c r="B937" s="9" t="s">
        <v>3303</v>
      </c>
      <c r="C937" s="10">
        <v>1.0</v>
      </c>
      <c r="D937" s="10">
        <v>2.0</v>
      </c>
      <c r="E937" s="10">
        <v>3.0</v>
      </c>
      <c r="F937" s="10">
        <v>4.0</v>
      </c>
      <c r="G937" s="10">
        <v>1.0</v>
      </c>
      <c r="H937" s="12">
        <f t="shared" si="1"/>
        <v>1.948</v>
      </c>
      <c r="I937" s="13">
        <v>2.0</v>
      </c>
      <c r="J937" s="14">
        <f t="shared" si="2"/>
        <v>3.896</v>
      </c>
      <c r="K937" s="15" t="str">
        <f t="shared" si="3"/>
        <v>Baja</v>
      </c>
    </row>
    <row r="938" ht="14.25" customHeight="1">
      <c r="A938" s="6" t="s">
        <v>1774</v>
      </c>
      <c r="B938" s="9" t="s">
        <v>2011</v>
      </c>
      <c r="C938" s="10">
        <v>1.0</v>
      </c>
      <c r="D938" s="10">
        <v>1.0</v>
      </c>
      <c r="E938" s="10">
        <v>3.0</v>
      </c>
      <c r="F938" s="10">
        <v>2.0</v>
      </c>
      <c r="G938" s="10">
        <v>1.0</v>
      </c>
      <c r="H938" s="12">
        <f t="shared" si="1"/>
        <v>1.576</v>
      </c>
      <c r="I938" s="13">
        <v>3.0</v>
      </c>
      <c r="J938" s="14">
        <f t="shared" si="2"/>
        <v>4.728</v>
      </c>
      <c r="K938" s="15" t="str">
        <f t="shared" si="3"/>
        <v>Media</v>
      </c>
    </row>
    <row r="939" ht="14.25" customHeight="1">
      <c r="A939" s="6" t="s">
        <v>1774</v>
      </c>
      <c r="B939" s="9" t="s">
        <v>1984</v>
      </c>
      <c r="C939" s="10">
        <v>1.0</v>
      </c>
      <c r="D939" s="10">
        <v>1.0</v>
      </c>
      <c r="E939" s="10">
        <v>2.0</v>
      </c>
      <c r="F939" s="10">
        <v>2.0</v>
      </c>
      <c r="G939" s="10">
        <v>1.0</v>
      </c>
      <c r="H939" s="12">
        <f t="shared" si="1"/>
        <v>1.336</v>
      </c>
      <c r="I939" s="13">
        <v>2.0</v>
      </c>
      <c r="J939" s="14">
        <f t="shared" si="2"/>
        <v>2.672</v>
      </c>
      <c r="K939" s="15" t="str">
        <f t="shared" si="3"/>
        <v>Baja</v>
      </c>
    </row>
    <row r="940" ht="14.25" customHeight="1">
      <c r="A940" s="6" t="s">
        <v>1781</v>
      </c>
      <c r="B940" s="27" t="s">
        <v>1108</v>
      </c>
      <c r="C940" s="10">
        <v>3.0</v>
      </c>
      <c r="D940" s="10">
        <v>3.0</v>
      </c>
      <c r="E940" s="10">
        <v>3.0</v>
      </c>
      <c r="F940" s="10">
        <v>1.0</v>
      </c>
      <c r="G940" s="10">
        <v>2.0</v>
      </c>
      <c r="H940" s="12">
        <f t="shared" si="1"/>
        <v>2.708</v>
      </c>
      <c r="I940" s="13">
        <v>1.0</v>
      </c>
      <c r="J940" s="14">
        <f t="shared" si="2"/>
        <v>2.708</v>
      </c>
      <c r="K940" s="15" t="str">
        <f t="shared" si="3"/>
        <v>Baja</v>
      </c>
    </row>
    <row r="941" ht="14.25" customHeight="1">
      <c r="A941" s="6" t="s">
        <v>1781</v>
      </c>
      <c r="B941" s="27" t="s">
        <v>1113</v>
      </c>
      <c r="C941" s="10">
        <v>3.0</v>
      </c>
      <c r="D941" s="10">
        <v>3.0</v>
      </c>
      <c r="E941" s="10">
        <v>3.0</v>
      </c>
      <c r="F941" s="10">
        <v>4.0</v>
      </c>
      <c r="G941" s="10">
        <v>2.0</v>
      </c>
      <c r="H941" s="12">
        <f t="shared" si="1"/>
        <v>2.996</v>
      </c>
      <c r="I941" s="13">
        <v>1.0</v>
      </c>
      <c r="J941" s="14">
        <f t="shared" si="2"/>
        <v>2.996</v>
      </c>
      <c r="K941" s="15" t="str">
        <f t="shared" si="3"/>
        <v>Baja</v>
      </c>
    </row>
    <row r="942" ht="14.25" customHeight="1">
      <c r="A942" s="6" t="s">
        <v>1781</v>
      </c>
      <c r="B942" s="27" t="s">
        <v>1119</v>
      </c>
      <c r="C942" s="10">
        <v>2.0</v>
      </c>
      <c r="D942" s="10">
        <v>2.0</v>
      </c>
      <c r="E942" s="10">
        <v>3.0</v>
      </c>
      <c r="F942" s="10">
        <v>1.0</v>
      </c>
      <c r="G942" s="10">
        <v>1.0</v>
      </c>
      <c r="H942" s="12">
        <f t="shared" si="1"/>
        <v>2.044</v>
      </c>
      <c r="I942" s="13">
        <v>3.0</v>
      </c>
      <c r="J942" s="14">
        <f t="shared" si="2"/>
        <v>6.132</v>
      </c>
      <c r="K942" s="15" t="str">
        <f t="shared" si="3"/>
        <v>Media</v>
      </c>
    </row>
    <row r="943" ht="14.25" customHeight="1">
      <c r="A943" s="6" t="s">
        <v>1781</v>
      </c>
      <c r="B943" s="27" t="s">
        <v>1124</v>
      </c>
      <c r="C943" s="10">
        <v>2.0</v>
      </c>
      <c r="D943" s="10">
        <v>2.0</v>
      </c>
      <c r="E943" s="10">
        <v>3.0</v>
      </c>
      <c r="F943" s="10">
        <v>1.0</v>
      </c>
      <c r="G943" s="10">
        <v>1.0</v>
      </c>
      <c r="H943" s="12">
        <f t="shared" si="1"/>
        <v>2.044</v>
      </c>
      <c r="I943" s="13">
        <v>1.0</v>
      </c>
      <c r="J943" s="14">
        <f t="shared" si="2"/>
        <v>2.044</v>
      </c>
      <c r="K943" s="15" t="str">
        <f t="shared" si="3"/>
        <v>Baja</v>
      </c>
    </row>
    <row r="944" ht="14.25" customHeight="1">
      <c r="A944" s="6" t="s">
        <v>1785</v>
      </c>
      <c r="B944" s="9" t="s">
        <v>1127</v>
      </c>
      <c r="C944" s="10">
        <v>3.0</v>
      </c>
      <c r="D944" s="10">
        <v>3.0</v>
      </c>
      <c r="E944" s="10">
        <v>3.0</v>
      </c>
      <c r="F944" s="10">
        <v>3.0</v>
      </c>
      <c r="G944" s="10">
        <v>2.0</v>
      </c>
      <c r="H944" s="12">
        <f t="shared" si="1"/>
        <v>2.9</v>
      </c>
      <c r="I944" s="13">
        <v>1.0</v>
      </c>
      <c r="J944" s="14">
        <f t="shared" si="2"/>
        <v>2.9</v>
      </c>
      <c r="K944" s="15" t="str">
        <f t="shared" si="3"/>
        <v>Baja</v>
      </c>
    </row>
    <row r="945" ht="14.25" customHeight="1">
      <c r="A945" s="6" t="s">
        <v>1785</v>
      </c>
      <c r="B945" s="9" t="s">
        <v>1134</v>
      </c>
      <c r="C945" s="10">
        <v>2.0</v>
      </c>
      <c r="D945" s="10">
        <v>2.0</v>
      </c>
      <c r="E945" s="10">
        <v>3.0</v>
      </c>
      <c r="F945" s="10">
        <v>3.0</v>
      </c>
      <c r="G945" s="10">
        <v>1.0</v>
      </c>
      <c r="H945" s="12">
        <f t="shared" si="1"/>
        <v>2.236</v>
      </c>
      <c r="I945" s="13">
        <v>3.0</v>
      </c>
      <c r="J945" s="14">
        <f t="shared" si="2"/>
        <v>6.708</v>
      </c>
      <c r="K945" s="15" t="str">
        <f t="shared" si="3"/>
        <v>Media</v>
      </c>
    </row>
    <row r="946" ht="14.25" customHeight="1">
      <c r="A946" s="6" t="s">
        <v>1785</v>
      </c>
      <c r="B946" s="9" t="s">
        <v>1141</v>
      </c>
      <c r="C946" s="10">
        <v>2.0</v>
      </c>
      <c r="D946" s="10">
        <v>2.0</v>
      </c>
      <c r="E946" s="10">
        <v>2.0</v>
      </c>
      <c r="F946" s="10">
        <v>1.0</v>
      </c>
      <c r="G946" s="10">
        <v>1.0</v>
      </c>
      <c r="H946" s="12">
        <f t="shared" si="1"/>
        <v>1.804</v>
      </c>
      <c r="I946" s="13">
        <v>3.0</v>
      </c>
      <c r="J946" s="14">
        <f t="shared" si="2"/>
        <v>5.412</v>
      </c>
      <c r="K946" s="15" t="str">
        <f t="shared" si="3"/>
        <v>Media</v>
      </c>
    </row>
    <row r="947" ht="14.25" customHeight="1">
      <c r="A947" s="6" t="s">
        <v>1785</v>
      </c>
      <c r="B947" s="9" t="s">
        <v>1147</v>
      </c>
      <c r="C947" s="10">
        <v>2.0</v>
      </c>
      <c r="D947" s="10">
        <v>2.0</v>
      </c>
      <c r="E947" s="10">
        <v>3.0</v>
      </c>
      <c r="F947" s="10">
        <v>3.0</v>
      </c>
      <c r="G947" s="10">
        <v>1.0</v>
      </c>
      <c r="H947" s="12">
        <f t="shared" si="1"/>
        <v>2.236</v>
      </c>
      <c r="I947" s="13">
        <v>3.0</v>
      </c>
      <c r="J947" s="14">
        <f t="shared" si="2"/>
        <v>6.708</v>
      </c>
      <c r="K947" s="15" t="str">
        <f t="shared" si="3"/>
        <v>Media</v>
      </c>
    </row>
    <row r="948" ht="14.25" customHeight="1">
      <c r="A948" s="6" t="s">
        <v>1791</v>
      </c>
      <c r="B948" s="27" t="s">
        <v>1305</v>
      </c>
      <c r="C948" s="10">
        <v>1.0</v>
      </c>
      <c r="D948" s="10">
        <v>1.0</v>
      </c>
      <c r="E948" s="10">
        <v>3.0</v>
      </c>
      <c r="F948" s="10">
        <v>3.0</v>
      </c>
      <c r="G948" s="10">
        <v>1.0</v>
      </c>
      <c r="H948" s="12">
        <f t="shared" si="1"/>
        <v>1.672</v>
      </c>
      <c r="I948" s="13">
        <v>1.0</v>
      </c>
      <c r="J948" s="14">
        <f t="shared" si="2"/>
        <v>1.672</v>
      </c>
      <c r="K948" s="15" t="str">
        <f t="shared" si="3"/>
        <v>Baja</v>
      </c>
    </row>
    <row r="949" ht="14.25" customHeight="1">
      <c r="A949" s="6" t="s">
        <v>1791</v>
      </c>
      <c r="B949" s="27" t="s">
        <v>1311</v>
      </c>
      <c r="C949" s="10">
        <v>1.0</v>
      </c>
      <c r="D949" s="10">
        <v>1.0</v>
      </c>
      <c r="E949" s="10">
        <v>3.0</v>
      </c>
      <c r="F949" s="10">
        <v>2.0</v>
      </c>
      <c r="G949" s="10">
        <v>1.0</v>
      </c>
      <c r="H949" s="12">
        <f t="shared" si="1"/>
        <v>1.576</v>
      </c>
      <c r="I949" s="13">
        <v>1.0</v>
      </c>
      <c r="J949" s="14">
        <f t="shared" si="2"/>
        <v>1.576</v>
      </c>
      <c r="K949" s="15" t="str">
        <f t="shared" si="3"/>
        <v>Baja</v>
      </c>
    </row>
    <row r="950" ht="14.25" customHeight="1">
      <c r="A950" s="6" t="s">
        <v>1791</v>
      </c>
      <c r="B950" s="27" t="s">
        <v>1315</v>
      </c>
      <c r="C950" s="10">
        <v>1.0</v>
      </c>
      <c r="D950" s="10">
        <v>1.0</v>
      </c>
      <c r="E950" s="10">
        <v>3.0</v>
      </c>
      <c r="F950" s="10">
        <v>2.0</v>
      </c>
      <c r="G950" s="10">
        <v>1.0</v>
      </c>
      <c r="H950" s="12">
        <f t="shared" si="1"/>
        <v>1.576</v>
      </c>
      <c r="I950" s="13">
        <v>2.0</v>
      </c>
      <c r="J950" s="14">
        <f t="shared" si="2"/>
        <v>3.152</v>
      </c>
      <c r="K950" s="15" t="str">
        <f t="shared" si="3"/>
        <v>Baja</v>
      </c>
    </row>
    <row r="951" ht="14.25" customHeight="1">
      <c r="A951" s="6" t="s">
        <v>1791</v>
      </c>
      <c r="B951" s="27" t="s">
        <v>1325</v>
      </c>
      <c r="C951" s="10">
        <v>1.0</v>
      </c>
      <c r="D951" s="10">
        <v>1.0</v>
      </c>
      <c r="E951" s="10">
        <v>3.0</v>
      </c>
      <c r="F951" s="10">
        <v>2.0</v>
      </c>
      <c r="G951" s="10">
        <v>1.0</v>
      </c>
      <c r="H951" s="12">
        <f t="shared" si="1"/>
        <v>1.576</v>
      </c>
      <c r="I951" s="13">
        <v>2.0</v>
      </c>
      <c r="J951" s="14">
        <f t="shared" si="2"/>
        <v>3.152</v>
      </c>
      <c r="K951" s="15" t="str">
        <f t="shared" si="3"/>
        <v>Baja</v>
      </c>
    </row>
    <row r="952" ht="14.25" customHeight="1">
      <c r="A952" s="6" t="s">
        <v>1791</v>
      </c>
      <c r="B952" s="27" t="s">
        <v>1333</v>
      </c>
      <c r="C952" s="10">
        <v>1.0</v>
      </c>
      <c r="D952" s="10">
        <v>1.0</v>
      </c>
      <c r="E952" s="10">
        <v>3.0</v>
      </c>
      <c r="F952" s="10">
        <v>2.0</v>
      </c>
      <c r="G952" s="10">
        <v>1.0</v>
      </c>
      <c r="H952" s="12">
        <f t="shared" si="1"/>
        <v>1.576</v>
      </c>
      <c r="I952" s="13">
        <v>1.0</v>
      </c>
      <c r="J952" s="14">
        <f t="shared" si="2"/>
        <v>1.576</v>
      </c>
      <c r="K952" s="15" t="str">
        <f t="shared" si="3"/>
        <v>Baja</v>
      </c>
    </row>
    <row r="953" ht="14.25" customHeight="1">
      <c r="A953" s="6" t="s">
        <v>1798</v>
      </c>
      <c r="B953" s="9" t="s">
        <v>1191</v>
      </c>
      <c r="C953" s="10">
        <v>1.0</v>
      </c>
      <c r="D953" s="10">
        <v>2.0</v>
      </c>
      <c r="E953" s="10">
        <v>2.0</v>
      </c>
      <c r="F953" s="10">
        <v>1.0</v>
      </c>
      <c r="G953" s="10">
        <v>1.0</v>
      </c>
      <c r="H953" s="12">
        <f t="shared" si="1"/>
        <v>1.42</v>
      </c>
      <c r="I953" s="13">
        <v>3.0</v>
      </c>
      <c r="J953" s="14">
        <f t="shared" si="2"/>
        <v>4.26</v>
      </c>
      <c r="K953" s="15" t="str">
        <f t="shared" si="3"/>
        <v>Media</v>
      </c>
    </row>
    <row r="954" ht="14.25" customHeight="1">
      <c r="A954" s="6" t="s">
        <v>1798</v>
      </c>
      <c r="B954" s="9" t="s">
        <v>1195</v>
      </c>
      <c r="C954" s="10">
        <v>1.0</v>
      </c>
      <c r="D954" s="10">
        <v>2.0</v>
      </c>
      <c r="E954" s="10">
        <v>2.0</v>
      </c>
      <c r="F954" s="10">
        <v>1.0</v>
      </c>
      <c r="G954" s="10">
        <v>1.0</v>
      </c>
      <c r="H954" s="12">
        <f t="shared" si="1"/>
        <v>1.42</v>
      </c>
      <c r="I954" s="13">
        <v>2.0</v>
      </c>
      <c r="J954" s="14">
        <f t="shared" si="2"/>
        <v>2.84</v>
      </c>
      <c r="K954" s="15" t="str">
        <f t="shared" si="3"/>
        <v>Baja</v>
      </c>
    </row>
    <row r="955" ht="14.25" customHeight="1">
      <c r="A955" s="6" t="s">
        <v>1798</v>
      </c>
      <c r="B955" s="9" t="s">
        <v>1204</v>
      </c>
      <c r="C955" s="10">
        <v>1.0</v>
      </c>
      <c r="D955" s="10">
        <v>2.0</v>
      </c>
      <c r="E955" s="10">
        <v>2.0</v>
      </c>
      <c r="F955" s="10">
        <v>1.0</v>
      </c>
      <c r="G955" s="10">
        <v>1.0</v>
      </c>
      <c r="H955" s="12">
        <f t="shared" si="1"/>
        <v>1.42</v>
      </c>
      <c r="I955" s="13">
        <v>1.0</v>
      </c>
      <c r="J955" s="14">
        <f t="shared" si="2"/>
        <v>1.42</v>
      </c>
      <c r="K955" s="15" t="str">
        <f t="shared" si="3"/>
        <v>Baja</v>
      </c>
    </row>
    <row r="956" ht="14.25" customHeight="1">
      <c r="A956" s="6" t="s">
        <v>1798</v>
      </c>
      <c r="B956" s="9" t="s">
        <v>1210</v>
      </c>
      <c r="C956" s="10">
        <v>1.0</v>
      </c>
      <c r="D956" s="10">
        <v>2.0</v>
      </c>
      <c r="E956" s="10">
        <v>2.0</v>
      </c>
      <c r="F956" s="10">
        <v>1.0</v>
      </c>
      <c r="G956" s="10">
        <v>1.0</v>
      </c>
      <c r="H956" s="12">
        <f t="shared" si="1"/>
        <v>1.42</v>
      </c>
      <c r="I956" s="13">
        <v>3.0</v>
      </c>
      <c r="J956" s="14">
        <f t="shared" si="2"/>
        <v>4.26</v>
      </c>
      <c r="K956" s="15" t="str">
        <f t="shared" si="3"/>
        <v>Media</v>
      </c>
    </row>
    <row r="957" ht="14.25" customHeight="1">
      <c r="A957" s="6" t="s">
        <v>1798</v>
      </c>
      <c r="B957" s="9" t="s">
        <v>1219</v>
      </c>
      <c r="C957" s="10">
        <v>1.0</v>
      </c>
      <c r="D957" s="10">
        <v>2.0</v>
      </c>
      <c r="E957" s="10">
        <v>2.0</v>
      </c>
      <c r="F957" s="10">
        <v>1.0</v>
      </c>
      <c r="G957" s="10">
        <v>1.0</v>
      </c>
      <c r="H957" s="12">
        <f t="shared" si="1"/>
        <v>1.42</v>
      </c>
      <c r="I957" s="13">
        <v>3.0</v>
      </c>
      <c r="J957" s="14">
        <f t="shared" si="2"/>
        <v>4.26</v>
      </c>
      <c r="K957" s="15" t="str">
        <f t="shared" si="3"/>
        <v>Media</v>
      </c>
    </row>
    <row r="958" ht="14.25" customHeight="1">
      <c r="A958" s="6" t="s">
        <v>1798</v>
      </c>
      <c r="B958" s="9" t="s">
        <v>1228</v>
      </c>
      <c r="C958" s="10">
        <v>1.0</v>
      </c>
      <c r="D958" s="10">
        <v>1.0</v>
      </c>
      <c r="E958" s="10">
        <v>2.0</v>
      </c>
      <c r="F958" s="10">
        <v>1.0</v>
      </c>
      <c r="G958" s="10">
        <v>1.0</v>
      </c>
      <c r="H958" s="12">
        <f t="shared" si="1"/>
        <v>1.24</v>
      </c>
      <c r="I958" s="13">
        <v>2.0</v>
      </c>
      <c r="J958" s="14">
        <f t="shared" si="2"/>
        <v>2.48</v>
      </c>
      <c r="K958" s="15" t="str">
        <f t="shared" si="3"/>
        <v>Baja</v>
      </c>
    </row>
    <row r="959" ht="14.25" customHeight="1">
      <c r="A959" s="6" t="s">
        <v>1798</v>
      </c>
      <c r="B959" s="9" t="s">
        <v>1233</v>
      </c>
      <c r="C959" s="10">
        <v>1.0</v>
      </c>
      <c r="D959" s="10">
        <v>1.0</v>
      </c>
      <c r="E959" s="10">
        <v>2.0</v>
      </c>
      <c r="F959" s="10">
        <v>1.0</v>
      </c>
      <c r="G959" s="10">
        <v>1.0</v>
      </c>
      <c r="H959" s="12">
        <f t="shared" si="1"/>
        <v>1.24</v>
      </c>
      <c r="I959" s="13">
        <v>3.0</v>
      </c>
      <c r="J959" s="14">
        <f t="shared" si="2"/>
        <v>3.72</v>
      </c>
      <c r="K959" s="15" t="str">
        <f t="shared" si="3"/>
        <v>Baja</v>
      </c>
    </row>
    <row r="960" ht="14.25" customHeight="1">
      <c r="A960" s="6" t="s">
        <v>1805</v>
      </c>
      <c r="B960" s="27" t="s">
        <v>1191</v>
      </c>
      <c r="C960" s="10">
        <v>1.0</v>
      </c>
      <c r="D960" s="10">
        <v>2.0</v>
      </c>
      <c r="E960" s="10">
        <v>2.0</v>
      </c>
      <c r="F960" s="10">
        <v>1.0</v>
      </c>
      <c r="G960" s="10">
        <v>1.0</v>
      </c>
      <c r="H960" s="12">
        <f t="shared" si="1"/>
        <v>1.42</v>
      </c>
      <c r="I960" s="13">
        <v>3.0</v>
      </c>
      <c r="J960" s="14">
        <f t="shared" si="2"/>
        <v>4.26</v>
      </c>
      <c r="K960" s="15" t="str">
        <f t="shared" si="3"/>
        <v>Media</v>
      </c>
    </row>
    <row r="961" ht="14.25" customHeight="1">
      <c r="A961" s="6" t="s">
        <v>1805</v>
      </c>
      <c r="B961" s="27" t="s">
        <v>1204</v>
      </c>
      <c r="C961" s="10">
        <v>1.0</v>
      </c>
      <c r="D961" s="10">
        <v>2.0</v>
      </c>
      <c r="E961" s="10">
        <v>2.0</v>
      </c>
      <c r="F961" s="10">
        <v>1.0</v>
      </c>
      <c r="G961" s="10">
        <v>1.0</v>
      </c>
      <c r="H961" s="12">
        <f t="shared" si="1"/>
        <v>1.42</v>
      </c>
      <c r="I961" s="13">
        <v>1.0</v>
      </c>
      <c r="J961" s="14">
        <f t="shared" si="2"/>
        <v>1.42</v>
      </c>
      <c r="K961" s="15" t="str">
        <f t="shared" si="3"/>
        <v>Baja</v>
      </c>
    </row>
    <row r="962" ht="14.25" customHeight="1">
      <c r="A962" s="6" t="s">
        <v>1805</v>
      </c>
      <c r="B962" s="27" t="s">
        <v>1228</v>
      </c>
      <c r="C962" s="10">
        <v>1.0</v>
      </c>
      <c r="D962" s="10">
        <v>1.0</v>
      </c>
      <c r="E962" s="10">
        <v>2.0</v>
      </c>
      <c r="F962" s="10">
        <v>1.0</v>
      </c>
      <c r="G962" s="10">
        <v>1.0</v>
      </c>
      <c r="H962" s="12">
        <f t="shared" si="1"/>
        <v>1.24</v>
      </c>
      <c r="I962" s="13">
        <v>2.0</v>
      </c>
      <c r="J962" s="14">
        <f t="shared" si="2"/>
        <v>2.48</v>
      </c>
      <c r="K962" s="15" t="str">
        <f t="shared" si="3"/>
        <v>Baja</v>
      </c>
    </row>
    <row r="963" ht="14.25" customHeight="1">
      <c r="A963" s="6" t="s">
        <v>1807</v>
      </c>
      <c r="B963" s="9" t="s">
        <v>1246</v>
      </c>
      <c r="C963" s="10">
        <v>3.0</v>
      </c>
      <c r="D963" s="10">
        <v>2.0</v>
      </c>
      <c r="E963" s="10">
        <v>3.0</v>
      </c>
      <c r="F963" s="10">
        <v>1.0</v>
      </c>
      <c r="G963" s="10">
        <v>1.0</v>
      </c>
      <c r="H963" s="12">
        <f t="shared" si="1"/>
        <v>2.428</v>
      </c>
      <c r="I963" s="13">
        <v>3.0</v>
      </c>
      <c r="J963" s="14">
        <f t="shared" si="2"/>
        <v>7.284</v>
      </c>
      <c r="K963" s="15" t="str">
        <f t="shared" si="3"/>
        <v>Media</v>
      </c>
    </row>
    <row r="964" ht="14.25" customHeight="1">
      <c r="A964" s="6" t="s">
        <v>1807</v>
      </c>
      <c r="B964" s="9" t="s">
        <v>1248</v>
      </c>
      <c r="C964" s="10">
        <v>3.0</v>
      </c>
      <c r="D964" s="10">
        <v>2.0</v>
      </c>
      <c r="E964" s="10">
        <v>2.0</v>
      </c>
      <c r="F964" s="10">
        <v>2.0</v>
      </c>
      <c r="G964" s="10">
        <v>1.0</v>
      </c>
      <c r="H964" s="12">
        <f t="shared" si="1"/>
        <v>2.284</v>
      </c>
      <c r="I964" s="13">
        <v>2.0</v>
      </c>
      <c r="J964" s="14">
        <f t="shared" si="2"/>
        <v>4.568</v>
      </c>
      <c r="K964" s="15" t="str">
        <f t="shared" si="3"/>
        <v>Media</v>
      </c>
    </row>
    <row r="965" ht="14.25" customHeight="1">
      <c r="A965" s="6" t="s">
        <v>1807</v>
      </c>
      <c r="B965" s="9" t="s">
        <v>1255</v>
      </c>
      <c r="C965" s="10">
        <v>2.0</v>
      </c>
      <c r="D965" s="10">
        <v>1.0</v>
      </c>
      <c r="E965" s="10">
        <v>2.0</v>
      </c>
      <c r="F965" s="10">
        <v>1.0</v>
      </c>
      <c r="G965" s="10">
        <v>1.0</v>
      </c>
      <c r="H965" s="12">
        <f t="shared" si="1"/>
        <v>1.624</v>
      </c>
      <c r="I965" s="13">
        <v>2.0</v>
      </c>
      <c r="J965" s="14">
        <f t="shared" si="2"/>
        <v>3.248</v>
      </c>
      <c r="K965" s="15" t="str">
        <f t="shared" si="3"/>
        <v>Baja</v>
      </c>
    </row>
    <row r="966" ht="14.25" customHeight="1">
      <c r="A966" s="6" t="s">
        <v>1807</v>
      </c>
      <c r="B966" s="9" t="s">
        <v>1259</v>
      </c>
      <c r="C966" s="10">
        <v>2.0</v>
      </c>
      <c r="D966" s="10">
        <v>1.0</v>
      </c>
      <c r="E966" s="10">
        <v>2.0</v>
      </c>
      <c r="F966" s="10">
        <v>2.0</v>
      </c>
      <c r="G966" s="10">
        <v>1.0</v>
      </c>
      <c r="H966" s="12">
        <f t="shared" si="1"/>
        <v>1.72</v>
      </c>
      <c r="I966" s="13">
        <v>2.0</v>
      </c>
      <c r="J966" s="14">
        <f t="shared" si="2"/>
        <v>3.44</v>
      </c>
      <c r="K966" s="15" t="str">
        <f t="shared" si="3"/>
        <v>Baja</v>
      </c>
    </row>
    <row r="967" ht="14.25" customHeight="1">
      <c r="A967" s="6" t="s">
        <v>1807</v>
      </c>
      <c r="B967" s="9" t="s">
        <v>1265</v>
      </c>
      <c r="C967" s="10">
        <v>2.0</v>
      </c>
      <c r="D967" s="10">
        <v>1.0</v>
      </c>
      <c r="E967" s="10">
        <v>2.0</v>
      </c>
      <c r="F967" s="10">
        <v>1.0</v>
      </c>
      <c r="G967" s="10">
        <v>1.0</v>
      </c>
      <c r="H967" s="12">
        <f t="shared" si="1"/>
        <v>1.624</v>
      </c>
      <c r="I967" s="13">
        <v>3.0</v>
      </c>
      <c r="J967" s="14">
        <f t="shared" si="2"/>
        <v>4.872</v>
      </c>
      <c r="K967" s="15" t="str">
        <f t="shared" si="3"/>
        <v>Media</v>
      </c>
    </row>
    <row r="968" ht="14.25" customHeight="1">
      <c r="A968" s="6" t="s">
        <v>1807</v>
      </c>
      <c r="B968" s="9" t="s">
        <v>1275</v>
      </c>
      <c r="C968" s="10">
        <v>2.0</v>
      </c>
      <c r="D968" s="10">
        <v>1.0</v>
      </c>
      <c r="E968" s="10">
        <v>2.0</v>
      </c>
      <c r="F968" s="10">
        <v>1.0</v>
      </c>
      <c r="G968" s="10">
        <v>1.0</v>
      </c>
      <c r="H968" s="12">
        <f t="shared" si="1"/>
        <v>1.624</v>
      </c>
      <c r="I968" s="13">
        <v>2.0</v>
      </c>
      <c r="J968" s="14">
        <f t="shared" si="2"/>
        <v>3.248</v>
      </c>
      <c r="K968" s="15" t="str">
        <f t="shared" si="3"/>
        <v>Baja</v>
      </c>
    </row>
    <row r="969" ht="14.25" customHeight="1">
      <c r="A969" s="6" t="s">
        <v>1815</v>
      </c>
      <c r="B969" s="27" t="s">
        <v>3327</v>
      </c>
      <c r="C969" s="10">
        <v>3.0</v>
      </c>
      <c r="D969" s="10">
        <v>1.0</v>
      </c>
      <c r="E969" s="10">
        <v>3.0</v>
      </c>
      <c r="F969" s="10">
        <v>1.0</v>
      </c>
      <c r="G969" s="10">
        <v>1.0</v>
      </c>
      <c r="H969" s="12">
        <f t="shared" si="1"/>
        <v>2.248</v>
      </c>
      <c r="I969" s="13">
        <v>1.0</v>
      </c>
      <c r="J969" s="14">
        <f t="shared" si="2"/>
        <v>2.248</v>
      </c>
      <c r="K969" s="15" t="str">
        <f t="shared" si="3"/>
        <v>Baja</v>
      </c>
    </row>
    <row r="970" ht="14.25" customHeight="1">
      <c r="A970" s="6" t="s">
        <v>1815</v>
      </c>
      <c r="B970" s="27" t="s">
        <v>3328</v>
      </c>
      <c r="C970" s="10">
        <v>3.0</v>
      </c>
      <c r="D970" s="10">
        <v>1.0</v>
      </c>
      <c r="E970" s="10">
        <v>3.0</v>
      </c>
      <c r="F970" s="10">
        <v>2.0</v>
      </c>
      <c r="G970" s="10">
        <v>1.0</v>
      </c>
      <c r="H970" s="12">
        <f t="shared" si="1"/>
        <v>2.344</v>
      </c>
      <c r="I970" s="13">
        <v>2.0</v>
      </c>
      <c r="J970" s="14">
        <f t="shared" si="2"/>
        <v>4.688</v>
      </c>
      <c r="K970" s="15" t="str">
        <f t="shared" si="3"/>
        <v>Media</v>
      </c>
    </row>
    <row r="971" ht="14.25" customHeight="1">
      <c r="A971" s="6" t="s">
        <v>1815</v>
      </c>
      <c r="B971" s="27" t="s">
        <v>590</v>
      </c>
      <c r="C971" s="10">
        <v>2.0</v>
      </c>
      <c r="D971" s="10">
        <v>1.0</v>
      </c>
      <c r="E971" s="10">
        <v>3.0</v>
      </c>
      <c r="F971" s="10">
        <v>1.0</v>
      </c>
      <c r="G971" s="10">
        <v>1.0</v>
      </c>
      <c r="H971" s="12">
        <f t="shared" si="1"/>
        <v>1.864</v>
      </c>
      <c r="I971" s="13">
        <v>2.0</v>
      </c>
      <c r="J971" s="14">
        <f t="shared" si="2"/>
        <v>3.728</v>
      </c>
      <c r="K971" s="15" t="str">
        <f t="shared" si="3"/>
        <v>Baja</v>
      </c>
    </row>
    <row r="972" ht="14.25" customHeight="1">
      <c r="A972" s="6" t="s">
        <v>1821</v>
      </c>
      <c r="B972" s="9" t="s">
        <v>3331</v>
      </c>
      <c r="C972" s="10">
        <v>3.0</v>
      </c>
      <c r="D972" s="10">
        <v>2.0</v>
      </c>
      <c r="E972" s="10">
        <v>3.0</v>
      </c>
      <c r="F972" s="10">
        <v>1.0</v>
      </c>
      <c r="G972" s="10">
        <v>1.0</v>
      </c>
      <c r="H972" s="12">
        <f t="shared" si="1"/>
        <v>2.428</v>
      </c>
      <c r="I972" s="13">
        <v>3.0</v>
      </c>
      <c r="J972" s="14">
        <f t="shared" si="2"/>
        <v>7.284</v>
      </c>
      <c r="K972" s="15" t="str">
        <f t="shared" si="3"/>
        <v>Media</v>
      </c>
    </row>
    <row r="973" ht="14.25" customHeight="1">
      <c r="A973" s="6" t="s">
        <v>1821</v>
      </c>
      <c r="B973" s="9" t="s">
        <v>3332</v>
      </c>
      <c r="C973" s="10">
        <v>3.0</v>
      </c>
      <c r="D973" s="10">
        <v>2.0</v>
      </c>
      <c r="E973" s="10">
        <v>2.0</v>
      </c>
      <c r="F973" s="10">
        <v>1.0</v>
      </c>
      <c r="G973" s="10">
        <v>1.0</v>
      </c>
      <c r="H973" s="12">
        <f t="shared" si="1"/>
        <v>2.188</v>
      </c>
      <c r="I973" s="13">
        <v>3.0</v>
      </c>
      <c r="J973" s="14">
        <f t="shared" si="2"/>
        <v>6.564</v>
      </c>
      <c r="K973" s="15" t="str">
        <f t="shared" si="3"/>
        <v>Media</v>
      </c>
    </row>
    <row r="974" ht="14.25" customHeight="1">
      <c r="A974" s="6" t="s">
        <v>1821</v>
      </c>
      <c r="B974" s="9" t="s">
        <v>3333</v>
      </c>
      <c r="C974" s="10">
        <v>2.0</v>
      </c>
      <c r="D974" s="10">
        <v>1.0</v>
      </c>
      <c r="E974" s="10">
        <v>2.0</v>
      </c>
      <c r="F974" s="10">
        <v>1.0</v>
      </c>
      <c r="G974" s="10">
        <v>1.0</v>
      </c>
      <c r="H974" s="12">
        <f t="shared" si="1"/>
        <v>1.624</v>
      </c>
      <c r="I974" s="13">
        <v>2.0</v>
      </c>
      <c r="J974" s="14">
        <f t="shared" si="2"/>
        <v>3.248</v>
      </c>
      <c r="K974" s="15" t="str">
        <f t="shared" si="3"/>
        <v>Baja</v>
      </c>
    </row>
    <row r="975" ht="14.25" customHeight="1">
      <c r="A975" s="6" t="s">
        <v>1821</v>
      </c>
      <c r="B975" s="9" t="s">
        <v>1259</v>
      </c>
      <c r="C975" s="10">
        <v>2.0</v>
      </c>
      <c r="D975" s="10">
        <v>1.0</v>
      </c>
      <c r="E975" s="10">
        <v>2.0</v>
      </c>
      <c r="F975" s="10">
        <v>2.0</v>
      </c>
      <c r="G975" s="10">
        <v>1.0</v>
      </c>
      <c r="H975" s="12">
        <f t="shared" si="1"/>
        <v>1.72</v>
      </c>
      <c r="I975" s="13">
        <v>2.0</v>
      </c>
      <c r="J975" s="14">
        <f t="shared" si="2"/>
        <v>3.44</v>
      </c>
      <c r="K975" s="15" t="str">
        <f t="shared" si="3"/>
        <v>Baja</v>
      </c>
    </row>
    <row r="976" ht="14.25" customHeight="1">
      <c r="A976" s="6" t="s">
        <v>1821</v>
      </c>
      <c r="B976" s="9" t="s">
        <v>3337</v>
      </c>
      <c r="C976" s="10">
        <v>2.0</v>
      </c>
      <c r="D976" s="10">
        <v>1.0</v>
      </c>
      <c r="E976" s="10">
        <v>2.0</v>
      </c>
      <c r="F976" s="10">
        <v>1.0</v>
      </c>
      <c r="G976" s="10">
        <v>1.0</v>
      </c>
      <c r="H976" s="12">
        <f t="shared" si="1"/>
        <v>1.624</v>
      </c>
      <c r="I976" s="13">
        <v>3.0</v>
      </c>
      <c r="J976" s="14">
        <f t="shared" si="2"/>
        <v>4.872</v>
      </c>
      <c r="K976" s="15" t="str">
        <f t="shared" si="3"/>
        <v>Media</v>
      </c>
    </row>
    <row r="977" ht="14.25" customHeight="1">
      <c r="A977" s="6" t="s">
        <v>1829</v>
      </c>
      <c r="B977" s="27" t="s">
        <v>3338</v>
      </c>
      <c r="C977" s="10">
        <v>3.0</v>
      </c>
      <c r="D977" s="10">
        <v>2.0</v>
      </c>
      <c r="E977" s="10">
        <v>3.0</v>
      </c>
      <c r="F977" s="10">
        <v>2.0</v>
      </c>
      <c r="G977" s="10">
        <v>1.0</v>
      </c>
      <c r="H977" s="12">
        <f t="shared" si="1"/>
        <v>2.524</v>
      </c>
      <c r="I977" s="13">
        <v>3.0</v>
      </c>
      <c r="J977" s="14">
        <f t="shared" si="2"/>
        <v>7.572</v>
      </c>
      <c r="K977" s="15" t="str">
        <f t="shared" si="3"/>
        <v>Media</v>
      </c>
    </row>
    <row r="978" ht="14.25" customHeight="1">
      <c r="A978" s="6" t="s">
        <v>1829</v>
      </c>
      <c r="B978" s="27" t="s">
        <v>3339</v>
      </c>
      <c r="C978" s="10">
        <v>3.0</v>
      </c>
      <c r="D978" s="10">
        <v>2.0</v>
      </c>
      <c r="E978" s="10">
        <v>2.0</v>
      </c>
      <c r="F978" s="10">
        <v>1.0</v>
      </c>
      <c r="G978" s="10">
        <v>1.0</v>
      </c>
      <c r="H978" s="12">
        <f t="shared" si="1"/>
        <v>2.188</v>
      </c>
      <c r="I978" s="13">
        <v>2.0</v>
      </c>
      <c r="J978" s="14">
        <f t="shared" si="2"/>
        <v>4.376</v>
      </c>
      <c r="K978" s="15" t="str">
        <f t="shared" si="3"/>
        <v>Media</v>
      </c>
    </row>
    <row r="979" ht="14.25" customHeight="1">
      <c r="A979" s="6" t="s">
        <v>1829</v>
      </c>
      <c r="B979" s="27" t="s">
        <v>3342</v>
      </c>
      <c r="C979" s="10">
        <v>2.0</v>
      </c>
      <c r="D979" s="10">
        <v>1.0</v>
      </c>
      <c r="E979" s="10">
        <v>2.0</v>
      </c>
      <c r="F979" s="10">
        <v>1.0</v>
      </c>
      <c r="G979" s="10">
        <v>1.0</v>
      </c>
      <c r="H979" s="12">
        <f t="shared" si="1"/>
        <v>1.624</v>
      </c>
      <c r="I979" s="13">
        <v>2.0</v>
      </c>
      <c r="J979" s="14">
        <f t="shared" si="2"/>
        <v>3.248</v>
      </c>
      <c r="K979" s="15" t="str">
        <f t="shared" si="3"/>
        <v>Baja</v>
      </c>
    </row>
    <row r="980" ht="14.25" customHeight="1">
      <c r="A980" s="6" t="s">
        <v>1829</v>
      </c>
      <c r="B980" s="27" t="s">
        <v>3343</v>
      </c>
      <c r="C980" s="10">
        <v>2.0</v>
      </c>
      <c r="D980" s="10">
        <v>1.0</v>
      </c>
      <c r="E980" s="10">
        <v>2.0</v>
      </c>
      <c r="F980" s="10">
        <v>2.0</v>
      </c>
      <c r="G980" s="10">
        <v>1.0</v>
      </c>
      <c r="H980" s="12">
        <f t="shared" si="1"/>
        <v>1.72</v>
      </c>
      <c r="I980" s="13">
        <v>3.0</v>
      </c>
      <c r="J980" s="14">
        <f t="shared" si="2"/>
        <v>5.16</v>
      </c>
      <c r="K980" s="15" t="str">
        <f t="shared" si="3"/>
        <v>Media</v>
      </c>
    </row>
    <row r="981" ht="14.25" customHeight="1">
      <c r="A981" s="6" t="s">
        <v>1834</v>
      </c>
      <c r="B981" s="9" t="s">
        <v>1744</v>
      </c>
      <c r="C981" s="10">
        <v>3.0</v>
      </c>
      <c r="D981" s="10">
        <v>2.0</v>
      </c>
      <c r="E981" s="10">
        <v>3.0</v>
      </c>
      <c r="F981" s="10">
        <v>1.0</v>
      </c>
      <c r="G981" s="10">
        <v>1.0</v>
      </c>
      <c r="H981" s="12">
        <f t="shared" si="1"/>
        <v>2.428</v>
      </c>
      <c r="I981" s="13">
        <v>1.0</v>
      </c>
      <c r="J981" s="14">
        <f t="shared" si="2"/>
        <v>2.428</v>
      </c>
      <c r="K981" s="15" t="str">
        <f t="shared" si="3"/>
        <v>Baja</v>
      </c>
    </row>
    <row r="982" ht="14.25" customHeight="1">
      <c r="A982" s="6" t="s">
        <v>1834</v>
      </c>
      <c r="B982" s="9" t="s">
        <v>1964</v>
      </c>
      <c r="C982" s="10">
        <v>2.0</v>
      </c>
      <c r="D982" s="10">
        <v>1.0</v>
      </c>
      <c r="E982" s="10">
        <v>3.0</v>
      </c>
      <c r="F982" s="10">
        <v>1.0</v>
      </c>
      <c r="G982" s="10">
        <v>1.0</v>
      </c>
      <c r="H982" s="12">
        <f t="shared" si="1"/>
        <v>1.864</v>
      </c>
      <c r="I982" s="13">
        <v>2.0</v>
      </c>
      <c r="J982" s="14">
        <f t="shared" si="2"/>
        <v>3.728</v>
      </c>
      <c r="K982" s="15" t="str">
        <f t="shared" si="3"/>
        <v>Baja</v>
      </c>
    </row>
    <row r="983" ht="14.25" customHeight="1">
      <c r="A983" s="6" t="s">
        <v>1834</v>
      </c>
      <c r="B983" s="9" t="s">
        <v>1749</v>
      </c>
      <c r="C983" s="10">
        <v>2.0</v>
      </c>
      <c r="D983" s="10">
        <v>1.0</v>
      </c>
      <c r="E983" s="10">
        <v>2.0</v>
      </c>
      <c r="F983" s="10">
        <v>1.0</v>
      </c>
      <c r="G983" s="10">
        <v>1.0</v>
      </c>
      <c r="H983" s="12">
        <f t="shared" si="1"/>
        <v>1.624</v>
      </c>
      <c r="I983" s="13">
        <v>2.0</v>
      </c>
      <c r="J983" s="14">
        <f t="shared" si="2"/>
        <v>3.248</v>
      </c>
      <c r="K983" s="15" t="str">
        <f t="shared" si="3"/>
        <v>Baja</v>
      </c>
    </row>
    <row r="984" ht="14.25" customHeight="1">
      <c r="A984" s="6" t="s">
        <v>1838</v>
      </c>
      <c r="B984" s="27" t="s">
        <v>1339</v>
      </c>
      <c r="C984" s="10">
        <v>1.0</v>
      </c>
      <c r="D984" s="10">
        <v>1.0</v>
      </c>
      <c r="E984" s="10">
        <v>3.0</v>
      </c>
      <c r="F984" s="10">
        <v>2.0</v>
      </c>
      <c r="G984" s="10">
        <v>1.0</v>
      </c>
      <c r="H984" s="12">
        <f t="shared" si="1"/>
        <v>1.576</v>
      </c>
      <c r="I984" s="13">
        <v>3.0</v>
      </c>
      <c r="J984" s="14">
        <f t="shared" si="2"/>
        <v>4.728</v>
      </c>
      <c r="K984" s="15" t="str">
        <f t="shared" si="3"/>
        <v>Media</v>
      </c>
    </row>
    <row r="985" ht="14.25" customHeight="1">
      <c r="A985" s="6" t="s">
        <v>1838</v>
      </c>
      <c r="B985" s="27" t="s">
        <v>1786</v>
      </c>
      <c r="C985" s="10">
        <v>1.0</v>
      </c>
      <c r="D985" s="10">
        <v>1.0</v>
      </c>
      <c r="E985" s="10">
        <v>2.0</v>
      </c>
      <c r="F985" s="10">
        <v>1.0</v>
      </c>
      <c r="G985" s="10">
        <v>1.0</v>
      </c>
      <c r="H985" s="12">
        <f t="shared" si="1"/>
        <v>1.24</v>
      </c>
      <c r="I985" s="13">
        <v>3.0</v>
      </c>
      <c r="J985" s="14">
        <f t="shared" si="2"/>
        <v>3.72</v>
      </c>
      <c r="K985" s="15" t="str">
        <f t="shared" si="3"/>
        <v>Baja</v>
      </c>
    </row>
    <row r="986" ht="14.25" customHeight="1">
      <c r="A986" s="6" t="s">
        <v>1838</v>
      </c>
      <c r="B986" s="27" t="s">
        <v>1350</v>
      </c>
      <c r="C986" s="10">
        <v>1.0</v>
      </c>
      <c r="D986" s="10">
        <v>1.0</v>
      </c>
      <c r="E986" s="10">
        <v>2.0</v>
      </c>
      <c r="F986" s="10">
        <v>1.0</v>
      </c>
      <c r="G986" s="10">
        <v>1.0</v>
      </c>
      <c r="H986" s="12">
        <f t="shared" si="1"/>
        <v>1.24</v>
      </c>
      <c r="I986" s="13">
        <v>3.0</v>
      </c>
      <c r="J986" s="14">
        <f t="shared" si="2"/>
        <v>3.72</v>
      </c>
      <c r="K986" s="15" t="str">
        <f t="shared" si="3"/>
        <v>Baja</v>
      </c>
    </row>
    <row r="987" ht="14.25" customHeight="1">
      <c r="A987" s="6" t="s">
        <v>1838</v>
      </c>
      <c r="B987" s="27" t="s">
        <v>1794</v>
      </c>
      <c r="C987" s="10">
        <v>1.0</v>
      </c>
      <c r="D987" s="10">
        <v>1.0</v>
      </c>
      <c r="E987" s="10">
        <v>3.0</v>
      </c>
      <c r="F987" s="10">
        <v>3.0</v>
      </c>
      <c r="G987" s="10">
        <v>1.0</v>
      </c>
      <c r="H987" s="12">
        <f t="shared" si="1"/>
        <v>1.672</v>
      </c>
      <c r="I987" s="13">
        <v>2.0</v>
      </c>
      <c r="J987" s="14">
        <f t="shared" si="2"/>
        <v>3.344</v>
      </c>
      <c r="K987" s="15" t="str">
        <f t="shared" si="3"/>
        <v>Baja</v>
      </c>
    </row>
    <row r="988" ht="14.25" customHeight="1">
      <c r="A988" s="6" t="s">
        <v>1838</v>
      </c>
      <c r="B988" s="27" t="s">
        <v>2376</v>
      </c>
      <c r="C988" s="10">
        <v>1.0</v>
      </c>
      <c r="D988" s="10">
        <v>1.0</v>
      </c>
      <c r="E988" s="10">
        <v>2.0</v>
      </c>
      <c r="F988" s="10">
        <v>1.0</v>
      </c>
      <c r="G988" s="10">
        <v>1.0</v>
      </c>
      <c r="H988" s="12">
        <f t="shared" si="1"/>
        <v>1.24</v>
      </c>
      <c r="I988" s="13">
        <v>3.0</v>
      </c>
      <c r="J988" s="14">
        <f t="shared" si="2"/>
        <v>3.72</v>
      </c>
      <c r="K988" s="15" t="str">
        <f t="shared" si="3"/>
        <v>Baja</v>
      </c>
    </row>
    <row r="989" ht="14.25" customHeight="1">
      <c r="A989" s="6" t="s">
        <v>1846</v>
      </c>
      <c r="B989" s="9" t="s">
        <v>2780</v>
      </c>
      <c r="C989" s="10">
        <v>3.0</v>
      </c>
      <c r="D989" s="10">
        <v>1.0</v>
      </c>
      <c r="E989" s="10">
        <v>3.0</v>
      </c>
      <c r="F989" s="10">
        <v>2.0</v>
      </c>
      <c r="G989" s="10">
        <v>1.0</v>
      </c>
      <c r="H989" s="12">
        <f t="shared" si="1"/>
        <v>2.344</v>
      </c>
      <c r="I989" s="13">
        <v>1.0</v>
      </c>
      <c r="J989" s="14">
        <f t="shared" si="2"/>
        <v>2.344</v>
      </c>
      <c r="K989" s="15" t="str">
        <f t="shared" si="3"/>
        <v>Baja</v>
      </c>
    </row>
    <row r="990" ht="14.25" customHeight="1">
      <c r="A990" s="6" t="s">
        <v>1846</v>
      </c>
      <c r="B990" s="9" t="s">
        <v>3427</v>
      </c>
      <c r="C990" s="10">
        <v>3.0</v>
      </c>
      <c r="D990" s="10">
        <v>1.0</v>
      </c>
      <c r="E990" s="10">
        <v>3.0</v>
      </c>
      <c r="F990" s="10">
        <v>1.0</v>
      </c>
      <c r="G990" s="10">
        <v>1.0</v>
      </c>
      <c r="H990" s="12">
        <f t="shared" si="1"/>
        <v>2.248</v>
      </c>
      <c r="I990" s="13">
        <v>2.0</v>
      </c>
      <c r="J990" s="14">
        <f t="shared" si="2"/>
        <v>4.496</v>
      </c>
      <c r="K990" s="15" t="str">
        <f t="shared" si="3"/>
        <v>Media</v>
      </c>
    </row>
    <row r="991" ht="14.25" customHeight="1">
      <c r="A991" s="6" t="s">
        <v>1846</v>
      </c>
      <c r="B991" s="9" t="s">
        <v>3428</v>
      </c>
      <c r="C991" s="10">
        <v>2.0</v>
      </c>
      <c r="D991" s="10">
        <v>1.0</v>
      </c>
      <c r="E991" s="10">
        <v>3.0</v>
      </c>
      <c r="F991" s="10">
        <v>2.0</v>
      </c>
      <c r="G991" s="10">
        <v>1.0</v>
      </c>
      <c r="H991" s="12">
        <f t="shared" si="1"/>
        <v>1.96</v>
      </c>
      <c r="I991" s="13">
        <v>2.0</v>
      </c>
      <c r="J991" s="14">
        <f t="shared" si="2"/>
        <v>3.92</v>
      </c>
      <c r="K991" s="15" t="str">
        <f t="shared" si="3"/>
        <v>Baja</v>
      </c>
    </row>
    <row r="992" ht="14.25" customHeight="1">
      <c r="A992" s="6" t="s">
        <v>1852</v>
      </c>
      <c r="B992" s="27" t="s">
        <v>1609</v>
      </c>
      <c r="C992" s="10">
        <v>3.0</v>
      </c>
      <c r="D992" s="10">
        <v>3.0</v>
      </c>
      <c r="E992" s="10">
        <v>3.0</v>
      </c>
      <c r="F992" s="10">
        <v>3.0</v>
      </c>
      <c r="G992" s="10">
        <v>2.0</v>
      </c>
      <c r="H992" s="12">
        <f t="shared" si="1"/>
        <v>2.9</v>
      </c>
      <c r="I992" s="13">
        <v>1.0</v>
      </c>
      <c r="J992" s="14">
        <f t="shared" si="2"/>
        <v>2.9</v>
      </c>
      <c r="K992" s="15" t="str">
        <f t="shared" si="3"/>
        <v>Baja</v>
      </c>
    </row>
    <row r="993" ht="14.25" customHeight="1">
      <c r="A993" s="6" t="s">
        <v>1852</v>
      </c>
      <c r="B993" s="27" t="s">
        <v>1615</v>
      </c>
      <c r="C993" s="10">
        <v>3.0</v>
      </c>
      <c r="D993" s="10">
        <v>3.0</v>
      </c>
      <c r="E993" s="10">
        <v>3.0</v>
      </c>
      <c r="F993" s="10">
        <v>2.0</v>
      </c>
      <c r="G993" s="10">
        <v>2.0</v>
      </c>
      <c r="H993" s="12">
        <f t="shared" si="1"/>
        <v>2.804</v>
      </c>
      <c r="I993" s="13">
        <v>1.0</v>
      </c>
      <c r="J993" s="14">
        <f t="shared" si="2"/>
        <v>2.804</v>
      </c>
      <c r="K993" s="15" t="str">
        <f t="shared" si="3"/>
        <v>Baja</v>
      </c>
    </row>
    <row r="994" ht="14.25" customHeight="1">
      <c r="A994" s="6" t="s">
        <v>1852</v>
      </c>
      <c r="B994" s="27" t="s">
        <v>1622</v>
      </c>
      <c r="C994" s="10">
        <v>2.0</v>
      </c>
      <c r="D994" s="10">
        <v>2.0</v>
      </c>
      <c r="E994" s="10">
        <v>3.0</v>
      </c>
      <c r="F994" s="10">
        <v>3.0</v>
      </c>
      <c r="G994" s="10">
        <v>1.0</v>
      </c>
      <c r="H994" s="12">
        <f t="shared" si="1"/>
        <v>2.236</v>
      </c>
      <c r="I994" s="13">
        <v>1.0</v>
      </c>
      <c r="J994" s="14">
        <f t="shared" si="2"/>
        <v>2.236</v>
      </c>
      <c r="K994" s="15" t="str">
        <f t="shared" si="3"/>
        <v>Baja</v>
      </c>
    </row>
    <row r="995" ht="14.25" customHeight="1">
      <c r="A995" s="6" t="s">
        <v>1852</v>
      </c>
      <c r="B995" s="27" t="s">
        <v>1625</v>
      </c>
      <c r="C995" s="10">
        <v>2.0</v>
      </c>
      <c r="D995" s="10">
        <v>2.0</v>
      </c>
      <c r="E995" s="10">
        <v>3.0</v>
      </c>
      <c r="F995" s="10">
        <v>2.0</v>
      </c>
      <c r="G995" s="10">
        <v>1.0</v>
      </c>
      <c r="H995" s="12">
        <f t="shared" si="1"/>
        <v>2.14</v>
      </c>
      <c r="I995" s="13">
        <v>2.0</v>
      </c>
      <c r="J995" s="14">
        <f t="shared" si="2"/>
        <v>4.28</v>
      </c>
      <c r="K995" s="15" t="str">
        <f t="shared" si="3"/>
        <v>Media</v>
      </c>
    </row>
    <row r="996" ht="14.25" customHeight="1">
      <c r="A996" s="6" t="s">
        <v>1857</v>
      </c>
      <c r="B996" s="9" t="s">
        <v>1127</v>
      </c>
      <c r="C996" s="10">
        <v>3.0</v>
      </c>
      <c r="D996" s="10">
        <v>3.0</v>
      </c>
      <c r="E996" s="10">
        <v>3.0</v>
      </c>
      <c r="F996" s="10">
        <v>3.0</v>
      </c>
      <c r="G996" s="10">
        <v>2.0</v>
      </c>
      <c r="H996" s="12">
        <f t="shared" si="1"/>
        <v>2.9</v>
      </c>
      <c r="I996" s="13">
        <v>1.0</v>
      </c>
      <c r="J996" s="14">
        <f t="shared" si="2"/>
        <v>2.9</v>
      </c>
      <c r="K996" s="15" t="str">
        <f t="shared" si="3"/>
        <v>Baja</v>
      </c>
    </row>
    <row r="997" ht="14.25" customHeight="1">
      <c r="A997" s="6" t="s">
        <v>1857</v>
      </c>
      <c r="B997" s="9" t="s">
        <v>1134</v>
      </c>
      <c r="C997" s="10">
        <v>2.0</v>
      </c>
      <c r="D997" s="10">
        <v>2.0</v>
      </c>
      <c r="E997" s="10">
        <v>3.0</v>
      </c>
      <c r="F997" s="10">
        <v>3.0</v>
      </c>
      <c r="G997" s="10">
        <v>1.0</v>
      </c>
      <c r="H997" s="12">
        <f t="shared" si="1"/>
        <v>2.236</v>
      </c>
      <c r="I997" s="13">
        <v>3.0</v>
      </c>
      <c r="J997" s="14">
        <f t="shared" si="2"/>
        <v>6.708</v>
      </c>
      <c r="K997" s="15" t="str">
        <f t="shared" si="3"/>
        <v>Media</v>
      </c>
    </row>
    <row r="998" ht="14.25" customHeight="1">
      <c r="A998" s="6" t="s">
        <v>1857</v>
      </c>
      <c r="B998" s="9" t="s">
        <v>1141</v>
      </c>
      <c r="C998" s="10">
        <v>2.0</v>
      </c>
      <c r="D998" s="10">
        <v>2.0</v>
      </c>
      <c r="E998" s="10">
        <v>2.0</v>
      </c>
      <c r="F998" s="10">
        <v>1.0</v>
      </c>
      <c r="G998" s="10">
        <v>1.0</v>
      </c>
      <c r="H998" s="12">
        <f t="shared" si="1"/>
        <v>1.804</v>
      </c>
      <c r="I998" s="13">
        <v>3.0</v>
      </c>
      <c r="J998" s="14">
        <f t="shared" si="2"/>
        <v>5.412</v>
      </c>
      <c r="K998" s="15" t="str">
        <f t="shared" si="3"/>
        <v>Media</v>
      </c>
    </row>
    <row r="999" ht="14.25" customHeight="1">
      <c r="A999" s="6" t="s">
        <v>1857</v>
      </c>
      <c r="B999" s="9" t="s">
        <v>1147</v>
      </c>
      <c r="C999" s="10">
        <v>2.0</v>
      </c>
      <c r="D999" s="10">
        <v>2.0</v>
      </c>
      <c r="E999" s="10">
        <v>3.0</v>
      </c>
      <c r="F999" s="10">
        <v>3.0</v>
      </c>
      <c r="G999" s="10">
        <v>1.0</v>
      </c>
      <c r="H999" s="12">
        <f t="shared" si="1"/>
        <v>2.236</v>
      </c>
      <c r="I999" s="13">
        <v>3.0</v>
      </c>
      <c r="J999" s="14">
        <f t="shared" si="2"/>
        <v>6.708</v>
      </c>
      <c r="K999" s="15" t="str">
        <f t="shared" si="3"/>
        <v>Media</v>
      </c>
    </row>
    <row r="1000" ht="14.25" customHeight="1">
      <c r="A1000" s="6" t="s">
        <v>1859</v>
      </c>
      <c r="B1000" s="27" t="s">
        <v>1644</v>
      </c>
      <c r="C1000" s="10">
        <v>3.0</v>
      </c>
      <c r="D1000" s="10">
        <v>3.0</v>
      </c>
      <c r="E1000" s="10">
        <v>3.0</v>
      </c>
      <c r="F1000" s="10">
        <v>2.0</v>
      </c>
      <c r="G1000" s="10">
        <v>2.0</v>
      </c>
      <c r="H1000" s="12">
        <f t="shared" si="1"/>
        <v>2.804</v>
      </c>
      <c r="I1000" s="13">
        <v>1.0</v>
      </c>
      <c r="J1000" s="14">
        <f t="shared" si="2"/>
        <v>2.804</v>
      </c>
      <c r="K1000" s="15" t="str">
        <f t="shared" si="3"/>
        <v>Baja</v>
      </c>
    </row>
    <row r="1001" ht="14.25" customHeight="1">
      <c r="A1001" s="6" t="s">
        <v>1859</v>
      </c>
      <c r="B1001" s="27" t="s">
        <v>1650</v>
      </c>
      <c r="C1001" s="10">
        <v>2.0</v>
      </c>
      <c r="D1001" s="10">
        <v>2.0</v>
      </c>
      <c r="E1001" s="10">
        <v>3.0</v>
      </c>
      <c r="F1001" s="10">
        <v>2.0</v>
      </c>
      <c r="G1001" s="10">
        <v>1.0</v>
      </c>
      <c r="H1001" s="12">
        <f t="shared" si="1"/>
        <v>2.14</v>
      </c>
      <c r="I1001" s="13">
        <v>1.0</v>
      </c>
      <c r="J1001" s="14">
        <f t="shared" si="2"/>
        <v>2.14</v>
      </c>
      <c r="K1001" s="15" t="str">
        <f t="shared" si="3"/>
        <v>Baja</v>
      </c>
    </row>
    <row r="1002" ht="14.25" customHeight="1">
      <c r="A1002" s="6" t="s">
        <v>1859</v>
      </c>
      <c r="B1002" s="27" t="s">
        <v>1655</v>
      </c>
      <c r="C1002" s="10">
        <v>2.0</v>
      </c>
      <c r="D1002" s="10">
        <v>2.0</v>
      </c>
      <c r="E1002" s="10">
        <v>3.0</v>
      </c>
      <c r="F1002" s="10">
        <v>3.0</v>
      </c>
      <c r="G1002" s="10">
        <v>1.0</v>
      </c>
      <c r="H1002" s="12">
        <f t="shared" si="1"/>
        <v>2.236</v>
      </c>
      <c r="I1002" s="13">
        <v>1.0</v>
      </c>
      <c r="J1002" s="14">
        <f t="shared" si="2"/>
        <v>2.236</v>
      </c>
      <c r="K1002" s="15" t="str">
        <f t="shared" si="3"/>
        <v>Baja</v>
      </c>
    </row>
    <row r="1003" ht="14.25" customHeight="1">
      <c r="A1003" s="6" t="s">
        <v>1862</v>
      </c>
      <c r="B1003" s="9" t="s">
        <v>1127</v>
      </c>
      <c r="C1003" s="10">
        <v>3.0</v>
      </c>
      <c r="D1003" s="10">
        <v>3.0</v>
      </c>
      <c r="E1003" s="10">
        <v>3.0</v>
      </c>
      <c r="F1003" s="10">
        <v>3.0</v>
      </c>
      <c r="G1003" s="10">
        <v>2.0</v>
      </c>
      <c r="H1003" s="12">
        <f t="shared" si="1"/>
        <v>2.9</v>
      </c>
      <c r="I1003" s="13">
        <v>1.0</v>
      </c>
      <c r="J1003" s="14">
        <f t="shared" si="2"/>
        <v>2.9</v>
      </c>
      <c r="K1003" s="15" t="str">
        <f t="shared" si="3"/>
        <v>Baja</v>
      </c>
    </row>
    <row r="1004" ht="14.25" customHeight="1">
      <c r="A1004" s="6" t="s">
        <v>1862</v>
      </c>
      <c r="B1004" s="9" t="s">
        <v>3154</v>
      </c>
      <c r="C1004" s="10">
        <v>2.0</v>
      </c>
      <c r="D1004" s="10">
        <v>2.0</v>
      </c>
      <c r="E1004" s="10">
        <v>3.0</v>
      </c>
      <c r="F1004" s="10">
        <v>3.0</v>
      </c>
      <c r="G1004" s="10">
        <v>1.0</v>
      </c>
      <c r="H1004" s="12">
        <f t="shared" si="1"/>
        <v>2.236</v>
      </c>
      <c r="I1004" s="13">
        <v>3.0</v>
      </c>
      <c r="J1004" s="14">
        <f t="shared" si="2"/>
        <v>6.708</v>
      </c>
      <c r="K1004" s="15" t="str">
        <f t="shared" si="3"/>
        <v>Media</v>
      </c>
    </row>
    <row r="1005" ht="14.25" customHeight="1">
      <c r="A1005" s="6" t="s">
        <v>1862</v>
      </c>
      <c r="B1005" s="9" t="s">
        <v>1141</v>
      </c>
      <c r="C1005" s="10">
        <v>2.0</v>
      </c>
      <c r="D1005" s="10">
        <v>2.0</v>
      </c>
      <c r="E1005" s="10">
        <v>2.0</v>
      </c>
      <c r="F1005" s="10">
        <v>1.0</v>
      </c>
      <c r="G1005" s="10">
        <v>1.0</v>
      </c>
      <c r="H1005" s="12">
        <f t="shared" si="1"/>
        <v>1.804</v>
      </c>
      <c r="I1005" s="13">
        <v>3.0</v>
      </c>
      <c r="J1005" s="14">
        <f t="shared" si="2"/>
        <v>5.412</v>
      </c>
      <c r="K1005" s="15" t="str">
        <f t="shared" si="3"/>
        <v>Media</v>
      </c>
    </row>
    <row r="1006" ht="14.25" customHeight="1">
      <c r="A1006" s="6" t="s">
        <v>1864</v>
      </c>
      <c r="B1006" s="27" t="s">
        <v>3185</v>
      </c>
      <c r="C1006" s="10">
        <v>3.0</v>
      </c>
      <c r="D1006" s="10">
        <v>2.0</v>
      </c>
      <c r="E1006" s="10">
        <v>3.0</v>
      </c>
      <c r="F1006" s="10">
        <v>2.0</v>
      </c>
      <c r="G1006" s="10">
        <v>1.0</v>
      </c>
      <c r="H1006" s="12">
        <f t="shared" si="1"/>
        <v>2.524</v>
      </c>
      <c r="I1006" s="13">
        <v>3.0</v>
      </c>
      <c r="J1006" s="14">
        <f t="shared" si="2"/>
        <v>7.572</v>
      </c>
      <c r="K1006" s="15" t="str">
        <f t="shared" si="3"/>
        <v>Media</v>
      </c>
    </row>
    <row r="1007" ht="14.25" customHeight="1">
      <c r="A1007" s="6" t="s">
        <v>1864</v>
      </c>
      <c r="B1007" s="27" t="s">
        <v>3190</v>
      </c>
      <c r="C1007" s="10">
        <v>3.0</v>
      </c>
      <c r="D1007" s="10">
        <v>2.0</v>
      </c>
      <c r="E1007" s="10">
        <v>2.0</v>
      </c>
      <c r="F1007" s="10">
        <v>1.0</v>
      </c>
      <c r="G1007" s="10">
        <v>1.0</v>
      </c>
      <c r="H1007" s="12">
        <f t="shared" si="1"/>
        <v>2.188</v>
      </c>
      <c r="I1007" s="13">
        <v>2.0</v>
      </c>
      <c r="J1007" s="14">
        <f t="shared" si="2"/>
        <v>4.376</v>
      </c>
      <c r="K1007" s="15" t="str">
        <f t="shared" si="3"/>
        <v>Media</v>
      </c>
    </row>
    <row r="1008" ht="14.25" customHeight="1">
      <c r="A1008" s="6" t="s">
        <v>1864</v>
      </c>
      <c r="B1008" s="27" t="s">
        <v>3196</v>
      </c>
      <c r="C1008" s="10">
        <v>3.0</v>
      </c>
      <c r="D1008" s="10">
        <v>2.0</v>
      </c>
      <c r="E1008" s="10">
        <v>3.0</v>
      </c>
      <c r="F1008" s="10">
        <v>2.0</v>
      </c>
      <c r="G1008" s="10">
        <v>1.0</v>
      </c>
      <c r="H1008" s="12">
        <f t="shared" si="1"/>
        <v>2.524</v>
      </c>
      <c r="I1008" s="13">
        <v>2.0</v>
      </c>
      <c r="J1008" s="14">
        <f t="shared" si="2"/>
        <v>5.048</v>
      </c>
      <c r="K1008" s="15" t="str">
        <f t="shared" si="3"/>
        <v>Media</v>
      </c>
    </row>
    <row r="1009" ht="14.25" customHeight="1">
      <c r="A1009" s="6" t="s">
        <v>1864</v>
      </c>
      <c r="B1009" s="27" t="s">
        <v>3201</v>
      </c>
      <c r="C1009" s="10">
        <v>2.0</v>
      </c>
      <c r="D1009" s="10">
        <v>1.0</v>
      </c>
      <c r="E1009" s="10">
        <v>2.0</v>
      </c>
      <c r="F1009" s="10">
        <v>1.0</v>
      </c>
      <c r="G1009" s="10">
        <v>1.0</v>
      </c>
      <c r="H1009" s="12">
        <f t="shared" si="1"/>
        <v>1.624</v>
      </c>
      <c r="I1009" s="13">
        <v>1.0</v>
      </c>
      <c r="J1009" s="14">
        <f t="shared" si="2"/>
        <v>1.624</v>
      </c>
      <c r="K1009" s="15" t="str">
        <f t="shared" si="3"/>
        <v>Baja</v>
      </c>
    </row>
    <row r="1010" ht="14.25" customHeight="1">
      <c r="A1010" s="6" t="s">
        <v>1867</v>
      </c>
      <c r="B1010" s="9" t="s">
        <v>3210</v>
      </c>
      <c r="C1010" s="10">
        <v>2.0</v>
      </c>
      <c r="D1010" s="10">
        <v>1.0</v>
      </c>
      <c r="E1010" s="10">
        <v>3.0</v>
      </c>
      <c r="F1010" s="10">
        <v>2.0</v>
      </c>
      <c r="G1010" s="10">
        <v>1.0</v>
      </c>
      <c r="H1010" s="12">
        <f t="shared" si="1"/>
        <v>1.96</v>
      </c>
      <c r="I1010" s="13">
        <v>1.0</v>
      </c>
      <c r="J1010" s="14">
        <f t="shared" si="2"/>
        <v>1.96</v>
      </c>
      <c r="K1010" s="15" t="str">
        <f t="shared" si="3"/>
        <v>Baja</v>
      </c>
    </row>
    <row r="1011" ht="14.25" customHeight="1">
      <c r="A1011" s="6" t="s">
        <v>1867</v>
      </c>
      <c r="B1011" s="9" t="s">
        <v>3217</v>
      </c>
      <c r="C1011" s="10">
        <v>1.0</v>
      </c>
      <c r="D1011" s="10">
        <v>1.0</v>
      </c>
      <c r="E1011" s="10">
        <v>3.0</v>
      </c>
      <c r="F1011" s="10">
        <v>2.0</v>
      </c>
      <c r="G1011" s="10">
        <v>1.0</v>
      </c>
      <c r="H1011" s="12">
        <f t="shared" si="1"/>
        <v>1.576</v>
      </c>
      <c r="I1011" s="13">
        <v>1.0</v>
      </c>
      <c r="J1011" s="14">
        <f t="shared" si="2"/>
        <v>1.576</v>
      </c>
      <c r="K1011" s="15" t="str">
        <f t="shared" si="3"/>
        <v>Baja</v>
      </c>
    </row>
    <row r="1012" ht="14.25" customHeight="1">
      <c r="A1012" s="6" t="s">
        <v>1867</v>
      </c>
      <c r="B1012" s="9" t="s">
        <v>3225</v>
      </c>
      <c r="C1012" s="10">
        <v>1.0</v>
      </c>
      <c r="D1012" s="10">
        <v>1.0</v>
      </c>
      <c r="E1012" s="10">
        <v>3.0</v>
      </c>
      <c r="F1012" s="10">
        <v>2.0</v>
      </c>
      <c r="G1012" s="10">
        <v>1.0</v>
      </c>
      <c r="H1012" s="12">
        <f t="shared" si="1"/>
        <v>1.576</v>
      </c>
      <c r="I1012" s="13">
        <v>3.0</v>
      </c>
      <c r="J1012" s="14">
        <f t="shared" si="2"/>
        <v>4.728</v>
      </c>
      <c r="K1012" s="15" t="str">
        <f t="shared" si="3"/>
        <v>Media</v>
      </c>
    </row>
    <row r="1013" ht="14.25" customHeight="1">
      <c r="A1013" s="6" t="s">
        <v>1872</v>
      </c>
      <c r="B1013" s="27" t="s">
        <v>3619</v>
      </c>
      <c r="C1013" s="10">
        <v>1.0</v>
      </c>
      <c r="D1013" s="10">
        <v>2.0</v>
      </c>
      <c r="E1013" s="10">
        <v>3.0</v>
      </c>
      <c r="F1013" s="10">
        <v>2.0</v>
      </c>
      <c r="G1013" s="10">
        <v>1.0</v>
      </c>
      <c r="H1013" s="12">
        <f t="shared" si="1"/>
        <v>1.756</v>
      </c>
      <c r="I1013" s="13">
        <v>2.0</v>
      </c>
      <c r="J1013" s="14">
        <f t="shared" si="2"/>
        <v>3.512</v>
      </c>
      <c r="K1013" s="15" t="str">
        <f t="shared" si="3"/>
        <v>Baja</v>
      </c>
    </row>
    <row r="1014" ht="14.25" customHeight="1">
      <c r="A1014" s="6" t="s">
        <v>1872</v>
      </c>
      <c r="B1014" s="27" t="s">
        <v>3621</v>
      </c>
      <c r="C1014" s="10">
        <v>1.0</v>
      </c>
      <c r="D1014" s="10">
        <v>2.0</v>
      </c>
      <c r="E1014" s="10">
        <v>2.0</v>
      </c>
      <c r="F1014" s="10">
        <v>3.0</v>
      </c>
      <c r="G1014" s="10">
        <v>1.0</v>
      </c>
      <c r="H1014" s="12">
        <f t="shared" si="1"/>
        <v>1.612</v>
      </c>
      <c r="I1014" s="13">
        <v>2.0</v>
      </c>
      <c r="J1014" s="14">
        <f t="shared" si="2"/>
        <v>3.224</v>
      </c>
      <c r="K1014" s="15" t="str">
        <f t="shared" si="3"/>
        <v>Baja</v>
      </c>
    </row>
    <row r="1015" ht="14.25" customHeight="1">
      <c r="A1015" s="6" t="s">
        <v>1872</v>
      </c>
      <c r="B1015" s="27" t="s">
        <v>1794</v>
      </c>
      <c r="C1015" s="10">
        <v>1.0</v>
      </c>
      <c r="D1015" s="10">
        <v>1.0</v>
      </c>
      <c r="E1015" s="10">
        <v>3.0</v>
      </c>
      <c r="F1015" s="10">
        <v>3.0</v>
      </c>
      <c r="G1015" s="10">
        <v>1.0</v>
      </c>
      <c r="H1015" s="12">
        <f t="shared" si="1"/>
        <v>1.672</v>
      </c>
      <c r="I1015" s="13">
        <v>2.0</v>
      </c>
      <c r="J1015" s="14">
        <f t="shared" si="2"/>
        <v>3.344</v>
      </c>
      <c r="K1015" s="15" t="str">
        <f t="shared" si="3"/>
        <v>Baja</v>
      </c>
    </row>
    <row r="1016" ht="14.25" customHeight="1">
      <c r="A1016" s="6" t="s">
        <v>1872</v>
      </c>
      <c r="B1016" s="27" t="s">
        <v>2011</v>
      </c>
      <c r="C1016" s="10">
        <v>1.0</v>
      </c>
      <c r="D1016" s="10">
        <v>1.0</v>
      </c>
      <c r="E1016" s="10">
        <v>3.0</v>
      </c>
      <c r="F1016" s="10">
        <v>2.0</v>
      </c>
      <c r="G1016" s="10">
        <v>1.0</v>
      </c>
      <c r="H1016" s="12">
        <f t="shared" si="1"/>
        <v>1.576</v>
      </c>
      <c r="I1016" s="13">
        <v>3.0</v>
      </c>
      <c r="J1016" s="14">
        <f t="shared" si="2"/>
        <v>4.728</v>
      </c>
      <c r="K1016" s="15" t="str">
        <f t="shared" si="3"/>
        <v>Media</v>
      </c>
    </row>
    <row r="1017" ht="14.25" customHeight="1">
      <c r="A1017" s="6" t="s">
        <v>1872</v>
      </c>
      <c r="B1017" s="27" t="s">
        <v>3624</v>
      </c>
      <c r="C1017" s="10">
        <v>1.0</v>
      </c>
      <c r="D1017" s="10">
        <v>1.0</v>
      </c>
      <c r="E1017" s="10">
        <v>2.0</v>
      </c>
      <c r="F1017" s="10">
        <v>1.0</v>
      </c>
      <c r="G1017" s="10">
        <v>1.0</v>
      </c>
      <c r="H1017" s="12">
        <f t="shared" si="1"/>
        <v>1.24</v>
      </c>
      <c r="I1017" s="13">
        <v>3.0</v>
      </c>
      <c r="J1017" s="14">
        <f t="shared" si="2"/>
        <v>3.72</v>
      </c>
      <c r="K1017" s="15" t="str">
        <f t="shared" si="3"/>
        <v>Baja</v>
      </c>
    </row>
    <row r="1018" ht="14.25" customHeight="1">
      <c r="A1018" s="6" t="s">
        <v>1881</v>
      </c>
      <c r="B1018" s="9" t="s">
        <v>854</v>
      </c>
      <c r="C1018" s="10">
        <v>1.0</v>
      </c>
      <c r="D1018" s="10">
        <v>1.0</v>
      </c>
      <c r="E1018" s="10">
        <v>3.0</v>
      </c>
      <c r="F1018" s="10">
        <v>2.0</v>
      </c>
      <c r="G1018" s="10">
        <v>1.0</v>
      </c>
      <c r="H1018" s="12">
        <f t="shared" si="1"/>
        <v>1.576</v>
      </c>
      <c r="I1018" s="13">
        <v>3.0</v>
      </c>
      <c r="J1018" s="14">
        <f t="shared" si="2"/>
        <v>4.728</v>
      </c>
      <c r="K1018" s="15" t="str">
        <f t="shared" si="3"/>
        <v>Media</v>
      </c>
    </row>
    <row r="1019" ht="14.25" customHeight="1">
      <c r="A1019" s="6" t="s">
        <v>1881</v>
      </c>
      <c r="B1019" s="9" t="s">
        <v>855</v>
      </c>
      <c r="C1019" s="10">
        <v>1.0</v>
      </c>
      <c r="D1019" s="10">
        <v>1.0</v>
      </c>
      <c r="E1019" s="10">
        <v>3.0</v>
      </c>
      <c r="F1019" s="10">
        <v>2.0</v>
      </c>
      <c r="G1019" s="10">
        <v>1.0</v>
      </c>
      <c r="H1019" s="12">
        <f t="shared" si="1"/>
        <v>1.576</v>
      </c>
      <c r="I1019" s="13">
        <v>2.0</v>
      </c>
      <c r="J1019" s="14">
        <f t="shared" si="2"/>
        <v>3.152</v>
      </c>
      <c r="K1019" s="15" t="str">
        <f t="shared" si="3"/>
        <v>Baja</v>
      </c>
    </row>
    <row r="1020" ht="14.25" customHeight="1">
      <c r="A1020" s="6" t="s">
        <v>1881</v>
      </c>
      <c r="B1020" s="9" t="s">
        <v>865</v>
      </c>
      <c r="C1020" s="10">
        <v>1.0</v>
      </c>
      <c r="D1020" s="10">
        <v>1.0</v>
      </c>
      <c r="E1020" s="10">
        <v>2.0</v>
      </c>
      <c r="F1020" s="10">
        <v>1.0</v>
      </c>
      <c r="G1020" s="10">
        <v>1.0</v>
      </c>
      <c r="H1020" s="12">
        <f t="shared" si="1"/>
        <v>1.24</v>
      </c>
      <c r="I1020" s="13">
        <v>3.0</v>
      </c>
      <c r="J1020" s="14">
        <f t="shared" si="2"/>
        <v>3.72</v>
      </c>
      <c r="K1020" s="15" t="str">
        <f t="shared" si="3"/>
        <v>Baja</v>
      </c>
    </row>
    <row r="1021" ht="14.25" customHeight="1">
      <c r="A1021" s="6" t="s">
        <v>1881</v>
      </c>
      <c r="B1021" s="9" t="s">
        <v>874</v>
      </c>
      <c r="C1021" s="10">
        <v>1.0</v>
      </c>
      <c r="D1021" s="10">
        <v>1.0</v>
      </c>
      <c r="E1021" s="10">
        <v>3.0</v>
      </c>
      <c r="F1021" s="10">
        <v>2.0</v>
      </c>
      <c r="G1021" s="10">
        <v>1.0</v>
      </c>
      <c r="H1021" s="12">
        <f t="shared" si="1"/>
        <v>1.576</v>
      </c>
      <c r="I1021" s="13">
        <v>2.0</v>
      </c>
      <c r="J1021" s="14">
        <f t="shared" si="2"/>
        <v>3.152</v>
      </c>
      <c r="K1021" s="15" t="str">
        <f t="shared" si="3"/>
        <v>Baja</v>
      </c>
    </row>
    <row r="1022" ht="14.25" customHeight="1">
      <c r="A1022" s="6" t="s">
        <v>1881</v>
      </c>
      <c r="B1022" s="9" t="s">
        <v>882</v>
      </c>
      <c r="C1022" s="10">
        <v>1.0</v>
      </c>
      <c r="D1022" s="10">
        <v>1.0</v>
      </c>
      <c r="E1022" s="10">
        <v>2.0</v>
      </c>
      <c r="F1022" s="10">
        <v>1.0</v>
      </c>
      <c r="G1022" s="10">
        <v>1.0</v>
      </c>
      <c r="H1022" s="12">
        <f t="shared" si="1"/>
        <v>1.24</v>
      </c>
      <c r="I1022" s="13">
        <v>3.0</v>
      </c>
      <c r="J1022" s="14">
        <f t="shared" si="2"/>
        <v>3.72</v>
      </c>
      <c r="K1022" s="15" t="str">
        <f t="shared" si="3"/>
        <v>Baja</v>
      </c>
    </row>
    <row r="1023" ht="14.25" customHeight="1">
      <c r="A1023" s="6" t="s">
        <v>1881</v>
      </c>
      <c r="B1023" s="9" t="s">
        <v>887</v>
      </c>
      <c r="C1023" s="10">
        <v>1.0</v>
      </c>
      <c r="D1023" s="10">
        <v>1.0</v>
      </c>
      <c r="E1023" s="10">
        <v>2.0</v>
      </c>
      <c r="F1023" s="10">
        <v>1.0</v>
      </c>
      <c r="G1023" s="10">
        <v>1.0</v>
      </c>
      <c r="H1023" s="12">
        <f t="shared" si="1"/>
        <v>1.24</v>
      </c>
      <c r="I1023" s="13">
        <v>3.0</v>
      </c>
      <c r="J1023" s="14">
        <f t="shared" si="2"/>
        <v>3.72</v>
      </c>
      <c r="K1023" s="15" t="str">
        <f t="shared" si="3"/>
        <v>Baja</v>
      </c>
    </row>
    <row r="1024" ht="14.25" customHeight="1">
      <c r="A1024" s="6" t="s">
        <v>1881</v>
      </c>
      <c r="B1024" s="9" t="s">
        <v>898</v>
      </c>
      <c r="C1024" s="10">
        <v>1.0</v>
      </c>
      <c r="D1024" s="10">
        <v>1.0</v>
      </c>
      <c r="E1024" s="10">
        <v>3.0</v>
      </c>
      <c r="F1024" s="10">
        <v>2.0</v>
      </c>
      <c r="G1024" s="10">
        <v>1.0</v>
      </c>
      <c r="H1024" s="12">
        <f t="shared" si="1"/>
        <v>1.576</v>
      </c>
      <c r="I1024" s="13">
        <v>3.0</v>
      </c>
      <c r="J1024" s="14">
        <f t="shared" si="2"/>
        <v>4.728</v>
      </c>
      <c r="K1024" s="15" t="str">
        <f t="shared" si="3"/>
        <v>Media</v>
      </c>
    </row>
    <row r="1025" ht="14.25" customHeight="1">
      <c r="A1025" s="6" t="s">
        <v>1881</v>
      </c>
      <c r="B1025" s="9" t="s">
        <v>902</v>
      </c>
      <c r="C1025" s="10">
        <v>1.0</v>
      </c>
      <c r="D1025" s="10">
        <v>1.0</v>
      </c>
      <c r="E1025" s="10">
        <v>2.0</v>
      </c>
      <c r="F1025" s="10">
        <v>1.0</v>
      </c>
      <c r="G1025" s="10">
        <v>1.0</v>
      </c>
      <c r="H1025" s="12">
        <f t="shared" si="1"/>
        <v>1.24</v>
      </c>
      <c r="I1025" s="13">
        <v>3.0</v>
      </c>
      <c r="J1025" s="14">
        <f t="shared" si="2"/>
        <v>3.72</v>
      </c>
      <c r="K1025" s="15" t="str">
        <f t="shared" si="3"/>
        <v>Baja</v>
      </c>
    </row>
    <row r="1026" ht="14.25" customHeight="1">
      <c r="A1026" s="6" t="s">
        <v>1886</v>
      </c>
      <c r="B1026" s="27" t="s">
        <v>910</v>
      </c>
      <c r="C1026" s="10">
        <v>1.0</v>
      </c>
      <c r="D1026" s="10">
        <v>1.0</v>
      </c>
      <c r="E1026" s="10">
        <v>2.0</v>
      </c>
      <c r="F1026" s="10">
        <v>1.0</v>
      </c>
      <c r="G1026" s="10">
        <v>1.0</v>
      </c>
      <c r="H1026" s="12">
        <f t="shared" si="1"/>
        <v>1.24</v>
      </c>
      <c r="I1026" s="13">
        <v>1.0</v>
      </c>
      <c r="J1026" s="14">
        <f t="shared" si="2"/>
        <v>1.24</v>
      </c>
      <c r="K1026" s="15" t="str">
        <f t="shared" si="3"/>
        <v>Baja</v>
      </c>
    </row>
    <row r="1027" ht="14.25" customHeight="1">
      <c r="A1027" s="6" t="s">
        <v>1886</v>
      </c>
      <c r="B1027" s="27" t="s">
        <v>854</v>
      </c>
      <c r="C1027" s="10">
        <v>1.0</v>
      </c>
      <c r="D1027" s="10">
        <v>1.0</v>
      </c>
      <c r="E1027" s="10">
        <v>3.0</v>
      </c>
      <c r="F1027" s="10">
        <v>2.0</v>
      </c>
      <c r="G1027" s="10">
        <v>1.0</v>
      </c>
      <c r="H1027" s="12">
        <f t="shared" si="1"/>
        <v>1.576</v>
      </c>
      <c r="I1027" s="13">
        <v>3.0</v>
      </c>
      <c r="J1027" s="14">
        <f t="shared" si="2"/>
        <v>4.728</v>
      </c>
      <c r="K1027" s="15" t="str">
        <f t="shared" si="3"/>
        <v>Media</v>
      </c>
    </row>
    <row r="1028" ht="14.25" customHeight="1">
      <c r="A1028" s="6" t="s">
        <v>1886</v>
      </c>
      <c r="B1028" s="27" t="s">
        <v>930</v>
      </c>
      <c r="C1028" s="10">
        <v>1.0</v>
      </c>
      <c r="D1028" s="10">
        <v>1.0</v>
      </c>
      <c r="E1028" s="10">
        <v>2.0</v>
      </c>
      <c r="F1028" s="10">
        <v>1.0</v>
      </c>
      <c r="G1028" s="10">
        <v>1.0</v>
      </c>
      <c r="H1028" s="12">
        <f t="shared" si="1"/>
        <v>1.24</v>
      </c>
      <c r="I1028" s="13">
        <v>1.0</v>
      </c>
      <c r="J1028" s="14">
        <f t="shared" si="2"/>
        <v>1.24</v>
      </c>
      <c r="K1028" s="15" t="str">
        <f t="shared" si="3"/>
        <v>Baja</v>
      </c>
    </row>
    <row r="1029" ht="14.25" customHeight="1">
      <c r="A1029" s="6" t="s">
        <v>1886</v>
      </c>
      <c r="B1029" s="27" t="s">
        <v>874</v>
      </c>
      <c r="C1029" s="10">
        <v>1.0</v>
      </c>
      <c r="D1029" s="10">
        <v>1.0</v>
      </c>
      <c r="E1029" s="10">
        <v>3.0</v>
      </c>
      <c r="F1029" s="10">
        <v>2.0</v>
      </c>
      <c r="G1029" s="10">
        <v>1.0</v>
      </c>
      <c r="H1029" s="12">
        <f t="shared" si="1"/>
        <v>1.576</v>
      </c>
      <c r="I1029" s="13">
        <v>2.0</v>
      </c>
      <c r="J1029" s="14">
        <f t="shared" si="2"/>
        <v>3.152</v>
      </c>
      <c r="K1029" s="15" t="str">
        <f t="shared" si="3"/>
        <v>Baja</v>
      </c>
    </row>
    <row r="1030" ht="14.25" customHeight="1">
      <c r="A1030" s="6" t="s">
        <v>1886</v>
      </c>
      <c r="B1030" s="27" t="s">
        <v>948</v>
      </c>
      <c r="C1030" s="10">
        <v>1.0</v>
      </c>
      <c r="D1030" s="10">
        <v>1.0</v>
      </c>
      <c r="E1030" s="10">
        <v>2.0</v>
      </c>
      <c r="F1030" s="10">
        <v>1.0</v>
      </c>
      <c r="G1030" s="10">
        <v>1.0</v>
      </c>
      <c r="H1030" s="12">
        <f t="shared" si="1"/>
        <v>1.24</v>
      </c>
      <c r="I1030" s="13">
        <v>3.0</v>
      </c>
      <c r="J1030" s="14">
        <f t="shared" si="2"/>
        <v>3.72</v>
      </c>
      <c r="K1030" s="15" t="str">
        <f t="shared" si="3"/>
        <v>Baja</v>
      </c>
    </row>
    <row r="1031" ht="14.25" customHeight="1">
      <c r="A1031" s="6" t="s">
        <v>1886</v>
      </c>
      <c r="B1031" s="27" t="s">
        <v>955</v>
      </c>
      <c r="C1031" s="10">
        <v>1.0</v>
      </c>
      <c r="D1031" s="10">
        <v>1.0</v>
      </c>
      <c r="E1031" s="10">
        <v>2.0</v>
      </c>
      <c r="F1031" s="10">
        <v>1.0</v>
      </c>
      <c r="G1031" s="10">
        <v>1.0</v>
      </c>
      <c r="H1031" s="12">
        <f t="shared" si="1"/>
        <v>1.24</v>
      </c>
      <c r="I1031" s="13">
        <v>2.0</v>
      </c>
      <c r="J1031" s="14">
        <f t="shared" si="2"/>
        <v>2.48</v>
      </c>
      <c r="K1031" s="15" t="str">
        <f t="shared" si="3"/>
        <v>Baja</v>
      </c>
    </row>
    <row r="1032" ht="14.25" customHeight="1">
      <c r="A1032" s="6" t="s">
        <v>1886</v>
      </c>
      <c r="B1032" s="27" t="s">
        <v>966</v>
      </c>
      <c r="C1032" s="10">
        <v>1.0</v>
      </c>
      <c r="D1032" s="10">
        <v>1.0</v>
      </c>
      <c r="E1032" s="10">
        <v>2.0</v>
      </c>
      <c r="F1032" s="10">
        <v>1.0</v>
      </c>
      <c r="G1032" s="10">
        <v>1.0</v>
      </c>
      <c r="H1032" s="12">
        <f t="shared" si="1"/>
        <v>1.24</v>
      </c>
      <c r="I1032" s="13">
        <v>3.0</v>
      </c>
      <c r="J1032" s="14">
        <f t="shared" si="2"/>
        <v>3.72</v>
      </c>
      <c r="K1032" s="15" t="str">
        <f t="shared" si="3"/>
        <v>Baja</v>
      </c>
    </row>
    <row r="1033" ht="14.25" customHeight="1">
      <c r="A1033" s="6" t="s">
        <v>1891</v>
      </c>
      <c r="B1033" s="9" t="s">
        <v>3631</v>
      </c>
      <c r="C1033" s="10">
        <v>3.0</v>
      </c>
      <c r="D1033" s="10">
        <v>3.0</v>
      </c>
      <c r="E1033" s="10">
        <v>3.0</v>
      </c>
      <c r="F1033" s="10">
        <v>2.0</v>
      </c>
      <c r="G1033" s="10">
        <v>1.0</v>
      </c>
      <c r="H1033" s="12">
        <f t="shared" si="1"/>
        <v>2.704</v>
      </c>
      <c r="I1033" s="13">
        <v>1.0</v>
      </c>
      <c r="J1033" s="14">
        <f t="shared" si="2"/>
        <v>2.704</v>
      </c>
      <c r="K1033" s="15" t="str">
        <f t="shared" si="3"/>
        <v>Baja</v>
      </c>
    </row>
    <row r="1034" ht="14.25" customHeight="1">
      <c r="A1034" s="6" t="s">
        <v>1891</v>
      </c>
      <c r="B1034" s="9" t="s">
        <v>3635</v>
      </c>
      <c r="C1034" s="10">
        <v>2.0</v>
      </c>
      <c r="D1034" s="10">
        <v>2.0</v>
      </c>
      <c r="E1034" s="10">
        <v>3.0</v>
      </c>
      <c r="F1034" s="10">
        <v>1.0</v>
      </c>
      <c r="G1034" s="10">
        <v>1.0</v>
      </c>
      <c r="H1034" s="12">
        <f t="shared" si="1"/>
        <v>2.044</v>
      </c>
      <c r="I1034" s="13">
        <v>2.0</v>
      </c>
      <c r="J1034" s="14">
        <f t="shared" si="2"/>
        <v>4.088</v>
      </c>
      <c r="K1034" s="15" t="str">
        <f t="shared" si="3"/>
        <v>Media</v>
      </c>
    </row>
    <row r="1035" ht="14.25" customHeight="1">
      <c r="A1035" s="6" t="s">
        <v>1902</v>
      </c>
      <c r="B1035" s="27" t="s">
        <v>3636</v>
      </c>
      <c r="C1035" s="10">
        <v>3.0</v>
      </c>
      <c r="D1035" s="10">
        <v>3.0</v>
      </c>
      <c r="E1035" s="10">
        <v>3.0</v>
      </c>
      <c r="F1035" s="10">
        <v>1.0</v>
      </c>
      <c r="G1035" s="10">
        <v>1.0</v>
      </c>
      <c r="H1035" s="12">
        <f t="shared" si="1"/>
        <v>2.608</v>
      </c>
      <c r="I1035" s="13">
        <v>1.0</v>
      </c>
      <c r="J1035" s="14">
        <f t="shared" si="2"/>
        <v>2.608</v>
      </c>
      <c r="K1035" s="15" t="str">
        <f t="shared" si="3"/>
        <v>Baja</v>
      </c>
    </row>
    <row r="1036" ht="14.25" customHeight="1">
      <c r="A1036" s="6" t="s">
        <v>1902</v>
      </c>
      <c r="B1036" s="27" t="s">
        <v>3637</v>
      </c>
      <c r="C1036" s="10">
        <v>2.0</v>
      </c>
      <c r="D1036" s="10">
        <v>2.0</v>
      </c>
      <c r="E1036" s="10">
        <v>3.0</v>
      </c>
      <c r="F1036" s="10">
        <v>2.0</v>
      </c>
      <c r="G1036" s="10">
        <v>1.0</v>
      </c>
      <c r="H1036" s="12">
        <f t="shared" si="1"/>
        <v>2.14</v>
      </c>
      <c r="I1036" s="13">
        <v>3.0</v>
      </c>
      <c r="J1036" s="14">
        <f t="shared" si="2"/>
        <v>6.42</v>
      </c>
      <c r="K1036" s="15" t="str">
        <f t="shared" si="3"/>
        <v>Media</v>
      </c>
    </row>
    <row r="1037" ht="14.25" customHeight="1">
      <c r="A1037" s="6" t="s">
        <v>1902</v>
      </c>
      <c r="B1037" s="27" t="s">
        <v>3638</v>
      </c>
      <c r="C1037" s="10">
        <v>2.0</v>
      </c>
      <c r="D1037" s="10">
        <v>2.0</v>
      </c>
      <c r="E1037" s="10">
        <v>3.0</v>
      </c>
      <c r="F1037" s="10">
        <v>1.0</v>
      </c>
      <c r="G1037" s="10">
        <v>1.0</v>
      </c>
      <c r="H1037" s="12">
        <f t="shared" si="1"/>
        <v>2.044</v>
      </c>
      <c r="I1037" s="13">
        <v>3.0</v>
      </c>
      <c r="J1037" s="14">
        <f t="shared" si="2"/>
        <v>6.132</v>
      </c>
      <c r="K1037" s="15" t="str">
        <f t="shared" si="3"/>
        <v>Media</v>
      </c>
    </row>
    <row r="1038" ht="14.25" customHeight="1">
      <c r="A1038" s="6" t="s">
        <v>1909</v>
      </c>
      <c r="B1038" s="9" t="s">
        <v>1339</v>
      </c>
      <c r="C1038" s="10">
        <v>1.0</v>
      </c>
      <c r="D1038" s="10">
        <v>1.0</v>
      </c>
      <c r="E1038" s="10">
        <v>3.0</v>
      </c>
      <c r="F1038" s="10">
        <v>2.0</v>
      </c>
      <c r="G1038" s="10">
        <v>1.0</v>
      </c>
      <c r="H1038" s="12">
        <f t="shared" si="1"/>
        <v>1.576</v>
      </c>
      <c r="I1038" s="13">
        <v>3.0</v>
      </c>
      <c r="J1038" s="14">
        <f t="shared" si="2"/>
        <v>4.728</v>
      </c>
      <c r="K1038" s="15" t="str">
        <f t="shared" si="3"/>
        <v>Media</v>
      </c>
    </row>
    <row r="1039" ht="14.25" customHeight="1">
      <c r="A1039" s="6" t="s">
        <v>1909</v>
      </c>
      <c r="B1039" s="9" t="s">
        <v>1786</v>
      </c>
      <c r="C1039" s="10">
        <v>1.0</v>
      </c>
      <c r="D1039" s="10">
        <v>1.0</v>
      </c>
      <c r="E1039" s="10">
        <v>2.0</v>
      </c>
      <c r="F1039" s="10">
        <v>1.0</v>
      </c>
      <c r="G1039" s="10">
        <v>1.0</v>
      </c>
      <c r="H1039" s="12">
        <f t="shared" si="1"/>
        <v>1.24</v>
      </c>
      <c r="I1039" s="13">
        <v>3.0</v>
      </c>
      <c r="J1039" s="14">
        <f t="shared" si="2"/>
        <v>3.72</v>
      </c>
      <c r="K1039" s="15" t="str">
        <f t="shared" si="3"/>
        <v>Baja</v>
      </c>
    </row>
    <row r="1040" ht="14.25" customHeight="1">
      <c r="A1040" s="6" t="s">
        <v>1909</v>
      </c>
      <c r="B1040" s="9" t="s">
        <v>1350</v>
      </c>
      <c r="C1040" s="10">
        <v>1.0</v>
      </c>
      <c r="D1040" s="10">
        <v>1.0</v>
      </c>
      <c r="E1040" s="10">
        <v>2.0</v>
      </c>
      <c r="F1040" s="10">
        <v>1.0</v>
      </c>
      <c r="G1040" s="10">
        <v>1.0</v>
      </c>
      <c r="H1040" s="12">
        <f t="shared" si="1"/>
        <v>1.24</v>
      </c>
      <c r="I1040" s="13">
        <v>3.0</v>
      </c>
      <c r="J1040" s="14">
        <f t="shared" si="2"/>
        <v>3.72</v>
      </c>
      <c r="K1040" s="15" t="str">
        <f t="shared" si="3"/>
        <v>Baja</v>
      </c>
    </row>
    <row r="1041" ht="14.25" customHeight="1">
      <c r="A1041" s="6" t="s">
        <v>1909</v>
      </c>
      <c r="B1041" s="9" t="s">
        <v>1794</v>
      </c>
      <c r="C1041" s="10">
        <v>1.0</v>
      </c>
      <c r="D1041" s="10">
        <v>1.0</v>
      </c>
      <c r="E1041" s="10">
        <v>3.0</v>
      </c>
      <c r="F1041" s="10">
        <v>3.0</v>
      </c>
      <c r="G1041" s="10">
        <v>1.0</v>
      </c>
      <c r="H1041" s="12">
        <f t="shared" si="1"/>
        <v>1.672</v>
      </c>
      <c r="I1041" s="13">
        <v>2.0</v>
      </c>
      <c r="J1041" s="14">
        <f t="shared" si="2"/>
        <v>3.344</v>
      </c>
      <c r="K1041" s="15" t="str">
        <f t="shared" si="3"/>
        <v>Baja</v>
      </c>
    </row>
    <row r="1042" ht="14.25" customHeight="1">
      <c r="A1042" s="6" t="s">
        <v>1909</v>
      </c>
      <c r="B1042" s="9" t="s">
        <v>2376</v>
      </c>
      <c r="C1042" s="10">
        <v>1.0</v>
      </c>
      <c r="D1042" s="10">
        <v>1.0</v>
      </c>
      <c r="E1042" s="10">
        <v>2.0</v>
      </c>
      <c r="F1042" s="10">
        <v>1.0</v>
      </c>
      <c r="G1042" s="10">
        <v>1.0</v>
      </c>
      <c r="H1042" s="12">
        <f t="shared" si="1"/>
        <v>1.24</v>
      </c>
      <c r="I1042" s="13">
        <v>3.0</v>
      </c>
      <c r="J1042" s="14">
        <f t="shared" si="2"/>
        <v>3.72</v>
      </c>
      <c r="K1042" s="15" t="str">
        <f t="shared" si="3"/>
        <v>Baja</v>
      </c>
    </row>
    <row r="1043" ht="14.25" customHeight="1">
      <c r="A1043" s="6" t="s">
        <v>1917</v>
      </c>
      <c r="B1043" s="27" t="s">
        <v>3619</v>
      </c>
      <c r="C1043" s="10">
        <v>1.0</v>
      </c>
      <c r="D1043" s="10">
        <v>2.0</v>
      </c>
      <c r="E1043" s="10">
        <v>3.0</v>
      </c>
      <c r="F1043" s="10">
        <v>2.0</v>
      </c>
      <c r="G1043" s="10">
        <v>1.0</v>
      </c>
      <c r="H1043" s="12">
        <f t="shared" si="1"/>
        <v>1.756</v>
      </c>
      <c r="I1043" s="13">
        <v>2.0</v>
      </c>
      <c r="J1043" s="14">
        <f t="shared" si="2"/>
        <v>3.512</v>
      </c>
      <c r="K1043" s="15" t="str">
        <f t="shared" si="3"/>
        <v>Baja</v>
      </c>
    </row>
    <row r="1044" ht="14.25" customHeight="1">
      <c r="A1044" s="6" t="s">
        <v>1917</v>
      </c>
      <c r="B1044" s="27" t="s">
        <v>3621</v>
      </c>
      <c r="C1044" s="10">
        <v>1.0</v>
      </c>
      <c r="D1044" s="10">
        <v>2.0</v>
      </c>
      <c r="E1044" s="10">
        <v>2.0</v>
      </c>
      <c r="F1044" s="10">
        <v>3.0</v>
      </c>
      <c r="G1044" s="10">
        <v>1.0</v>
      </c>
      <c r="H1044" s="12">
        <f t="shared" si="1"/>
        <v>1.612</v>
      </c>
      <c r="I1044" s="13">
        <v>2.0</v>
      </c>
      <c r="J1044" s="14">
        <f t="shared" si="2"/>
        <v>3.224</v>
      </c>
      <c r="K1044" s="15" t="str">
        <f t="shared" si="3"/>
        <v>Baja</v>
      </c>
    </row>
    <row r="1045" ht="14.25" customHeight="1">
      <c r="A1045" s="6" t="s">
        <v>1917</v>
      </c>
      <c r="B1045" s="27" t="s">
        <v>1794</v>
      </c>
      <c r="C1045" s="10">
        <v>1.0</v>
      </c>
      <c r="D1045" s="10">
        <v>1.0</v>
      </c>
      <c r="E1045" s="10">
        <v>3.0</v>
      </c>
      <c r="F1045" s="10">
        <v>3.0</v>
      </c>
      <c r="G1045" s="10">
        <v>1.0</v>
      </c>
      <c r="H1045" s="12">
        <f t="shared" si="1"/>
        <v>1.672</v>
      </c>
      <c r="I1045" s="13">
        <v>2.0</v>
      </c>
      <c r="J1045" s="14">
        <f t="shared" si="2"/>
        <v>3.344</v>
      </c>
      <c r="K1045" s="15" t="str">
        <f t="shared" si="3"/>
        <v>Baja</v>
      </c>
    </row>
    <row r="1046" ht="14.25" customHeight="1">
      <c r="A1046" s="6" t="s">
        <v>1917</v>
      </c>
      <c r="B1046" s="27" t="s">
        <v>2011</v>
      </c>
      <c r="C1046" s="10">
        <v>1.0</v>
      </c>
      <c r="D1046" s="10">
        <v>1.0</v>
      </c>
      <c r="E1046" s="10">
        <v>3.0</v>
      </c>
      <c r="F1046" s="10">
        <v>2.0</v>
      </c>
      <c r="G1046" s="10">
        <v>1.0</v>
      </c>
      <c r="H1046" s="12">
        <f t="shared" si="1"/>
        <v>1.576</v>
      </c>
      <c r="I1046" s="13">
        <v>3.0</v>
      </c>
      <c r="J1046" s="14">
        <f t="shared" si="2"/>
        <v>4.728</v>
      </c>
      <c r="K1046" s="15" t="str">
        <f t="shared" si="3"/>
        <v>Media</v>
      </c>
    </row>
    <row r="1047" ht="14.25" customHeight="1">
      <c r="A1047" s="6" t="s">
        <v>1917</v>
      </c>
      <c r="B1047" s="27" t="s">
        <v>3624</v>
      </c>
      <c r="C1047" s="10">
        <v>1.0</v>
      </c>
      <c r="D1047" s="10">
        <v>1.0</v>
      </c>
      <c r="E1047" s="10">
        <v>2.0</v>
      </c>
      <c r="F1047" s="10">
        <v>1.0</v>
      </c>
      <c r="G1047" s="10">
        <v>1.0</v>
      </c>
      <c r="H1047" s="12">
        <f t="shared" si="1"/>
        <v>1.24</v>
      </c>
      <c r="I1047" s="13">
        <v>3.0</v>
      </c>
      <c r="J1047" s="14">
        <f t="shared" si="2"/>
        <v>3.72</v>
      </c>
      <c r="K1047" s="15" t="str">
        <f t="shared" si="3"/>
        <v>Baja</v>
      </c>
    </row>
    <row r="1048" ht="14.25" customHeight="1">
      <c r="A1048" s="6" t="s">
        <v>1922</v>
      </c>
      <c r="B1048" s="9" t="s">
        <v>999</v>
      </c>
      <c r="C1048" s="10">
        <v>2.0</v>
      </c>
      <c r="D1048" s="10">
        <v>2.0</v>
      </c>
      <c r="E1048" s="10">
        <v>3.0</v>
      </c>
      <c r="F1048" s="10">
        <v>3.0</v>
      </c>
      <c r="G1048" s="10">
        <v>1.0</v>
      </c>
      <c r="H1048" s="12">
        <f t="shared" si="1"/>
        <v>2.236</v>
      </c>
      <c r="I1048" s="13">
        <v>2.0</v>
      </c>
      <c r="J1048" s="14">
        <f t="shared" si="2"/>
        <v>4.472</v>
      </c>
      <c r="K1048" s="15" t="str">
        <f t="shared" si="3"/>
        <v>Media</v>
      </c>
    </row>
    <row r="1049" ht="14.25" customHeight="1">
      <c r="A1049" s="6" t="s">
        <v>1922</v>
      </c>
      <c r="B1049" s="9" t="s">
        <v>1005</v>
      </c>
      <c r="C1049" s="10">
        <v>2.0</v>
      </c>
      <c r="D1049" s="10">
        <v>2.0</v>
      </c>
      <c r="E1049" s="10">
        <v>2.0</v>
      </c>
      <c r="F1049" s="10">
        <v>3.0</v>
      </c>
      <c r="G1049" s="10">
        <v>1.0</v>
      </c>
      <c r="H1049" s="12">
        <f t="shared" si="1"/>
        <v>1.996</v>
      </c>
      <c r="I1049" s="13">
        <v>1.0</v>
      </c>
      <c r="J1049" s="14">
        <f t="shared" si="2"/>
        <v>1.996</v>
      </c>
      <c r="K1049" s="15" t="str">
        <f t="shared" si="3"/>
        <v>Baja</v>
      </c>
    </row>
    <row r="1050" ht="14.25" customHeight="1">
      <c r="A1050" s="6" t="s">
        <v>1922</v>
      </c>
      <c r="B1050" s="9" t="s">
        <v>1017</v>
      </c>
      <c r="C1050" s="10">
        <v>2.0</v>
      </c>
      <c r="D1050" s="10">
        <v>2.0</v>
      </c>
      <c r="E1050" s="10">
        <v>3.0</v>
      </c>
      <c r="F1050" s="10">
        <v>3.0</v>
      </c>
      <c r="G1050" s="10">
        <v>1.0</v>
      </c>
      <c r="H1050" s="12">
        <f t="shared" si="1"/>
        <v>2.236</v>
      </c>
      <c r="I1050" s="13">
        <v>2.0</v>
      </c>
      <c r="J1050" s="14">
        <f t="shared" si="2"/>
        <v>4.472</v>
      </c>
      <c r="K1050" s="15" t="str">
        <f t="shared" si="3"/>
        <v>Media</v>
      </c>
    </row>
    <row r="1051" ht="14.25" customHeight="1">
      <c r="A1051" s="6" t="s">
        <v>1922</v>
      </c>
      <c r="B1051" s="9" t="s">
        <v>727</v>
      </c>
      <c r="C1051" s="10">
        <v>1.0</v>
      </c>
      <c r="D1051" s="10">
        <v>1.0</v>
      </c>
      <c r="E1051" s="10">
        <v>3.0</v>
      </c>
      <c r="F1051" s="10">
        <v>3.0</v>
      </c>
      <c r="G1051" s="10">
        <v>1.0</v>
      </c>
      <c r="H1051" s="12">
        <f t="shared" si="1"/>
        <v>1.672</v>
      </c>
      <c r="I1051" s="13">
        <v>2.0</v>
      </c>
      <c r="J1051" s="14">
        <f t="shared" si="2"/>
        <v>3.344</v>
      </c>
      <c r="K1051" s="15" t="str">
        <f t="shared" si="3"/>
        <v>Baja</v>
      </c>
    </row>
    <row r="1052" ht="14.25" customHeight="1">
      <c r="A1052" s="6" t="s">
        <v>1922</v>
      </c>
      <c r="B1052" s="9" t="s">
        <v>1036</v>
      </c>
      <c r="C1052" s="10">
        <v>1.0</v>
      </c>
      <c r="D1052" s="10">
        <v>1.0</v>
      </c>
      <c r="E1052" s="10">
        <v>3.0</v>
      </c>
      <c r="F1052" s="10">
        <v>1.0</v>
      </c>
      <c r="G1052" s="10">
        <v>1.0</v>
      </c>
      <c r="H1052" s="12">
        <f t="shared" si="1"/>
        <v>1.48</v>
      </c>
      <c r="I1052" s="13">
        <v>2.0</v>
      </c>
      <c r="J1052" s="14">
        <f t="shared" si="2"/>
        <v>2.96</v>
      </c>
      <c r="K1052" s="15" t="str">
        <f t="shared" si="3"/>
        <v>Baja</v>
      </c>
    </row>
    <row r="1053" ht="14.25" customHeight="1">
      <c r="A1053" s="6" t="s">
        <v>1922</v>
      </c>
      <c r="B1053" s="9" t="s">
        <v>1421</v>
      </c>
      <c r="C1053" s="10">
        <v>1.0</v>
      </c>
      <c r="D1053" s="10">
        <v>1.0</v>
      </c>
      <c r="E1053" s="10">
        <v>2.0</v>
      </c>
      <c r="F1053" s="10">
        <v>1.0</v>
      </c>
      <c r="G1053" s="10">
        <v>1.0</v>
      </c>
      <c r="H1053" s="12">
        <f t="shared" si="1"/>
        <v>1.24</v>
      </c>
      <c r="I1053" s="13">
        <v>2.0</v>
      </c>
      <c r="J1053" s="14">
        <f t="shared" si="2"/>
        <v>2.48</v>
      </c>
      <c r="K1053" s="15" t="str">
        <f t="shared" si="3"/>
        <v>Baja</v>
      </c>
    </row>
    <row r="1054" ht="14.25" customHeight="1">
      <c r="A1054" s="6" t="s">
        <v>1922</v>
      </c>
      <c r="B1054" s="9" t="s">
        <v>1426</v>
      </c>
      <c r="C1054" s="10">
        <v>1.0</v>
      </c>
      <c r="D1054" s="10">
        <v>1.0</v>
      </c>
      <c r="E1054" s="10">
        <v>2.0</v>
      </c>
      <c r="F1054" s="10">
        <v>1.0</v>
      </c>
      <c r="G1054" s="10">
        <v>1.0</v>
      </c>
      <c r="H1054" s="12">
        <f t="shared" si="1"/>
        <v>1.24</v>
      </c>
      <c r="I1054" s="13">
        <v>3.0</v>
      </c>
      <c r="J1054" s="14">
        <f t="shared" si="2"/>
        <v>3.72</v>
      </c>
      <c r="K1054" s="15" t="str">
        <f t="shared" si="3"/>
        <v>Baja</v>
      </c>
    </row>
    <row r="1055" ht="14.25" customHeight="1">
      <c r="A1055" s="6" t="s">
        <v>1926</v>
      </c>
      <c r="B1055" s="27" t="s">
        <v>999</v>
      </c>
      <c r="C1055" s="10">
        <v>2.0</v>
      </c>
      <c r="D1055" s="10">
        <v>2.0</v>
      </c>
      <c r="E1055" s="10">
        <v>3.0</v>
      </c>
      <c r="F1055" s="10">
        <v>3.0</v>
      </c>
      <c r="G1055" s="10">
        <v>1.0</v>
      </c>
      <c r="H1055" s="12">
        <f t="shared" si="1"/>
        <v>2.236</v>
      </c>
      <c r="I1055" s="13">
        <v>2.0</v>
      </c>
      <c r="J1055" s="14">
        <f t="shared" si="2"/>
        <v>4.472</v>
      </c>
      <c r="K1055" s="15" t="str">
        <f t="shared" si="3"/>
        <v>Media</v>
      </c>
    </row>
    <row r="1056" ht="14.25" customHeight="1">
      <c r="A1056" s="6" t="s">
        <v>1926</v>
      </c>
      <c r="B1056" s="27" t="s">
        <v>1005</v>
      </c>
      <c r="C1056" s="10">
        <v>2.0</v>
      </c>
      <c r="D1056" s="10">
        <v>2.0</v>
      </c>
      <c r="E1056" s="10">
        <v>2.0</v>
      </c>
      <c r="F1056" s="10">
        <v>3.0</v>
      </c>
      <c r="G1056" s="10">
        <v>1.0</v>
      </c>
      <c r="H1056" s="12">
        <f t="shared" si="1"/>
        <v>1.996</v>
      </c>
      <c r="I1056" s="13">
        <v>1.0</v>
      </c>
      <c r="J1056" s="14">
        <f t="shared" si="2"/>
        <v>1.996</v>
      </c>
      <c r="K1056" s="15" t="str">
        <f t="shared" si="3"/>
        <v>Baja</v>
      </c>
    </row>
    <row r="1057" ht="14.25" customHeight="1">
      <c r="A1057" s="6" t="s">
        <v>1926</v>
      </c>
      <c r="B1057" s="27" t="s">
        <v>1017</v>
      </c>
      <c r="C1057" s="10">
        <v>2.0</v>
      </c>
      <c r="D1057" s="10">
        <v>2.0</v>
      </c>
      <c r="E1057" s="10">
        <v>3.0</v>
      </c>
      <c r="F1057" s="10">
        <v>3.0</v>
      </c>
      <c r="G1057" s="10">
        <v>1.0</v>
      </c>
      <c r="H1057" s="12">
        <f t="shared" si="1"/>
        <v>2.236</v>
      </c>
      <c r="I1057" s="13">
        <v>2.0</v>
      </c>
      <c r="J1057" s="14">
        <f t="shared" si="2"/>
        <v>4.472</v>
      </c>
      <c r="K1057" s="15" t="str">
        <f t="shared" si="3"/>
        <v>Media</v>
      </c>
    </row>
    <row r="1058" ht="14.25" customHeight="1">
      <c r="A1058" s="6" t="s">
        <v>1926</v>
      </c>
      <c r="B1058" s="27" t="s">
        <v>727</v>
      </c>
      <c r="C1058" s="10">
        <v>1.0</v>
      </c>
      <c r="D1058" s="10">
        <v>1.0</v>
      </c>
      <c r="E1058" s="10">
        <v>3.0</v>
      </c>
      <c r="F1058" s="10">
        <v>3.0</v>
      </c>
      <c r="G1058" s="10">
        <v>1.0</v>
      </c>
      <c r="H1058" s="12">
        <f t="shared" si="1"/>
        <v>1.672</v>
      </c>
      <c r="I1058" s="13">
        <v>2.0</v>
      </c>
      <c r="J1058" s="14">
        <f t="shared" si="2"/>
        <v>3.344</v>
      </c>
      <c r="K1058" s="15" t="str">
        <f t="shared" si="3"/>
        <v>Baja</v>
      </c>
    </row>
    <row r="1059" ht="14.25" customHeight="1">
      <c r="A1059" s="6" t="s">
        <v>1926</v>
      </c>
      <c r="B1059" s="27" t="s">
        <v>1031</v>
      </c>
      <c r="C1059" s="10">
        <v>1.0</v>
      </c>
      <c r="D1059" s="10">
        <v>1.0</v>
      </c>
      <c r="E1059" s="10">
        <v>2.0</v>
      </c>
      <c r="F1059" s="10">
        <v>1.0</v>
      </c>
      <c r="G1059" s="10">
        <v>1.0</v>
      </c>
      <c r="H1059" s="12">
        <f t="shared" si="1"/>
        <v>1.24</v>
      </c>
      <c r="I1059" s="13">
        <v>3.0</v>
      </c>
      <c r="J1059" s="14">
        <f t="shared" si="2"/>
        <v>3.72</v>
      </c>
      <c r="K1059" s="15" t="str">
        <f t="shared" si="3"/>
        <v>Baja</v>
      </c>
    </row>
    <row r="1060" ht="14.25" customHeight="1">
      <c r="A1060" s="6" t="s">
        <v>1926</v>
      </c>
      <c r="B1060" s="27" t="s">
        <v>1036</v>
      </c>
      <c r="C1060" s="10">
        <v>1.0</v>
      </c>
      <c r="D1060" s="10">
        <v>1.0</v>
      </c>
      <c r="E1060" s="10">
        <v>3.0</v>
      </c>
      <c r="F1060" s="10">
        <v>1.0</v>
      </c>
      <c r="G1060" s="10">
        <v>1.0</v>
      </c>
      <c r="H1060" s="12">
        <f t="shared" si="1"/>
        <v>1.48</v>
      </c>
      <c r="I1060" s="13">
        <v>2.0</v>
      </c>
      <c r="J1060" s="14">
        <f t="shared" si="2"/>
        <v>2.96</v>
      </c>
      <c r="K1060" s="15" t="str">
        <f t="shared" si="3"/>
        <v>Baja</v>
      </c>
    </row>
    <row r="1061" ht="14.25" customHeight="1">
      <c r="A1061" s="6" t="s">
        <v>1926</v>
      </c>
      <c r="B1061" s="27" t="s">
        <v>1041</v>
      </c>
      <c r="C1061" s="10">
        <v>1.0</v>
      </c>
      <c r="D1061" s="10">
        <v>1.0</v>
      </c>
      <c r="E1061" s="10">
        <v>2.0</v>
      </c>
      <c r="F1061" s="10">
        <v>1.0</v>
      </c>
      <c r="G1061" s="10">
        <v>1.0</v>
      </c>
      <c r="H1061" s="12">
        <f t="shared" si="1"/>
        <v>1.24</v>
      </c>
      <c r="I1061" s="13">
        <v>2.0</v>
      </c>
      <c r="J1061" s="14">
        <f t="shared" si="2"/>
        <v>2.48</v>
      </c>
      <c r="K1061" s="15" t="str">
        <f t="shared" si="3"/>
        <v>Baja</v>
      </c>
    </row>
    <row r="1062" ht="14.25" customHeight="1">
      <c r="A1062" s="6" t="s">
        <v>1926</v>
      </c>
      <c r="B1062" s="27" t="s">
        <v>1047</v>
      </c>
      <c r="C1062" s="10">
        <v>1.0</v>
      </c>
      <c r="D1062" s="10">
        <v>1.0</v>
      </c>
      <c r="E1062" s="10">
        <v>2.0</v>
      </c>
      <c r="F1062" s="10">
        <v>1.0</v>
      </c>
      <c r="G1062" s="10">
        <v>1.0</v>
      </c>
      <c r="H1062" s="12">
        <f t="shared" si="1"/>
        <v>1.24</v>
      </c>
      <c r="I1062" s="13">
        <v>3.0</v>
      </c>
      <c r="J1062" s="14">
        <f t="shared" si="2"/>
        <v>3.72</v>
      </c>
      <c r="K1062" s="15" t="str">
        <f t="shared" si="3"/>
        <v>Baja</v>
      </c>
    </row>
    <row r="1063" ht="14.25" customHeight="1">
      <c r="A1063" s="6" t="s">
        <v>1931</v>
      </c>
      <c r="B1063" s="9" t="s">
        <v>854</v>
      </c>
      <c r="C1063" s="10">
        <v>1.0</v>
      </c>
      <c r="D1063" s="10">
        <v>1.0</v>
      </c>
      <c r="E1063" s="10">
        <v>3.0</v>
      </c>
      <c r="F1063" s="10">
        <v>2.0</v>
      </c>
      <c r="G1063" s="10">
        <v>1.0</v>
      </c>
      <c r="H1063" s="12">
        <f t="shared" si="1"/>
        <v>1.576</v>
      </c>
      <c r="I1063" s="13">
        <v>3.0</v>
      </c>
      <c r="J1063" s="14">
        <f t="shared" si="2"/>
        <v>4.728</v>
      </c>
      <c r="K1063" s="15" t="str">
        <f t="shared" si="3"/>
        <v>Media</v>
      </c>
    </row>
    <row r="1064" ht="14.25" customHeight="1">
      <c r="A1064" s="6" t="s">
        <v>1931</v>
      </c>
      <c r="B1064" s="9" t="s">
        <v>855</v>
      </c>
      <c r="C1064" s="10">
        <v>1.0</v>
      </c>
      <c r="D1064" s="10">
        <v>1.0</v>
      </c>
      <c r="E1064" s="10">
        <v>3.0</v>
      </c>
      <c r="F1064" s="10">
        <v>2.0</v>
      </c>
      <c r="G1064" s="10">
        <v>1.0</v>
      </c>
      <c r="H1064" s="12">
        <f t="shared" si="1"/>
        <v>1.576</v>
      </c>
      <c r="I1064" s="13">
        <v>2.0</v>
      </c>
      <c r="J1064" s="14">
        <f t="shared" si="2"/>
        <v>3.152</v>
      </c>
      <c r="K1064" s="15" t="str">
        <f t="shared" si="3"/>
        <v>Baja</v>
      </c>
    </row>
    <row r="1065" ht="14.25" customHeight="1">
      <c r="A1065" s="6" t="s">
        <v>1931</v>
      </c>
      <c r="B1065" s="9" t="s">
        <v>865</v>
      </c>
      <c r="C1065" s="10">
        <v>1.0</v>
      </c>
      <c r="D1065" s="10">
        <v>1.0</v>
      </c>
      <c r="E1065" s="10">
        <v>2.0</v>
      </c>
      <c r="F1065" s="10">
        <v>1.0</v>
      </c>
      <c r="G1065" s="10">
        <v>1.0</v>
      </c>
      <c r="H1065" s="12">
        <f t="shared" si="1"/>
        <v>1.24</v>
      </c>
      <c r="I1065" s="13">
        <v>3.0</v>
      </c>
      <c r="J1065" s="14">
        <f t="shared" si="2"/>
        <v>3.72</v>
      </c>
      <c r="K1065" s="15" t="str">
        <f t="shared" si="3"/>
        <v>Baja</v>
      </c>
    </row>
    <row r="1066" ht="14.25" customHeight="1">
      <c r="A1066" s="6" t="s">
        <v>1931</v>
      </c>
      <c r="B1066" s="9" t="s">
        <v>874</v>
      </c>
      <c r="C1066" s="10">
        <v>1.0</v>
      </c>
      <c r="D1066" s="10">
        <v>1.0</v>
      </c>
      <c r="E1066" s="10">
        <v>3.0</v>
      </c>
      <c r="F1066" s="10">
        <v>2.0</v>
      </c>
      <c r="G1066" s="10">
        <v>1.0</v>
      </c>
      <c r="H1066" s="12">
        <f t="shared" si="1"/>
        <v>1.576</v>
      </c>
      <c r="I1066" s="13">
        <v>2.0</v>
      </c>
      <c r="J1066" s="14">
        <f t="shared" si="2"/>
        <v>3.152</v>
      </c>
      <c r="K1066" s="15" t="str">
        <f t="shared" si="3"/>
        <v>Baja</v>
      </c>
    </row>
    <row r="1067" ht="14.25" customHeight="1">
      <c r="A1067" s="6" t="s">
        <v>1931</v>
      </c>
      <c r="B1067" s="9" t="s">
        <v>882</v>
      </c>
      <c r="C1067" s="10">
        <v>1.0</v>
      </c>
      <c r="D1067" s="10">
        <v>1.0</v>
      </c>
      <c r="E1067" s="10">
        <v>2.0</v>
      </c>
      <c r="F1067" s="10">
        <v>1.0</v>
      </c>
      <c r="G1067" s="10">
        <v>1.0</v>
      </c>
      <c r="H1067" s="12">
        <f t="shared" si="1"/>
        <v>1.24</v>
      </c>
      <c r="I1067" s="13">
        <v>3.0</v>
      </c>
      <c r="J1067" s="14">
        <f t="shared" si="2"/>
        <v>3.72</v>
      </c>
      <c r="K1067" s="15" t="str">
        <f t="shared" si="3"/>
        <v>Baja</v>
      </c>
    </row>
    <row r="1068" ht="14.25" customHeight="1">
      <c r="A1068" s="6" t="s">
        <v>1931</v>
      </c>
      <c r="B1068" s="9" t="s">
        <v>887</v>
      </c>
      <c r="C1068" s="10">
        <v>1.0</v>
      </c>
      <c r="D1068" s="10">
        <v>1.0</v>
      </c>
      <c r="E1068" s="10">
        <v>2.0</v>
      </c>
      <c r="F1068" s="10">
        <v>1.0</v>
      </c>
      <c r="G1068" s="10">
        <v>1.0</v>
      </c>
      <c r="H1068" s="12">
        <f t="shared" si="1"/>
        <v>1.24</v>
      </c>
      <c r="I1068" s="13">
        <v>3.0</v>
      </c>
      <c r="J1068" s="14">
        <f t="shared" si="2"/>
        <v>3.72</v>
      </c>
      <c r="K1068" s="15" t="str">
        <f t="shared" si="3"/>
        <v>Baja</v>
      </c>
    </row>
    <row r="1069" ht="14.25" customHeight="1">
      <c r="A1069" s="6" t="s">
        <v>1931</v>
      </c>
      <c r="B1069" s="9" t="s">
        <v>898</v>
      </c>
      <c r="C1069" s="10">
        <v>1.0</v>
      </c>
      <c r="D1069" s="10">
        <v>1.0</v>
      </c>
      <c r="E1069" s="10">
        <v>3.0</v>
      </c>
      <c r="F1069" s="10">
        <v>2.0</v>
      </c>
      <c r="G1069" s="10">
        <v>1.0</v>
      </c>
      <c r="H1069" s="12">
        <f t="shared" si="1"/>
        <v>1.576</v>
      </c>
      <c r="I1069" s="13">
        <v>3.0</v>
      </c>
      <c r="J1069" s="14">
        <f t="shared" si="2"/>
        <v>4.728</v>
      </c>
      <c r="K1069" s="15" t="str">
        <f t="shared" si="3"/>
        <v>Media</v>
      </c>
    </row>
    <row r="1070" ht="14.25" customHeight="1">
      <c r="A1070" s="6" t="s">
        <v>1931</v>
      </c>
      <c r="B1070" s="9" t="s">
        <v>902</v>
      </c>
      <c r="C1070" s="10">
        <v>1.0</v>
      </c>
      <c r="D1070" s="10">
        <v>1.0</v>
      </c>
      <c r="E1070" s="10">
        <v>2.0</v>
      </c>
      <c r="F1070" s="10">
        <v>1.0</v>
      </c>
      <c r="G1070" s="10">
        <v>1.0</v>
      </c>
      <c r="H1070" s="12">
        <f t="shared" si="1"/>
        <v>1.24</v>
      </c>
      <c r="I1070" s="13">
        <v>3.0</v>
      </c>
      <c r="J1070" s="14">
        <f t="shared" si="2"/>
        <v>3.72</v>
      </c>
      <c r="K1070" s="15" t="str">
        <f t="shared" si="3"/>
        <v>Baja</v>
      </c>
    </row>
    <row r="1071" ht="14.25" customHeight="1">
      <c r="A1071" s="6" t="s">
        <v>1936</v>
      </c>
      <c r="B1071" s="27" t="s">
        <v>910</v>
      </c>
      <c r="C1071" s="10">
        <v>1.0</v>
      </c>
      <c r="D1071" s="10">
        <v>1.0</v>
      </c>
      <c r="E1071" s="10">
        <v>2.0</v>
      </c>
      <c r="F1071" s="10">
        <v>1.0</v>
      </c>
      <c r="G1071" s="10">
        <v>1.0</v>
      </c>
      <c r="H1071" s="12">
        <f t="shared" si="1"/>
        <v>1.24</v>
      </c>
      <c r="I1071" s="13">
        <v>1.0</v>
      </c>
      <c r="J1071" s="14">
        <f t="shared" si="2"/>
        <v>1.24</v>
      </c>
      <c r="K1071" s="15" t="str">
        <f t="shared" si="3"/>
        <v>Baja</v>
      </c>
    </row>
    <row r="1072" ht="14.25" customHeight="1">
      <c r="A1072" s="6" t="s">
        <v>1936</v>
      </c>
      <c r="B1072" s="27" t="s">
        <v>854</v>
      </c>
      <c r="C1072" s="10">
        <v>1.0</v>
      </c>
      <c r="D1072" s="10">
        <v>1.0</v>
      </c>
      <c r="E1072" s="10">
        <v>3.0</v>
      </c>
      <c r="F1072" s="10">
        <v>2.0</v>
      </c>
      <c r="G1072" s="10">
        <v>1.0</v>
      </c>
      <c r="H1072" s="12">
        <f t="shared" si="1"/>
        <v>1.576</v>
      </c>
      <c r="I1072" s="13">
        <v>3.0</v>
      </c>
      <c r="J1072" s="14">
        <f t="shared" si="2"/>
        <v>4.728</v>
      </c>
      <c r="K1072" s="15" t="str">
        <f t="shared" si="3"/>
        <v>Media</v>
      </c>
    </row>
    <row r="1073" ht="14.25" customHeight="1">
      <c r="A1073" s="6" t="s">
        <v>1936</v>
      </c>
      <c r="B1073" s="27" t="s">
        <v>930</v>
      </c>
      <c r="C1073" s="10">
        <v>1.0</v>
      </c>
      <c r="D1073" s="10">
        <v>1.0</v>
      </c>
      <c r="E1073" s="10">
        <v>2.0</v>
      </c>
      <c r="F1073" s="10">
        <v>1.0</v>
      </c>
      <c r="G1073" s="10">
        <v>1.0</v>
      </c>
      <c r="H1073" s="12">
        <f t="shared" si="1"/>
        <v>1.24</v>
      </c>
      <c r="I1073" s="13">
        <v>1.0</v>
      </c>
      <c r="J1073" s="14">
        <f t="shared" si="2"/>
        <v>1.24</v>
      </c>
      <c r="K1073" s="15" t="str">
        <f t="shared" si="3"/>
        <v>Baja</v>
      </c>
    </row>
    <row r="1074" ht="14.25" customHeight="1">
      <c r="A1074" s="6" t="s">
        <v>1936</v>
      </c>
      <c r="B1074" s="27" t="s">
        <v>874</v>
      </c>
      <c r="C1074" s="10">
        <v>1.0</v>
      </c>
      <c r="D1074" s="10">
        <v>1.0</v>
      </c>
      <c r="E1074" s="10">
        <v>3.0</v>
      </c>
      <c r="F1074" s="10">
        <v>2.0</v>
      </c>
      <c r="G1074" s="10">
        <v>1.0</v>
      </c>
      <c r="H1074" s="12">
        <f t="shared" si="1"/>
        <v>1.576</v>
      </c>
      <c r="I1074" s="13">
        <v>2.0</v>
      </c>
      <c r="J1074" s="14">
        <f t="shared" si="2"/>
        <v>3.152</v>
      </c>
      <c r="K1074" s="15" t="str">
        <f t="shared" si="3"/>
        <v>Baja</v>
      </c>
    </row>
    <row r="1075" ht="14.25" customHeight="1">
      <c r="A1075" s="6" t="s">
        <v>1936</v>
      </c>
      <c r="B1075" s="27" t="s">
        <v>948</v>
      </c>
      <c r="C1075" s="10">
        <v>1.0</v>
      </c>
      <c r="D1075" s="10">
        <v>1.0</v>
      </c>
      <c r="E1075" s="10">
        <v>2.0</v>
      </c>
      <c r="F1075" s="10">
        <v>1.0</v>
      </c>
      <c r="G1075" s="10">
        <v>1.0</v>
      </c>
      <c r="H1075" s="12">
        <f t="shared" si="1"/>
        <v>1.24</v>
      </c>
      <c r="I1075" s="13">
        <v>3.0</v>
      </c>
      <c r="J1075" s="14">
        <f t="shared" si="2"/>
        <v>3.72</v>
      </c>
      <c r="K1075" s="15" t="str">
        <f t="shared" si="3"/>
        <v>Baja</v>
      </c>
    </row>
    <row r="1076" ht="14.25" customHeight="1">
      <c r="A1076" s="6" t="s">
        <v>1936</v>
      </c>
      <c r="B1076" s="27" t="s">
        <v>955</v>
      </c>
      <c r="C1076" s="10">
        <v>1.0</v>
      </c>
      <c r="D1076" s="10">
        <v>1.0</v>
      </c>
      <c r="E1076" s="10">
        <v>2.0</v>
      </c>
      <c r="F1076" s="10">
        <v>1.0</v>
      </c>
      <c r="G1076" s="10">
        <v>1.0</v>
      </c>
      <c r="H1076" s="12">
        <f t="shared" si="1"/>
        <v>1.24</v>
      </c>
      <c r="I1076" s="13">
        <v>2.0</v>
      </c>
      <c r="J1076" s="14">
        <f t="shared" si="2"/>
        <v>2.48</v>
      </c>
      <c r="K1076" s="15" t="str">
        <f t="shared" si="3"/>
        <v>Baja</v>
      </c>
    </row>
    <row r="1077" ht="14.25" customHeight="1">
      <c r="A1077" s="6" t="s">
        <v>1936</v>
      </c>
      <c r="B1077" s="27" t="s">
        <v>966</v>
      </c>
      <c r="C1077" s="10">
        <v>1.0</v>
      </c>
      <c r="D1077" s="10">
        <v>1.0</v>
      </c>
      <c r="E1077" s="10">
        <v>2.0</v>
      </c>
      <c r="F1077" s="10">
        <v>1.0</v>
      </c>
      <c r="G1077" s="10">
        <v>1.0</v>
      </c>
      <c r="H1077" s="12">
        <f t="shared" si="1"/>
        <v>1.24</v>
      </c>
      <c r="I1077" s="13">
        <v>3.0</v>
      </c>
      <c r="J1077" s="14">
        <f t="shared" si="2"/>
        <v>3.72</v>
      </c>
      <c r="K1077" s="15" t="str">
        <f t="shared" si="3"/>
        <v>Baja</v>
      </c>
    </row>
    <row r="1078" ht="14.25" customHeight="1">
      <c r="A1078" s="6" t="s">
        <v>1938</v>
      </c>
      <c r="B1078" s="9" t="s">
        <v>3643</v>
      </c>
      <c r="C1078" s="10">
        <v>1.0</v>
      </c>
      <c r="D1078" s="10">
        <v>1.0</v>
      </c>
      <c r="E1078" s="10">
        <v>3.0</v>
      </c>
      <c r="F1078" s="10">
        <v>2.0</v>
      </c>
      <c r="G1078" s="10">
        <v>1.0</v>
      </c>
      <c r="H1078" s="12">
        <f t="shared" si="1"/>
        <v>1.576</v>
      </c>
      <c r="I1078" s="13">
        <v>2.0</v>
      </c>
      <c r="J1078" s="14">
        <f t="shared" si="2"/>
        <v>3.152</v>
      </c>
      <c r="K1078" s="15" t="str">
        <f t="shared" si="3"/>
        <v>Baja</v>
      </c>
    </row>
    <row r="1079" ht="14.25" customHeight="1">
      <c r="A1079" s="6" t="s">
        <v>1938</v>
      </c>
      <c r="B1079" s="9" t="s">
        <v>3644</v>
      </c>
      <c r="C1079" s="10">
        <v>1.0</v>
      </c>
      <c r="D1079" s="10">
        <v>1.0</v>
      </c>
      <c r="E1079" s="10">
        <v>2.0</v>
      </c>
      <c r="F1079" s="10">
        <v>1.0</v>
      </c>
      <c r="G1079" s="10">
        <v>1.0</v>
      </c>
      <c r="H1079" s="12">
        <f t="shared" si="1"/>
        <v>1.24</v>
      </c>
      <c r="I1079" s="13">
        <v>3.0</v>
      </c>
      <c r="J1079" s="14">
        <f t="shared" si="2"/>
        <v>3.72</v>
      </c>
      <c r="K1079" s="15" t="str">
        <f t="shared" si="3"/>
        <v>Baja</v>
      </c>
    </row>
    <row r="1080" ht="14.25" customHeight="1">
      <c r="A1080" s="6" t="s">
        <v>1938</v>
      </c>
      <c r="B1080" s="9" t="s">
        <v>3320</v>
      </c>
      <c r="C1080" s="10">
        <v>1.0</v>
      </c>
      <c r="D1080" s="10">
        <v>1.0</v>
      </c>
      <c r="E1080" s="10">
        <v>3.0</v>
      </c>
      <c r="F1080" s="10">
        <v>2.0</v>
      </c>
      <c r="G1080" s="10">
        <v>1.0</v>
      </c>
      <c r="H1080" s="12">
        <f t="shared" si="1"/>
        <v>1.576</v>
      </c>
      <c r="I1080" s="13">
        <v>2.0</v>
      </c>
      <c r="J1080" s="14">
        <f t="shared" si="2"/>
        <v>3.152</v>
      </c>
      <c r="K1080" s="15" t="str">
        <f t="shared" si="3"/>
        <v>Baja</v>
      </c>
    </row>
    <row r="1081" ht="14.25" customHeight="1">
      <c r="A1081" s="6" t="s">
        <v>1952</v>
      </c>
      <c r="B1081" s="27" t="s">
        <v>1157</v>
      </c>
      <c r="C1081" s="10">
        <v>1.0</v>
      </c>
      <c r="D1081" s="10">
        <v>1.0</v>
      </c>
      <c r="E1081" s="10">
        <v>3.0</v>
      </c>
      <c r="F1081" s="10">
        <v>1.0</v>
      </c>
      <c r="G1081" s="10">
        <v>1.0</v>
      </c>
      <c r="H1081" s="12">
        <f t="shared" si="1"/>
        <v>1.48</v>
      </c>
      <c r="I1081" s="13">
        <v>2.0</v>
      </c>
      <c r="J1081" s="14">
        <f t="shared" si="2"/>
        <v>2.96</v>
      </c>
      <c r="K1081" s="15" t="str">
        <f t="shared" si="3"/>
        <v>Baja</v>
      </c>
    </row>
    <row r="1082" ht="14.25" customHeight="1">
      <c r="A1082" s="6" t="s">
        <v>1952</v>
      </c>
      <c r="B1082" s="27" t="s">
        <v>1167</v>
      </c>
      <c r="C1082" s="10">
        <v>1.0</v>
      </c>
      <c r="D1082" s="10">
        <v>1.0</v>
      </c>
      <c r="E1082" s="10">
        <v>2.0</v>
      </c>
      <c r="F1082" s="10">
        <v>1.0</v>
      </c>
      <c r="G1082" s="10">
        <v>1.0</v>
      </c>
      <c r="H1082" s="12">
        <f t="shared" si="1"/>
        <v>1.24</v>
      </c>
      <c r="I1082" s="13">
        <v>1.0</v>
      </c>
      <c r="J1082" s="14">
        <f t="shared" si="2"/>
        <v>1.24</v>
      </c>
      <c r="K1082" s="15" t="str">
        <f t="shared" si="3"/>
        <v>Baja</v>
      </c>
    </row>
    <row r="1083" ht="14.25" customHeight="1">
      <c r="A1083" s="6" t="s">
        <v>1952</v>
      </c>
      <c r="B1083" s="27" t="s">
        <v>1176</v>
      </c>
      <c r="C1083" s="10">
        <v>1.0</v>
      </c>
      <c r="D1083" s="10">
        <v>1.0</v>
      </c>
      <c r="E1083" s="10">
        <v>2.0</v>
      </c>
      <c r="F1083" s="10">
        <v>1.0</v>
      </c>
      <c r="G1083" s="10">
        <v>1.0</v>
      </c>
      <c r="H1083" s="12">
        <f t="shared" si="1"/>
        <v>1.24</v>
      </c>
      <c r="I1083" s="13">
        <v>3.0</v>
      </c>
      <c r="J1083" s="14">
        <f t="shared" si="2"/>
        <v>3.72</v>
      </c>
      <c r="K1083" s="15" t="str">
        <f t="shared" si="3"/>
        <v>Baja</v>
      </c>
    </row>
    <row r="1084" ht="14.25" customHeight="1">
      <c r="A1084" s="6" t="s">
        <v>1952</v>
      </c>
      <c r="B1084" s="27" t="s">
        <v>1184</v>
      </c>
      <c r="C1084" s="10">
        <v>1.0</v>
      </c>
      <c r="D1084" s="10">
        <v>1.0</v>
      </c>
      <c r="E1084" s="10">
        <v>2.0</v>
      </c>
      <c r="F1084" s="10">
        <v>1.0</v>
      </c>
      <c r="G1084" s="10">
        <v>1.0</v>
      </c>
      <c r="H1084" s="12">
        <f t="shared" si="1"/>
        <v>1.24</v>
      </c>
      <c r="I1084" s="13">
        <v>2.0</v>
      </c>
      <c r="J1084" s="14">
        <f t="shared" si="2"/>
        <v>2.48</v>
      </c>
      <c r="K1084" s="15" t="str">
        <f t="shared" si="3"/>
        <v>Baja</v>
      </c>
    </row>
    <row r="1085" ht="14.25" customHeight="1">
      <c r="A1085" s="6" t="s">
        <v>1957</v>
      </c>
      <c r="B1085" s="9" t="s">
        <v>1191</v>
      </c>
      <c r="C1085" s="10">
        <v>1.0</v>
      </c>
      <c r="D1085" s="10">
        <v>2.0</v>
      </c>
      <c r="E1085" s="10">
        <v>2.0</v>
      </c>
      <c r="F1085" s="10">
        <v>1.0</v>
      </c>
      <c r="G1085" s="10">
        <v>1.0</v>
      </c>
      <c r="H1085" s="12">
        <f t="shared" si="1"/>
        <v>1.42</v>
      </c>
      <c r="I1085" s="13">
        <v>3.0</v>
      </c>
      <c r="J1085" s="14">
        <f t="shared" si="2"/>
        <v>4.26</v>
      </c>
      <c r="K1085" s="15" t="str">
        <f t="shared" si="3"/>
        <v>Media</v>
      </c>
    </row>
    <row r="1086" ht="14.25" customHeight="1">
      <c r="A1086" s="6" t="s">
        <v>1957</v>
      </c>
      <c r="B1086" s="9" t="s">
        <v>1195</v>
      </c>
      <c r="C1086" s="10">
        <v>1.0</v>
      </c>
      <c r="D1086" s="10">
        <v>2.0</v>
      </c>
      <c r="E1086" s="10">
        <v>2.0</v>
      </c>
      <c r="F1086" s="10">
        <v>1.0</v>
      </c>
      <c r="G1086" s="10">
        <v>1.0</v>
      </c>
      <c r="H1086" s="12">
        <f t="shared" si="1"/>
        <v>1.42</v>
      </c>
      <c r="I1086" s="13">
        <v>2.0</v>
      </c>
      <c r="J1086" s="14">
        <f t="shared" si="2"/>
        <v>2.84</v>
      </c>
      <c r="K1086" s="15" t="str">
        <f t="shared" si="3"/>
        <v>Baja</v>
      </c>
    </row>
    <row r="1087" ht="14.25" customHeight="1">
      <c r="A1087" s="6" t="s">
        <v>1957</v>
      </c>
      <c r="B1087" s="9" t="s">
        <v>1204</v>
      </c>
      <c r="C1087" s="10">
        <v>1.0</v>
      </c>
      <c r="D1087" s="10">
        <v>2.0</v>
      </c>
      <c r="E1087" s="10">
        <v>2.0</v>
      </c>
      <c r="F1087" s="10">
        <v>1.0</v>
      </c>
      <c r="G1087" s="10">
        <v>1.0</v>
      </c>
      <c r="H1087" s="12">
        <f t="shared" si="1"/>
        <v>1.42</v>
      </c>
      <c r="I1087" s="13">
        <v>1.0</v>
      </c>
      <c r="J1087" s="14">
        <f t="shared" si="2"/>
        <v>1.42</v>
      </c>
      <c r="K1087" s="15" t="str">
        <f t="shared" si="3"/>
        <v>Baja</v>
      </c>
    </row>
    <row r="1088" ht="14.25" customHeight="1">
      <c r="A1088" s="6" t="s">
        <v>1957</v>
      </c>
      <c r="B1088" s="9" t="s">
        <v>1210</v>
      </c>
      <c r="C1088" s="10">
        <v>1.0</v>
      </c>
      <c r="D1088" s="10">
        <v>2.0</v>
      </c>
      <c r="E1088" s="10">
        <v>2.0</v>
      </c>
      <c r="F1088" s="10">
        <v>1.0</v>
      </c>
      <c r="G1088" s="10">
        <v>1.0</v>
      </c>
      <c r="H1088" s="12">
        <f t="shared" si="1"/>
        <v>1.42</v>
      </c>
      <c r="I1088" s="13">
        <v>3.0</v>
      </c>
      <c r="J1088" s="14">
        <f t="shared" si="2"/>
        <v>4.26</v>
      </c>
      <c r="K1088" s="15" t="str">
        <f t="shared" si="3"/>
        <v>Media</v>
      </c>
    </row>
    <row r="1089" ht="14.25" customHeight="1">
      <c r="A1089" s="6" t="s">
        <v>1957</v>
      </c>
      <c r="B1089" s="9" t="s">
        <v>1219</v>
      </c>
      <c r="C1089" s="10">
        <v>1.0</v>
      </c>
      <c r="D1089" s="10">
        <v>2.0</v>
      </c>
      <c r="E1089" s="10">
        <v>2.0</v>
      </c>
      <c r="F1089" s="10">
        <v>1.0</v>
      </c>
      <c r="G1089" s="10">
        <v>1.0</v>
      </c>
      <c r="H1089" s="12">
        <f t="shared" si="1"/>
        <v>1.42</v>
      </c>
      <c r="I1089" s="13">
        <v>3.0</v>
      </c>
      <c r="J1089" s="14">
        <f t="shared" si="2"/>
        <v>4.26</v>
      </c>
      <c r="K1089" s="15" t="str">
        <f t="shared" si="3"/>
        <v>Media</v>
      </c>
    </row>
    <row r="1090" ht="14.25" customHeight="1">
      <c r="A1090" s="6" t="s">
        <v>1957</v>
      </c>
      <c r="B1090" s="9" t="s">
        <v>1228</v>
      </c>
      <c r="C1090" s="10">
        <v>1.0</v>
      </c>
      <c r="D1090" s="10">
        <v>1.0</v>
      </c>
      <c r="E1090" s="10">
        <v>2.0</v>
      </c>
      <c r="F1090" s="10">
        <v>1.0</v>
      </c>
      <c r="G1090" s="10">
        <v>1.0</v>
      </c>
      <c r="H1090" s="12">
        <f t="shared" si="1"/>
        <v>1.24</v>
      </c>
      <c r="I1090" s="13">
        <v>2.0</v>
      </c>
      <c r="J1090" s="14">
        <f t="shared" si="2"/>
        <v>2.48</v>
      </c>
      <c r="K1090" s="15" t="str">
        <f t="shared" si="3"/>
        <v>Baja</v>
      </c>
    </row>
    <row r="1091" ht="14.25" customHeight="1">
      <c r="A1091" s="6" t="s">
        <v>1957</v>
      </c>
      <c r="B1091" s="9" t="s">
        <v>1233</v>
      </c>
      <c r="C1091" s="10">
        <v>1.0</v>
      </c>
      <c r="D1091" s="10">
        <v>1.0</v>
      </c>
      <c r="E1091" s="10">
        <v>2.0</v>
      </c>
      <c r="F1091" s="10">
        <v>1.0</v>
      </c>
      <c r="G1091" s="10">
        <v>1.0</v>
      </c>
      <c r="H1091" s="12">
        <f t="shared" si="1"/>
        <v>1.24</v>
      </c>
      <c r="I1091" s="13">
        <v>3.0</v>
      </c>
      <c r="J1091" s="14">
        <f t="shared" si="2"/>
        <v>3.72</v>
      </c>
      <c r="K1091" s="15" t="str">
        <f t="shared" si="3"/>
        <v>Baja</v>
      </c>
    </row>
    <row r="1092" ht="14.25" customHeight="1">
      <c r="A1092" s="6" t="s">
        <v>1961</v>
      </c>
      <c r="B1092" s="27" t="s">
        <v>1191</v>
      </c>
      <c r="C1092" s="10">
        <v>1.0</v>
      </c>
      <c r="D1092" s="10">
        <v>2.0</v>
      </c>
      <c r="E1092" s="10">
        <v>2.0</v>
      </c>
      <c r="F1092" s="10">
        <v>1.0</v>
      </c>
      <c r="G1092" s="10">
        <v>1.0</v>
      </c>
      <c r="H1092" s="12">
        <f t="shared" si="1"/>
        <v>1.42</v>
      </c>
      <c r="I1092" s="13">
        <v>3.0</v>
      </c>
      <c r="J1092" s="14">
        <f t="shared" si="2"/>
        <v>4.26</v>
      </c>
      <c r="K1092" s="15" t="str">
        <f t="shared" si="3"/>
        <v>Media</v>
      </c>
    </row>
    <row r="1093" ht="14.25" customHeight="1">
      <c r="A1093" s="6" t="s">
        <v>1961</v>
      </c>
      <c r="B1093" s="27" t="s">
        <v>1204</v>
      </c>
      <c r="C1093" s="10">
        <v>1.0</v>
      </c>
      <c r="D1093" s="10">
        <v>2.0</v>
      </c>
      <c r="E1093" s="10">
        <v>2.0</v>
      </c>
      <c r="F1093" s="10">
        <v>1.0</v>
      </c>
      <c r="G1093" s="10">
        <v>1.0</v>
      </c>
      <c r="H1093" s="12">
        <f t="shared" si="1"/>
        <v>1.42</v>
      </c>
      <c r="I1093" s="13">
        <v>1.0</v>
      </c>
      <c r="J1093" s="14">
        <f t="shared" si="2"/>
        <v>1.42</v>
      </c>
      <c r="K1093" s="15" t="str">
        <f t="shared" si="3"/>
        <v>Baja</v>
      </c>
    </row>
    <row r="1094" ht="14.25" customHeight="1">
      <c r="A1094" s="6" t="s">
        <v>1961</v>
      </c>
      <c r="B1094" s="27" t="s">
        <v>1228</v>
      </c>
      <c r="C1094" s="10">
        <v>1.0</v>
      </c>
      <c r="D1094" s="10">
        <v>1.0</v>
      </c>
      <c r="E1094" s="10">
        <v>2.0</v>
      </c>
      <c r="F1094" s="10">
        <v>1.0</v>
      </c>
      <c r="G1094" s="10">
        <v>1.0</v>
      </c>
      <c r="H1094" s="12">
        <f t="shared" si="1"/>
        <v>1.24</v>
      </c>
      <c r="I1094" s="13">
        <v>2.0</v>
      </c>
      <c r="J1094" s="14">
        <f t="shared" si="2"/>
        <v>2.48</v>
      </c>
      <c r="K1094" s="15" t="str">
        <f t="shared" si="3"/>
        <v>Baja</v>
      </c>
    </row>
    <row r="1095" ht="14.25" customHeight="1">
      <c r="A1095" s="6" t="s">
        <v>1966</v>
      </c>
      <c r="B1095" s="9" t="s">
        <v>3646</v>
      </c>
      <c r="C1095" s="10">
        <v>4.0</v>
      </c>
      <c r="D1095" s="10">
        <v>1.0</v>
      </c>
      <c r="E1095" s="10">
        <v>3.0</v>
      </c>
      <c r="F1095" s="10">
        <v>2.0</v>
      </c>
      <c r="G1095" s="10">
        <v>1.0</v>
      </c>
      <c r="H1095" s="12">
        <f t="shared" si="1"/>
        <v>2.728</v>
      </c>
      <c r="I1095" s="13">
        <v>3.0</v>
      </c>
      <c r="J1095" s="14">
        <f t="shared" si="2"/>
        <v>8.184</v>
      </c>
      <c r="K1095" s="15" t="str">
        <f t="shared" si="3"/>
        <v>Media</v>
      </c>
    </row>
    <row r="1096" ht="14.25" customHeight="1">
      <c r="A1096" s="6" t="s">
        <v>1966</v>
      </c>
      <c r="B1096" s="9" t="s">
        <v>3647</v>
      </c>
      <c r="C1096" s="10">
        <v>4.0</v>
      </c>
      <c r="D1096" s="10">
        <v>1.0</v>
      </c>
      <c r="E1096" s="10">
        <v>2.0</v>
      </c>
      <c r="F1096" s="10">
        <v>1.0</v>
      </c>
      <c r="G1096" s="10">
        <v>1.0</v>
      </c>
      <c r="H1096" s="12">
        <f t="shared" si="1"/>
        <v>2.392</v>
      </c>
      <c r="I1096" s="13">
        <v>3.0</v>
      </c>
      <c r="J1096" s="14">
        <f t="shared" si="2"/>
        <v>7.176</v>
      </c>
      <c r="K1096" s="15" t="str">
        <f t="shared" si="3"/>
        <v>Media</v>
      </c>
    </row>
    <row r="1097" ht="14.25" customHeight="1">
      <c r="A1097" s="6" t="s">
        <v>1966</v>
      </c>
      <c r="B1097" s="9" t="s">
        <v>874</v>
      </c>
      <c r="C1097" s="10">
        <v>1.0</v>
      </c>
      <c r="D1097" s="10">
        <v>1.0</v>
      </c>
      <c r="E1097" s="10">
        <v>3.0</v>
      </c>
      <c r="F1097" s="10">
        <v>2.0</v>
      </c>
      <c r="G1097" s="10">
        <v>1.0</v>
      </c>
      <c r="H1097" s="12">
        <f t="shared" si="1"/>
        <v>1.576</v>
      </c>
      <c r="I1097" s="13">
        <v>2.0</v>
      </c>
      <c r="J1097" s="14">
        <f t="shared" si="2"/>
        <v>3.152</v>
      </c>
      <c r="K1097" s="15" t="str">
        <f t="shared" si="3"/>
        <v>Baja</v>
      </c>
    </row>
    <row r="1098" ht="14.25" customHeight="1">
      <c r="A1098" s="6" t="s">
        <v>1966</v>
      </c>
      <c r="B1098" s="9" t="s">
        <v>3321</v>
      </c>
      <c r="C1098" s="10">
        <v>3.0</v>
      </c>
      <c r="D1098" s="10">
        <v>1.0</v>
      </c>
      <c r="E1098" s="10">
        <v>3.0</v>
      </c>
      <c r="F1098" s="10">
        <v>1.0</v>
      </c>
      <c r="G1098" s="10">
        <v>1.0</v>
      </c>
      <c r="H1098" s="12">
        <f t="shared" si="1"/>
        <v>2.248</v>
      </c>
      <c r="I1098" s="13">
        <v>2.0</v>
      </c>
      <c r="J1098" s="14">
        <f t="shared" si="2"/>
        <v>4.496</v>
      </c>
      <c r="K1098" s="15" t="str">
        <f t="shared" si="3"/>
        <v>Media</v>
      </c>
    </row>
    <row r="1099" ht="14.25" customHeight="1">
      <c r="A1099" s="6" t="s">
        <v>1977</v>
      </c>
      <c r="B1099" s="27" t="s">
        <v>3317</v>
      </c>
      <c r="C1099" s="10">
        <v>4.0</v>
      </c>
      <c r="D1099" s="10">
        <v>1.0</v>
      </c>
      <c r="E1099" s="10">
        <v>3.0</v>
      </c>
      <c r="F1099" s="10">
        <v>3.0</v>
      </c>
      <c r="G1099" s="10">
        <v>1.0</v>
      </c>
      <c r="H1099" s="12">
        <f t="shared" si="1"/>
        <v>2.824</v>
      </c>
      <c r="I1099" s="13">
        <v>3.0</v>
      </c>
      <c r="J1099" s="14">
        <f t="shared" si="2"/>
        <v>8.472</v>
      </c>
      <c r="K1099" s="15" t="str">
        <f t="shared" si="3"/>
        <v>Media</v>
      </c>
    </row>
    <row r="1100" ht="14.25" customHeight="1">
      <c r="A1100" s="6" t="s">
        <v>1977</v>
      </c>
      <c r="B1100" s="27" t="s">
        <v>948</v>
      </c>
      <c r="C1100" s="10">
        <v>1.0</v>
      </c>
      <c r="D1100" s="10">
        <v>1.0</v>
      </c>
      <c r="E1100" s="10">
        <v>2.0</v>
      </c>
      <c r="F1100" s="10">
        <v>1.0</v>
      </c>
      <c r="G1100" s="10">
        <v>1.0</v>
      </c>
      <c r="H1100" s="12">
        <f t="shared" si="1"/>
        <v>1.24</v>
      </c>
      <c r="I1100" s="13">
        <v>3.0</v>
      </c>
      <c r="J1100" s="14">
        <f t="shared" si="2"/>
        <v>3.72</v>
      </c>
      <c r="K1100" s="15" t="str">
        <f t="shared" si="3"/>
        <v>Baja</v>
      </c>
    </row>
    <row r="1101" ht="14.25" customHeight="1">
      <c r="A1101" s="6" t="s">
        <v>1977</v>
      </c>
      <c r="B1101" s="27" t="s">
        <v>3320</v>
      </c>
      <c r="C1101" s="10">
        <v>1.0</v>
      </c>
      <c r="D1101" s="10">
        <v>1.0</v>
      </c>
      <c r="E1101" s="10">
        <v>3.0</v>
      </c>
      <c r="F1101" s="10">
        <v>2.0</v>
      </c>
      <c r="G1101" s="10">
        <v>1.0</v>
      </c>
      <c r="H1101" s="12">
        <f t="shared" si="1"/>
        <v>1.576</v>
      </c>
      <c r="I1101" s="13">
        <v>2.0</v>
      </c>
      <c r="J1101" s="14">
        <f t="shared" si="2"/>
        <v>3.152</v>
      </c>
      <c r="K1101" s="15" t="str">
        <f t="shared" si="3"/>
        <v>Baja</v>
      </c>
    </row>
    <row r="1102" ht="14.25" customHeight="1">
      <c r="A1102" s="6" t="s">
        <v>1977</v>
      </c>
      <c r="B1102" s="27" t="s">
        <v>3321</v>
      </c>
      <c r="C1102" s="10">
        <v>3.0</v>
      </c>
      <c r="D1102" s="10">
        <v>1.0</v>
      </c>
      <c r="E1102" s="10">
        <v>3.0</v>
      </c>
      <c r="F1102" s="10">
        <v>1.0</v>
      </c>
      <c r="G1102" s="10">
        <v>1.0</v>
      </c>
      <c r="H1102" s="12">
        <f t="shared" si="1"/>
        <v>2.248</v>
      </c>
      <c r="I1102" s="13">
        <v>2.0</v>
      </c>
      <c r="J1102" s="14">
        <f t="shared" si="2"/>
        <v>4.496</v>
      </c>
      <c r="K1102" s="15" t="str">
        <f t="shared" si="3"/>
        <v>Media</v>
      </c>
    </row>
    <row r="1103" ht="14.25" customHeight="1">
      <c r="A1103" s="6" t="s">
        <v>1983</v>
      </c>
      <c r="B1103" s="9" t="s">
        <v>1246</v>
      </c>
      <c r="C1103" s="10">
        <v>3.0</v>
      </c>
      <c r="D1103" s="10">
        <v>2.0</v>
      </c>
      <c r="E1103" s="10">
        <v>3.0</v>
      </c>
      <c r="F1103" s="10">
        <v>1.0</v>
      </c>
      <c r="G1103" s="10">
        <v>1.0</v>
      </c>
      <c r="H1103" s="12">
        <f t="shared" si="1"/>
        <v>2.428</v>
      </c>
      <c r="I1103" s="13">
        <v>3.0</v>
      </c>
      <c r="J1103" s="14">
        <f t="shared" si="2"/>
        <v>7.284</v>
      </c>
      <c r="K1103" s="15" t="str">
        <f t="shared" si="3"/>
        <v>Media</v>
      </c>
    </row>
    <row r="1104" ht="14.25" customHeight="1">
      <c r="A1104" s="6" t="s">
        <v>1983</v>
      </c>
      <c r="B1104" s="9" t="s">
        <v>1248</v>
      </c>
      <c r="C1104" s="10">
        <v>3.0</v>
      </c>
      <c r="D1104" s="10">
        <v>2.0</v>
      </c>
      <c r="E1104" s="10">
        <v>2.0</v>
      </c>
      <c r="F1104" s="10">
        <v>2.0</v>
      </c>
      <c r="G1104" s="10">
        <v>1.0</v>
      </c>
      <c r="H1104" s="12">
        <f t="shared" si="1"/>
        <v>2.284</v>
      </c>
      <c r="I1104" s="13">
        <v>2.0</v>
      </c>
      <c r="J1104" s="14">
        <f t="shared" si="2"/>
        <v>4.568</v>
      </c>
      <c r="K1104" s="15" t="str">
        <f t="shared" si="3"/>
        <v>Media</v>
      </c>
    </row>
    <row r="1105" ht="14.25" customHeight="1">
      <c r="A1105" s="6" t="s">
        <v>1983</v>
      </c>
      <c r="B1105" s="9" t="s">
        <v>1255</v>
      </c>
      <c r="C1105" s="10">
        <v>2.0</v>
      </c>
      <c r="D1105" s="10">
        <v>1.0</v>
      </c>
      <c r="E1105" s="10">
        <v>2.0</v>
      </c>
      <c r="F1105" s="10">
        <v>1.0</v>
      </c>
      <c r="G1105" s="10">
        <v>1.0</v>
      </c>
      <c r="H1105" s="12">
        <f t="shared" si="1"/>
        <v>1.624</v>
      </c>
      <c r="I1105" s="13">
        <v>2.0</v>
      </c>
      <c r="J1105" s="14">
        <f t="shared" si="2"/>
        <v>3.248</v>
      </c>
      <c r="K1105" s="15" t="str">
        <f t="shared" si="3"/>
        <v>Baja</v>
      </c>
    </row>
    <row r="1106" ht="14.25" customHeight="1">
      <c r="A1106" s="6" t="s">
        <v>1983</v>
      </c>
      <c r="B1106" s="9" t="s">
        <v>1259</v>
      </c>
      <c r="C1106" s="10">
        <v>2.0</v>
      </c>
      <c r="D1106" s="10">
        <v>1.0</v>
      </c>
      <c r="E1106" s="10">
        <v>2.0</v>
      </c>
      <c r="F1106" s="10">
        <v>2.0</v>
      </c>
      <c r="G1106" s="10">
        <v>1.0</v>
      </c>
      <c r="H1106" s="12">
        <f t="shared" si="1"/>
        <v>1.72</v>
      </c>
      <c r="I1106" s="13">
        <v>2.0</v>
      </c>
      <c r="J1106" s="14">
        <f t="shared" si="2"/>
        <v>3.44</v>
      </c>
      <c r="K1106" s="15" t="str">
        <f t="shared" si="3"/>
        <v>Baja</v>
      </c>
    </row>
    <row r="1107" ht="14.25" customHeight="1">
      <c r="A1107" s="6" t="s">
        <v>1983</v>
      </c>
      <c r="B1107" s="9" t="s">
        <v>1265</v>
      </c>
      <c r="C1107" s="10">
        <v>2.0</v>
      </c>
      <c r="D1107" s="10">
        <v>1.0</v>
      </c>
      <c r="E1107" s="10">
        <v>2.0</v>
      </c>
      <c r="F1107" s="10">
        <v>1.0</v>
      </c>
      <c r="G1107" s="10">
        <v>1.0</v>
      </c>
      <c r="H1107" s="12">
        <f t="shared" si="1"/>
        <v>1.624</v>
      </c>
      <c r="I1107" s="13">
        <v>3.0</v>
      </c>
      <c r="J1107" s="14">
        <f t="shared" si="2"/>
        <v>4.872</v>
      </c>
      <c r="K1107" s="15" t="str">
        <f t="shared" si="3"/>
        <v>Media</v>
      </c>
    </row>
    <row r="1108" ht="14.25" customHeight="1">
      <c r="A1108" s="6" t="s">
        <v>1983</v>
      </c>
      <c r="B1108" s="9" t="s">
        <v>1275</v>
      </c>
      <c r="C1108" s="10">
        <v>2.0</v>
      </c>
      <c r="D1108" s="10">
        <v>1.0</v>
      </c>
      <c r="E1108" s="10">
        <v>2.0</v>
      </c>
      <c r="F1108" s="10">
        <v>1.0</v>
      </c>
      <c r="G1108" s="10">
        <v>1.0</v>
      </c>
      <c r="H1108" s="12">
        <f t="shared" si="1"/>
        <v>1.624</v>
      </c>
      <c r="I1108" s="13">
        <v>2.0</v>
      </c>
      <c r="J1108" s="14">
        <f t="shared" si="2"/>
        <v>3.248</v>
      </c>
      <c r="K1108" s="15" t="str">
        <f t="shared" si="3"/>
        <v>Baja</v>
      </c>
    </row>
    <row r="1109" ht="14.25" customHeight="1">
      <c r="A1109" s="6" t="s">
        <v>1990</v>
      </c>
      <c r="B1109" s="27" t="s">
        <v>3636</v>
      </c>
      <c r="C1109" s="10">
        <v>3.0</v>
      </c>
      <c r="D1109" s="10">
        <v>3.0</v>
      </c>
      <c r="E1109" s="10">
        <v>3.0</v>
      </c>
      <c r="F1109" s="10">
        <v>1.0</v>
      </c>
      <c r="G1109" s="10">
        <v>1.0</v>
      </c>
      <c r="H1109" s="12">
        <f t="shared" si="1"/>
        <v>2.608</v>
      </c>
      <c r="I1109" s="13">
        <v>1.0</v>
      </c>
      <c r="J1109" s="14">
        <f t="shared" si="2"/>
        <v>2.608</v>
      </c>
      <c r="K1109" s="15" t="str">
        <f t="shared" si="3"/>
        <v>Baja</v>
      </c>
    </row>
    <row r="1110" ht="14.25" customHeight="1">
      <c r="A1110" s="6" t="s">
        <v>1990</v>
      </c>
      <c r="B1110" s="27" t="s">
        <v>3637</v>
      </c>
      <c r="C1110" s="10">
        <v>2.0</v>
      </c>
      <c r="D1110" s="10">
        <v>2.0</v>
      </c>
      <c r="E1110" s="10">
        <v>3.0</v>
      </c>
      <c r="F1110" s="10">
        <v>2.0</v>
      </c>
      <c r="G1110" s="10">
        <v>1.0</v>
      </c>
      <c r="H1110" s="12">
        <f t="shared" si="1"/>
        <v>2.14</v>
      </c>
      <c r="I1110" s="13">
        <v>3.0</v>
      </c>
      <c r="J1110" s="14">
        <f t="shared" si="2"/>
        <v>6.42</v>
      </c>
      <c r="K1110" s="15" t="str">
        <f t="shared" si="3"/>
        <v>Media</v>
      </c>
    </row>
    <row r="1111" ht="14.25" customHeight="1">
      <c r="A1111" s="6" t="s">
        <v>1990</v>
      </c>
      <c r="B1111" s="27" t="s">
        <v>3638</v>
      </c>
      <c r="C1111" s="10">
        <v>2.0</v>
      </c>
      <c r="D1111" s="10">
        <v>2.0</v>
      </c>
      <c r="E1111" s="10">
        <v>3.0</v>
      </c>
      <c r="F1111" s="10">
        <v>1.0</v>
      </c>
      <c r="G1111" s="10">
        <v>1.0</v>
      </c>
      <c r="H1111" s="12">
        <f t="shared" si="1"/>
        <v>2.044</v>
      </c>
      <c r="I1111" s="13">
        <v>3.0</v>
      </c>
      <c r="J1111" s="14">
        <f t="shared" si="2"/>
        <v>6.132</v>
      </c>
      <c r="K1111" s="15" t="str">
        <f t="shared" si="3"/>
        <v>Media</v>
      </c>
    </row>
    <row r="1112" ht="14.25" customHeight="1">
      <c r="A1112" s="6" t="s">
        <v>1998</v>
      </c>
      <c r="B1112" s="9" t="s">
        <v>1609</v>
      </c>
      <c r="C1112" s="10">
        <v>3.0</v>
      </c>
      <c r="D1112" s="10">
        <v>3.0</v>
      </c>
      <c r="E1112" s="10">
        <v>3.0</v>
      </c>
      <c r="F1112" s="10">
        <v>3.0</v>
      </c>
      <c r="G1112" s="10">
        <v>2.0</v>
      </c>
      <c r="H1112" s="12">
        <f t="shared" si="1"/>
        <v>2.9</v>
      </c>
      <c r="I1112" s="13">
        <v>1.0</v>
      </c>
      <c r="J1112" s="14">
        <f t="shared" si="2"/>
        <v>2.9</v>
      </c>
      <c r="K1112" s="15" t="str">
        <f t="shared" si="3"/>
        <v>Baja</v>
      </c>
    </row>
    <row r="1113" ht="14.25" customHeight="1">
      <c r="A1113" s="6" t="s">
        <v>1998</v>
      </c>
      <c r="B1113" s="9" t="s">
        <v>1615</v>
      </c>
      <c r="C1113" s="10">
        <v>3.0</v>
      </c>
      <c r="D1113" s="10">
        <v>3.0</v>
      </c>
      <c r="E1113" s="10">
        <v>3.0</v>
      </c>
      <c r="F1113" s="10">
        <v>2.0</v>
      </c>
      <c r="G1113" s="10">
        <v>2.0</v>
      </c>
      <c r="H1113" s="12">
        <f t="shared" si="1"/>
        <v>2.804</v>
      </c>
      <c r="I1113" s="13">
        <v>1.0</v>
      </c>
      <c r="J1113" s="14">
        <f t="shared" si="2"/>
        <v>2.804</v>
      </c>
      <c r="K1113" s="15" t="str">
        <f t="shared" si="3"/>
        <v>Baja</v>
      </c>
    </row>
    <row r="1114" ht="14.25" customHeight="1">
      <c r="A1114" s="6" t="s">
        <v>1998</v>
      </c>
      <c r="B1114" s="9" t="s">
        <v>1622</v>
      </c>
      <c r="C1114" s="10">
        <v>2.0</v>
      </c>
      <c r="D1114" s="10">
        <v>2.0</v>
      </c>
      <c r="E1114" s="10">
        <v>3.0</v>
      </c>
      <c r="F1114" s="10">
        <v>3.0</v>
      </c>
      <c r="G1114" s="10">
        <v>1.0</v>
      </c>
      <c r="H1114" s="12">
        <f t="shared" si="1"/>
        <v>2.236</v>
      </c>
      <c r="I1114" s="13">
        <v>1.0</v>
      </c>
      <c r="J1114" s="14">
        <f t="shared" si="2"/>
        <v>2.236</v>
      </c>
      <c r="K1114" s="15" t="str">
        <f t="shared" si="3"/>
        <v>Baja</v>
      </c>
    </row>
    <row r="1115" ht="14.25" customHeight="1">
      <c r="A1115" s="6" t="s">
        <v>1998</v>
      </c>
      <c r="B1115" s="9" t="s">
        <v>1625</v>
      </c>
      <c r="C1115" s="10">
        <v>2.0</v>
      </c>
      <c r="D1115" s="10">
        <v>2.0</v>
      </c>
      <c r="E1115" s="10">
        <v>3.0</v>
      </c>
      <c r="F1115" s="10">
        <v>2.0</v>
      </c>
      <c r="G1115" s="10">
        <v>1.0</v>
      </c>
      <c r="H1115" s="12">
        <f t="shared" si="1"/>
        <v>2.14</v>
      </c>
      <c r="I1115" s="13">
        <v>2.0</v>
      </c>
      <c r="J1115" s="14">
        <f t="shared" si="2"/>
        <v>4.28</v>
      </c>
      <c r="K1115" s="15" t="str">
        <f t="shared" si="3"/>
        <v>Media</v>
      </c>
    </row>
    <row r="1116" ht="14.25" customHeight="1">
      <c r="A1116" s="6" t="s">
        <v>2004</v>
      </c>
      <c r="B1116" s="27" t="s">
        <v>1127</v>
      </c>
      <c r="C1116" s="10">
        <v>3.0</v>
      </c>
      <c r="D1116" s="10">
        <v>3.0</v>
      </c>
      <c r="E1116" s="10">
        <v>3.0</v>
      </c>
      <c r="F1116" s="10">
        <v>3.0</v>
      </c>
      <c r="G1116" s="10">
        <v>2.0</v>
      </c>
      <c r="H1116" s="12">
        <f t="shared" si="1"/>
        <v>2.9</v>
      </c>
      <c r="I1116" s="13">
        <v>1.0</v>
      </c>
      <c r="J1116" s="14">
        <f t="shared" si="2"/>
        <v>2.9</v>
      </c>
      <c r="K1116" s="15" t="str">
        <f t="shared" si="3"/>
        <v>Baja</v>
      </c>
    </row>
    <row r="1117" ht="14.25" customHeight="1">
      <c r="A1117" s="6" t="s">
        <v>2004</v>
      </c>
      <c r="B1117" s="27" t="s">
        <v>1134</v>
      </c>
      <c r="C1117" s="10">
        <v>2.0</v>
      </c>
      <c r="D1117" s="10">
        <v>2.0</v>
      </c>
      <c r="E1117" s="10">
        <v>3.0</v>
      </c>
      <c r="F1117" s="10">
        <v>3.0</v>
      </c>
      <c r="G1117" s="10">
        <v>1.0</v>
      </c>
      <c r="H1117" s="12">
        <f t="shared" si="1"/>
        <v>2.236</v>
      </c>
      <c r="I1117" s="13">
        <v>3.0</v>
      </c>
      <c r="J1117" s="14">
        <f t="shared" si="2"/>
        <v>6.708</v>
      </c>
      <c r="K1117" s="15" t="str">
        <f t="shared" si="3"/>
        <v>Media</v>
      </c>
    </row>
    <row r="1118" ht="14.25" customHeight="1">
      <c r="A1118" s="6" t="s">
        <v>2004</v>
      </c>
      <c r="B1118" s="27" t="s">
        <v>1141</v>
      </c>
      <c r="C1118" s="10">
        <v>2.0</v>
      </c>
      <c r="D1118" s="10">
        <v>2.0</v>
      </c>
      <c r="E1118" s="10">
        <v>2.0</v>
      </c>
      <c r="F1118" s="10">
        <v>1.0</v>
      </c>
      <c r="G1118" s="10">
        <v>1.0</v>
      </c>
      <c r="H1118" s="12">
        <f t="shared" si="1"/>
        <v>1.804</v>
      </c>
      <c r="I1118" s="13">
        <v>3.0</v>
      </c>
      <c r="J1118" s="14">
        <f t="shared" si="2"/>
        <v>5.412</v>
      </c>
      <c r="K1118" s="15" t="str">
        <f t="shared" si="3"/>
        <v>Media</v>
      </c>
    </row>
    <row r="1119" ht="14.25" customHeight="1">
      <c r="A1119" s="6" t="s">
        <v>2004</v>
      </c>
      <c r="B1119" s="27" t="s">
        <v>1147</v>
      </c>
      <c r="C1119" s="10">
        <v>2.0</v>
      </c>
      <c r="D1119" s="10">
        <v>2.0</v>
      </c>
      <c r="E1119" s="10">
        <v>3.0</v>
      </c>
      <c r="F1119" s="10">
        <v>3.0</v>
      </c>
      <c r="G1119" s="10">
        <v>1.0</v>
      </c>
      <c r="H1119" s="12">
        <f t="shared" si="1"/>
        <v>2.236</v>
      </c>
      <c r="I1119" s="13">
        <v>3.0</v>
      </c>
      <c r="J1119" s="14">
        <f t="shared" si="2"/>
        <v>6.708</v>
      </c>
      <c r="K1119" s="15" t="str">
        <f t="shared" si="3"/>
        <v>Media</v>
      </c>
    </row>
    <row r="1120" ht="14.25" customHeight="1">
      <c r="A1120" s="6" t="s">
        <v>2005</v>
      </c>
      <c r="B1120" s="9" t="s">
        <v>1644</v>
      </c>
      <c r="C1120" s="10">
        <v>3.0</v>
      </c>
      <c r="D1120" s="10">
        <v>3.0</v>
      </c>
      <c r="E1120" s="10">
        <v>3.0</v>
      </c>
      <c r="F1120" s="10">
        <v>2.0</v>
      </c>
      <c r="G1120" s="10">
        <v>2.0</v>
      </c>
      <c r="H1120" s="12">
        <f t="shared" si="1"/>
        <v>2.804</v>
      </c>
      <c r="I1120" s="13">
        <v>1.0</v>
      </c>
      <c r="J1120" s="14">
        <f t="shared" si="2"/>
        <v>2.804</v>
      </c>
      <c r="K1120" s="15" t="str">
        <f t="shared" si="3"/>
        <v>Baja</v>
      </c>
    </row>
    <row r="1121" ht="14.25" customHeight="1">
      <c r="A1121" s="6" t="s">
        <v>2005</v>
      </c>
      <c r="B1121" s="9" t="s">
        <v>1650</v>
      </c>
      <c r="C1121" s="10">
        <v>2.0</v>
      </c>
      <c r="D1121" s="10">
        <v>2.0</v>
      </c>
      <c r="E1121" s="10">
        <v>3.0</v>
      </c>
      <c r="F1121" s="10">
        <v>2.0</v>
      </c>
      <c r="G1121" s="10">
        <v>1.0</v>
      </c>
      <c r="H1121" s="12">
        <f t="shared" si="1"/>
        <v>2.14</v>
      </c>
      <c r="I1121" s="13">
        <v>1.0</v>
      </c>
      <c r="J1121" s="14">
        <f t="shared" si="2"/>
        <v>2.14</v>
      </c>
      <c r="K1121" s="15" t="str">
        <f t="shared" si="3"/>
        <v>Baja</v>
      </c>
    </row>
    <row r="1122" ht="14.25" customHeight="1">
      <c r="A1122" s="6" t="s">
        <v>2005</v>
      </c>
      <c r="B1122" s="9" t="s">
        <v>1655</v>
      </c>
      <c r="C1122" s="10">
        <v>2.0</v>
      </c>
      <c r="D1122" s="10">
        <v>2.0</v>
      </c>
      <c r="E1122" s="10">
        <v>3.0</v>
      </c>
      <c r="F1122" s="10">
        <v>3.0</v>
      </c>
      <c r="G1122" s="10">
        <v>1.0</v>
      </c>
      <c r="H1122" s="12">
        <f t="shared" si="1"/>
        <v>2.236</v>
      </c>
      <c r="I1122" s="13">
        <v>1.0</v>
      </c>
      <c r="J1122" s="14">
        <f t="shared" si="2"/>
        <v>2.236</v>
      </c>
      <c r="K1122" s="15" t="str">
        <f t="shared" si="3"/>
        <v>Baja</v>
      </c>
    </row>
    <row r="1123" ht="14.25" customHeight="1">
      <c r="A1123" s="6" t="s">
        <v>2008</v>
      </c>
      <c r="B1123" s="27" t="s">
        <v>1127</v>
      </c>
      <c r="C1123" s="10">
        <v>3.0</v>
      </c>
      <c r="D1123" s="10">
        <v>3.0</v>
      </c>
      <c r="E1123" s="10">
        <v>3.0</v>
      </c>
      <c r="F1123" s="10">
        <v>3.0</v>
      </c>
      <c r="G1123" s="10">
        <v>2.0</v>
      </c>
      <c r="H1123" s="12">
        <f t="shared" si="1"/>
        <v>2.9</v>
      </c>
      <c r="I1123" s="13">
        <v>1.0</v>
      </c>
      <c r="J1123" s="14">
        <f t="shared" si="2"/>
        <v>2.9</v>
      </c>
      <c r="K1123" s="15" t="str">
        <f t="shared" si="3"/>
        <v>Baja</v>
      </c>
    </row>
    <row r="1124" ht="14.25" customHeight="1">
      <c r="A1124" s="6" t="s">
        <v>2008</v>
      </c>
      <c r="B1124" s="27" t="s">
        <v>3154</v>
      </c>
      <c r="C1124" s="10">
        <v>2.0</v>
      </c>
      <c r="D1124" s="10">
        <v>2.0</v>
      </c>
      <c r="E1124" s="10">
        <v>3.0</v>
      </c>
      <c r="F1124" s="10">
        <v>3.0</v>
      </c>
      <c r="G1124" s="10">
        <v>1.0</v>
      </c>
      <c r="H1124" s="12">
        <f t="shared" si="1"/>
        <v>2.236</v>
      </c>
      <c r="I1124" s="13">
        <v>3.0</v>
      </c>
      <c r="J1124" s="14">
        <f t="shared" si="2"/>
        <v>6.708</v>
      </c>
      <c r="K1124" s="15" t="str">
        <f t="shared" si="3"/>
        <v>Media</v>
      </c>
    </row>
    <row r="1125" ht="14.25" customHeight="1">
      <c r="A1125" s="6" t="s">
        <v>2008</v>
      </c>
      <c r="B1125" s="27" t="s">
        <v>1141</v>
      </c>
      <c r="C1125" s="10">
        <v>2.0</v>
      </c>
      <c r="D1125" s="10">
        <v>2.0</v>
      </c>
      <c r="E1125" s="10">
        <v>2.0</v>
      </c>
      <c r="F1125" s="10">
        <v>1.0</v>
      </c>
      <c r="G1125" s="10">
        <v>1.0</v>
      </c>
      <c r="H1125" s="12">
        <f t="shared" si="1"/>
        <v>1.804</v>
      </c>
      <c r="I1125" s="13">
        <v>3.0</v>
      </c>
      <c r="J1125" s="14">
        <f t="shared" si="2"/>
        <v>5.412</v>
      </c>
      <c r="K1125" s="15" t="str">
        <f t="shared" si="3"/>
        <v>Media</v>
      </c>
    </row>
    <row r="1126" ht="14.25" customHeight="1">
      <c r="A1126" s="6" t="s">
        <v>2012</v>
      </c>
      <c r="B1126" s="9" t="s">
        <v>1339</v>
      </c>
      <c r="C1126" s="10">
        <v>1.0</v>
      </c>
      <c r="D1126" s="10">
        <v>1.0</v>
      </c>
      <c r="E1126" s="10">
        <v>3.0</v>
      </c>
      <c r="F1126" s="10">
        <v>2.0</v>
      </c>
      <c r="G1126" s="10">
        <v>1.0</v>
      </c>
      <c r="H1126" s="12">
        <f t="shared" si="1"/>
        <v>1.576</v>
      </c>
      <c r="I1126" s="13">
        <v>3.0</v>
      </c>
      <c r="J1126" s="14">
        <f t="shared" si="2"/>
        <v>4.728</v>
      </c>
      <c r="K1126" s="15" t="str">
        <f t="shared" si="3"/>
        <v>Media</v>
      </c>
    </row>
    <row r="1127" ht="14.25" customHeight="1">
      <c r="A1127" s="6" t="s">
        <v>2012</v>
      </c>
      <c r="B1127" s="9" t="s">
        <v>1786</v>
      </c>
      <c r="C1127" s="10">
        <v>1.0</v>
      </c>
      <c r="D1127" s="10">
        <v>1.0</v>
      </c>
      <c r="E1127" s="10">
        <v>2.0</v>
      </c>
      <c r="F1127" s="10">
        <v>1.0</v>
      </c>
      <c r="G1127" s="10">
        <v>1.0</v>
      </c>
      <c r="H1127" s="12">
        <f t="shared" si="1"/>
        <v>1.24</v>
      </c>
      <c r="I1127" s="13">
        <v>3.0</v>
      </c>
      <c r="J1127" s="14">
        <f t="shared" si="2"/>
        <v>3.72</v>
      </c>
      <c r="K1127" s="15" t="str">
        <f t="shared" si="3"/>
        <v>Baja</v>
      </c>
    </row>
    <row r="1128" ht="14.25" customHeight="1">
      <c r="A1128" s="6" t="s">
        <v>2012</v>
      </c>
      <c r="B1128" s="9" t="s">
        <v>1350</v>
      </c>
      <c r="C1128" s="10">
        <v>1.0</v>
      </c>
      <c r="D1128" s="10">
        <v>1.0</v>
      </c>
      <c r="E1128" s="10">
        <v>2.0</v>
      </c>
      <c r="F1128" s="10">
        <v>1.0</v>
      </c>
      <c r="G1128" s="10">
        <v>1.0</v>
      </c>
      <c r="H1128" s="12">
        <f t="shared" si="1"/>
        <v>1.24</v>
      </c>
      <c r="I1128" s="13">
        <v>3.0</v>
      </c>
      <c r="J1128" s="14">
        <f t="shared" si="2"/>
        <v>3.72</v>
      </c>
      <c r="K1128" s="15" t="str">
        <f t="shared" si="3"/>
        <v>Baja</v>
      </c>
    </row>
    <row r="1129" ht="14.25" customHeight="1">
      <c r="A1129" s="6" t="s">
        <v>2012</v>
      </c>
      <c r="B1129" s="9" t="s">
        <v>1794</v>
      </c>
      <c r="C1129" s="10">
        <v>1.0</v>
      </c>
      <c r="D1129" s="10">
        <v>1.0</v>
      </c>
      <c r="E1129" s="10">
        <v>3.0</v>
      </c>
      <c r="F1129" s="10">
        <v>3.0</v>
      </c>
      <c r="G1129" s="10">
        <v>1.0</v>
      </c>
      <c r="H1129" s="12">
        <f t="shared" si="1"/>
        <v>1.672</v>
      </c>
      <c r="I1129" s="13">
        <v>2.0</v>
      </c>
      <c r="J1129" s="14">
        <f t="shared" si="2"/>
        <v>3.344</v>
      </c>
      <c r="K1129" s="15" t="str">
        <f t="shared" si="3"/>
        <v>Baja</v>
      </c>
    </row>
    <row r="1130" ht="14.25" customHeight="1">
      <c r="A1130" s="6" t="s">
        <v>2012</v>
      </c>
      <c r="B1130" s="9" t="s">
        <v>2376</v>
      </c>
      <c r="C1130" s="10">
        <v>1.0</v>
      </c>
      <c r="D1130" s="10">
        <v>1.0</v>
      </c>
      <c r="E1130" s="10">
        <v>2.0</v>
      </c>
      <c r="F1130" s="10">
        <v>1.0</v>
      </c>
      <c r="G1130" s="10">
        <v>1.0</v>
      </c>
      <c r="H1130" s="12">
        <f t="shared" si="1"/>
        <v>1.24</v>
      </c>
      <c r="I1130" s="13">
        <v>3.0</v>
      </c>
      <c r="J1130" s="14">
        <f t="shared" si="2"/>
        <v>3.72</v>
      </c>
      <c r="K1130" s="15" t="str">
        <f t="shared" si="3"/>
        <v>Baja</v>
      </c>
    </row>
    <row r="1131" ht="14.25" customHeight="1">
      <c r="A1131" s="6" t="s">
        <v>2021</v>
      </c>
      <c r="B1131" s="27" t="s">
        <v>3660</v>
      </c>
      <c r="C1131" s="10">
        <v>1.0</v>
      </c>
      <c r="D1131" s="10">
        <v>1.0</v>
      </c>
      <c r="E1131" s="10">
        <v>3.0</v>
      </c>
      <c r="F1131" s="10">
        <v>1.0</v>
      </c>
      <c r="G1131" s="10">
        <v>1.0</v>
      </c>
      <c r="H1131" s="12">
        <f t="shared" si="1"/>
        <v>1.48</v>
      </c>
      <c r="I1131" s="13">
        <v>1.0</v>
      </c>
      <c r="J1131" s="14">
        <f t="shared" si="2"/>
        <v>1.48</v>
      </c>
      <c r="K1131" s="15" t="str">
        <f t="shared" si="3"/>
        <v>Baja</v>
      </c>
    </row>
    <row r="1132" ht="14.25" customHeight="1">
      <c r="A1132" s="6" t="s">
        <v>2021</v>
      </c>
      <c r="B1132" s="27" t="s">
        <v>3661</v>
      </c>
      <c r="C1132" s="10">
        <v>1.0</v>
      </c>
      <c r="D1132" s="10">
        <v>1.0</v>
      </c>
      <c r="E1132" s="10">
        <v>3.0</v>
      </c>
      <c r="F1132" s="10">
        <v>1.0</v>
      </c>
      <c r="G1132" s="10">
        <v>1.0</v>
      </c>
      <c r="H1132" s="12">
        <f t="shared" si="1"/>
        <v>1.48</v>
      </c>
      <c r="I1132" s="13">
        <v>1.0</v>
      </c>
      <c r="J1132" s="14">
        <f t="shared" si="2"/>
        <v>1.48</v>
      </c>
      <c r="K1132" s="15" t="str">
        <f t="shared" si="3"/>
        <v>Baja</v>
      </c>
    </row>
    <row r="1133" ht="14.25" customHeight="1">
      <c r="A1133" s="6" t="s">
        <v>2021</v>
      </c>
      <c r="B1133" s="27" t="s">
        <v>3662</v>
      </c>
      <c r="C1133" s="10">
        <v>1.0</v>
      </c>
      <c r="D1133" s="10">
        <v>1.0</v>
      </c>
      <c r="E1133" s="10">
        <v>3.0</v>
      </c>
      <c r="F1133" s="10">
        <v>2.0</v>
      </c>
      <c r="G1133" s="10">
        <v>1.0</v>
      </c>
      <c r="H1133" s="12">
        <f t="shared" si="1"/>
        <v>1.576</v>
      </c>
      <c r="I1133" s="13">
        <v>2.0</v>
      </c>
      <c r="J1133" s="14">
        <f t="shared" si="2"/>
        <v>3.152</v>
      </c>
      <c r="K1133" s="15" t="str">
        <f t="shared" si="3"/>
        <v>Baja</v>
      </c>
    </row>
    <row r="1134" ht="14.25" customHeight="1">
      <c r="A1134" s="6" t="s">
        <v>2033</v>
      </c>
      <c r="B1134" s="9" t="s">
        <v>999</v>
      </c>
      <c r="C1134" s="10">
        <v>2.0</v>
      </c>
      <c r="D1134" s="10">
        <v>4.0</v>
      </c>
      <c r="E1134" s="10">
        <v>3.0</v>
      </c>
      <c r="F1134" s="10">
        <v>3.0</v>
      </c>
      <c r="G1134" s="10">
        <v>1.0</v>
      </c>
      <c r="H1134" s="12">
        <f t="shared" si="1"/>
        <v>2.596</v>
      </c>
      <c r="I1134" s="13">
        <v>2.0</v>
      </c>
      <c r="J1134" s="14">
        <f t="shared" si="2"/>
        <v>5.192</v>
      </c>
      <c r="K1134" s="15" t="str">
        <f t="shared" si="3"/>
        <v>Media</v>
      </c>
    </row>
    <row r="1135" ht="14.25" customHeight="1">
      <c r="A1135" s="6" t="s">
        <v>2033</v>
      </c>
      <c r="B1135" s="9" t="s">
        <v>1005</v>
      </c>
      <c r="C1135" s="10">
        <v>2.0</v>
      </c>
      <c r="D1135" s="10">
        <v>4.0</v>
      </c>
      <c r="E1135" s="10">
        <v>3.0</v>
      </c>
      <c r="F1135" s="10">
        <v>3.0</v>
      </c>
      <c r="G1135" s="10">
        <v>1.0</v>
      </c>
      <c r="H1135" s="12">
        <f t="shared" si="1"/>
        <v>2.596</v>
      </c>
      <c r="I1135" s="13">
        <v>1.0</v>
      </c>
      <c r="J1135" s="14">
        <f t="shared" si="2"/>
        <v>2.596</v>
      </c>
      <c r="K1135" s="15" t="str">
        <f t="shared" si="3"/>
        <v>Baja</v>
      </c>
    </row>
    <row r="1136" ht="14.25" customHeight="1">
      <c r="A1136" s="6" t="s">
        <v>2033</v>
      </c>
      <c r="B1136" s="9" t="s">
        <v>1017</v>
      </c>
      <c r="C1136" s="10">
        <v>2.0</v>
      </c>
      <c r="D1136" s="10">
        <v>4.0</v>
      </c>
      <c r="E1136" s="10">
        <v>3.0</v>
      </c>
      <c r="F1136" s="10">
        <v>3.0</v>
      </c>
      <c r="G1136" s="10">
        <v>1.0</v>
      </c>
      <c r="H1136" s="12">
        <f t="shared" si="1"/>
        <v>2.596</v>
      </c>
      <c r="I1136" s="13">
        <v>2.0</v>
      </c>
      <c r="J1136" s="14">
        <f t="shared" si="2"/>
        <v>5.192</v>
      </c>
      <c r="K1136" s="15" t="str">
        <f t="shared" si="3"/>
        <v>Media</v>
      </c>
    </row>
    <row r="1137" ht="14.25" customHeight="1">
      <c r="A1137" s="6" t="s">
        <v>2033</v>
      </c>
      <c r="B1137" s="9" t="s">
        <v>727</v>
      </c>
      <c r="C1137" s="10">
        <v>1.0</v>
      </c>
      <c r="D1137" s="10">
        <v>2.0</v>
      </c>
      <c r="E1137" s="10">
        <v>3.0</v>
      </c>
      <c r="F1137" s="10">
        <v>3.0</v>
      </c>
      <c r="G1137" s="10">
        <v>1.0</v>
      </c>
      <c r="H1137" s="12">
        <f t="shared" si="1"/>
        <v>1.852</v>
      </c>
      <c r="I1137" s="13">
        <v>2.0</v>
      </c>
      <c r="J1137" s="14">
        <f t="shared" si="2"/>
        <v>3.704</v>
      </c>
      <c r="K1137" s="15" t="str">
        <f t="shared" si="3"/>
        <v>Baja</v>
      </c>
    </row>
    <row r="1138" ht="14.25" customHeight="1">
      <c r="A1138" s="6" t="s">
        <v>2033</v>
      </c>
      <c r="B1138" s="9" t="s">
        <v>1036</v>
      </c>
      <c r="C1138" s="10">
        <v>1.0</v>
      </c>
      <c r="D1138" s="10">
        <v>2.0</v>
      </c>
      <c r="E1138" s="10">
        <v>3.0</v>
      </c>
      <c r="F1138" s="10">
        <v>1.0</v>
      </c>
      <c r="G1138" s="10">
        <v>1.0</v>
      </c>
      <c r="H1138" s="12">
        <f t="shared" si="1"/>
        <v>1.66</v>
      </c>
      <c r="I1138" s="13">
        <v>2.0</v>
      </c>
      <c r="J1138" s="14">
        <f t="shared" si="2"/>
        <v>3.32</v>
      </c>
      <c r="K1138" s="15" t="str">
        <f t="shared" si="3"/>
        <v>Baja</v>
      </c>
    </row>
    <row r="1139" ht="14.25" customHeight="1">
      <c r="A1139" s="6" t="s">
        <v>2033</v>
      </c>
      <c r="B1139" s="9" t="s">
        <v>1421</v>
      </c>
      <c r="C1139" s="10">
        <v>1.0</v>
      </c>
      <c r="D1139" s="10">
        <v>2.0</v>
      </c>
      <c r="E1139" s="10">
        <v>2.0</v>
      </c>
      <c r="F1139" s="10">
        <v>1.0</v>
      </c>
      <c r="G1139" s="10">
        <v>1.0</v>
      </c>
      <c r="H1139" s="12">
        <f t="shared" si="1"/>
        <v>1.42</v>
      </c>
      <c r="I1139" s="13">
        <v>2.0</v>
      </c>
      <c r="J1139" s="14">
        <f t="shared" si="2"/>
        <v>2.84</v>
      </c>
      <c r="K1139" s="15" t="str">
        <f t="shared" si="3"/>
        <v>Baja</v>
      </c>
    </row>
    <row r="1140" ht="14.25" customHeight="1">
      <c r="A1140" s="6" t="s">
        <v>2033</v>
      </c>
      <c r="B1140" s="9" t="s">
        <v>1426</v>
      </c>
      <c r="C1140" s="10">
        <v>1.0</v>
      </c>
      <c r="D1140" s="10">
        <v>2.0</v>
      </c>
      <c r="E1140" s="10">
        <v>2.0</v>
      </c>
      <c r="F1140" s="10">
        <v>1.0</v>
      </c>
      <c r="G1140" s="10">
        <v>1.0</v>
      </c>
      <c r="H1140" s="12">
        <f t="shared" si="1"/>
        <v>1.42</v>
      </c>
      <c r="I1140" s="13">
        <v>3.0</v>
      </c>
      <c r="J1140" s="14">
        <f t="shared" si="2"/>
        <v>4.26</v>
      </c>
      <c r="K1140" s="15" t="str">
        <f t="shared" si="3"/>
        <v>Media</v>
      </c>
    </row>
    <row r="1141" ht="14.25" customHeight="1">
      <c r="A1141" s="6" t="s">
        <v>2036</v>
      </c>
      <c r="B1141" s="27" t="s">
        <v>999</v>
      </c>
      <c r="C1141" s="10">
        <v>2.0</v>
      </c>
      <c r="D1141" s="10">
        <v>4.0</v>
      </c>
      <c r="E1141" s="10">
        <v>3.0</v>
      </c>
      <c r="F1141" s="10">
        <v>3.0</v>
      </c>
      <c r="G1141" s="10">
        <v>1.0</v>
      </c>
      <c r="H1141" s="12">
        <f t="shared" si="1"/>
        <v>2.596</v>
      </c>
      <c r="I1141" s="13">
        <v>2.0</v>
      </c>
      <c r="J1141" s="14">
        <f t="shared" si="2"/>
        <v>5.192</v>
      </c>
      <c r="K1141" s="15" t="str">
        <f t="shared" si="3"/>
        <v>Media</v>
      </c>
    </row>
    <row r="1142" ht="14.25" customHeight="1">
      <c r="A1142" s="6" t="s">
        <v>2036</v>
      </c>
      <c r="B1142" s="27" t="s">
        <v>1005</v>
      </c>
      <c r="C1142" s="10">
        <v>2.0</v>
      </c>
      <c r="D1142" s="10">
        <v>4.0</v>
      </c>
      <c r="E1142" s="10">
        <v>3.0</v>
      </c>
      <c r="F1142" s="10">
        <v>3.0</v>
      </c>
      <c r="G1142" s="10">
        <v>1.0</v>
      </c>
      <c r="H1142" s="12">
        <f t="shared" si="1"/>
        <v>2.596</v>
      </c>
      <c r="I1142" s="13">
        <v>1.0</v>
      </c>
      <c r="J1142" s="14">
        <f t="shared" si="2"/>
        <v>2.596</v>
      </c>
      <c r="K1142" s="15" t="str">
        <f t="shared" si="3"/>
        <v>Baja</v>
      </c>
    </row>
    <row r="1143" ht="14.25" customHeight="1">
      <c r="A1143" s="6" t="s">
        <v>2036</v>
      </c>
      <c r="B1143" s="27" t="s">
        <v>1017</v>
      </c>
      <c r="C1143" s="10">
        <v>2.0</v>
      </c>
      <c r="D1143" s="10">
        <v>4.0</v>
      </c>
      <c r="E1143" s="10">
        <v>3.0</v>
      </c>
      <c r="F1143" s="10">
        <v>3.0</v>
      </c>
      <c r="G1143" s="10">
        <v>1.0</v>
      </c>
      <c r="H1143" s="12">
        <f t="shared" si="1"/>
        <v>2.596</v>
      </c>
      <c r="I1143" s="13">
        <v>2.0</v>
      </c>
      <c r="J1143" s="14">
        <f t="shared" si="2"/>
        <v>5.192</v>
      </c>
      <c r="K1143" s="15" t="str">
        <f t="shared" si="3"/>
        <v>Media</v>
      </c>
    </row>
    <row r="1144" ht="14.25" customHeight="1">
      <c r="A1144" s="6" t="s">
        <v>2036</v>
      </c>
      <c r="B1144" s="27" t="s">
        <v>727</v>
      </c>
      <c r="C1144" s="10">
        <v>1.0</v>
      </c>
      <c r="D1144" s="10">
        <v>2.0</v>
      </c>
      <c r="E1144" s="10">
        <v>3.0</v>
      </c>
      <c r="F1144" s="10">
        <v>3.0</v>
      </c>
      <c r="G1144" s="10">
        <v>1.0</v>
      </c>
      <c r="H1144" s="12">
        <f t="shared" si="1"/>
        <v>1.852</v>
      </c>
      <c r="I1144" s="13">
        <v>2.0</v>
      </c>
      <c r="J1144" s="14">
        <f t="shared" si="2"/>
        <v>3.704</v>
      </c>
      <c r="K1144" s="15" t="str">
        <f t="shared" si="3"/>
        <v>Baja</v>
      </c>
    </row>
    <row r="1145" ht="14.25" customHeight="1">
      <c r="A1145" s="6" t="s">
        <v>2036</v>
      </c>
      <c r="B1145" s="27" t="s">
        <v>1031</v>
      </c>
      <c r="C1145" s="10">
        <v>1.0</v>
      </c>
      <c r="D1145" s="10">
        <v>2.0</v>
      </c>
      <c r="E1145" s="10">
        <v>2.0</v>
      </c>
      <c r="F1145" s="10">
        <v>1.0</v>
      </c>
      <c r="G1145" s="10">
        <v>1.0</v>
      </c>
      <c r="H1145" s="12">
        <f t="shared" si="1"/>
        <v>1.42</v>
      </c>
      <c r="I1145" s="13">
        <v>3.0</v>
      </c>
      <c r="J1145" s="14">
        <f t="shared" si="2"/>
        <v>4.26</v>
      </c>
      <c r="K1145" s="15" t="str">
        <f t="shared" si="3"/>
        <v>Media</v>
      </c>
    </row>
    <row r="1146" ht="14.25" customHeight="1">
      <c r="A1146" s="6" t="s">
        <v>2036</v>
      </c>
      <c r="B1146" s="27" t="s">
        <v>1036</v>
      </c>
      <c r="C1146" s="10">
        <v>1.0</v>
      </c>
      <c r="D1146" s="10">
        <v>2.0</v>
      </c>
      <c r="E1146" s="10">
        <v>3.0</v>
      </c>
      <c r="F1146" s="10">
        <v>1.0</v>
      </c>
      <c r="G1146" s="10">
        <v>1.0</v>
      </c>
      <c r="H1146" s="12">
        <f t="shared" si="1"/>
        <v>1.66</v>
      </c>
      <c r="I1146" s="13">
        <v>2.0</v>
      </c>
      <c r="J1146" s="14">
        <f t="shared" si="2"/>
        <v>3.32</v>
      </c>
      <c r="K1146" s="15" t="str">
        <f t="shared" si="3"/>
        <v>Baja</v>
      </c>
    </row>
    <row r="1147" ht="14.25" customHeight="1">
      <c r="A1147" s="6" t="s">
        <v>2036</v>
      </c>
      <c r="B1147" s="27" t="s">
        <v>1041</v>
      </c>
      <c r="C1147" s="10">
        <v>1.0</v>
      </c>
      <c r="D1147" s="10">
        <v>2.0</v>
      </c>
      <c r="E1147" s="10">
        <v>2.0</v>
      </c>
      <c r="F1147" s="10">
        <v>1.0</v>
      </c>
      <c r="G1147" s="10">
        <v>1.0</v>
      </c>
      <c r="H1147" s="12">
        <f t="shared" si="1"/>
        <v>1.42</v>
      </c>
      <c r="I1147" s="13">
        <v>2.0</v>
      </c>
      <c r="J1147" s="14">
        <f t="shared" si="2"/>
        <v>2.84</v>
      </c>
      <c r="K1147" s="15" t="str">
        <f t="shared" si="3"/>
        <v>Baja</v>
      </c>
    </row>
    <row r="1148" ht="14.25" customHeight="1">
      <c r="A1148" s="6" t="s">
        <v>2036</v>
      </c>
      <c r="B1148" s="27" t="s">
        <v>1047</v>
      </c>
      <c r="C1148" s="10">
        <v>1.0</v>
      </c>
      <c r="D1148" s="10">
        <v>2.0</v>
      </c>
      <c r="E1148" s="10">
        <v>2.0</v>
      </c>
      <c r="F1148" s="10">
        <v>1.0</v>
      </c>
      <c r="G1148" s="10">
        <v>1.0</v>
      </c>
      <c r="H1148" s="12">
        <f t="shared" si="1"/>
        <v>1.42</v>
      </c>
      <c r="I1148" s="13">
        <v>3.0</v>
      </c>
      <c r="J1148" s="14">
        <f t="shared" si="2"/>
        <v>4.26</v>
      </c>
      <c r="K1148" s="15" t="str">
        <f t="shared" si="3"/>
        <v>Media</v>
      </c>
    </row>
    <row r="1149" ht="14.25" customHeight="1">
      <c r="A1149" s="6" t="s">
        <v>2040</v>
      </c>
      <c r="B1149" s="9" t="s">
        <v>999</v>
      </c>
      <c r="C1149" s="10">
        <v>2.0</v>
      </c>
      <c r="D1149" s="10">
        <v>4.0</v>
      </c>
      <c r="E1149" s="10">
        <v>3.0</v>
      </c>
      <c r="F1149" s="10">
        <v>3.0</v>
      </c>
      <c r="G1149" s="10">
        <v>1.0</v>
      </c>
      <c r="H1149" s="12">
        <f t="shared" si="1"/>
        <v>2.596</v>
      </c>
      <c r="I1149" s="13">
        <v>2.0</v>
      </c>
      <c r="J1149" s="14">
        <f t="shared" si="2"/>
        <v>5.192</v>
      </c>
      <c r="K1149" s="15" t="str">
        <f t="shared" si="3"/>
        <v>Media</v>
      </c>
    </row>
    <row r="1150" ht="14.25" customHeight="1">
      <c r="A1150" s="6" t="s">
        <v>2040</v>
      </c>
      <c r="B1150" s="9" t="s">
        <v>1005</v>
      </c>
      <c r="C1150" s="10">
        <v>2.0</v>
      </c>
      <c r="D1150" s="10">
        <v>4.0</v>
      </c>
      <c r="E1150" s="10">
        <v>3.0</v>
      </c>
      <c r="F1150" s="10">
        <v>3.0</v>
      </c>
      <c r="G1150" s="10">
        <v>1.0</v>
      </c>
      <c r="H1150" s="12">
        <f t="shared" si="1"/>
        <v>2.596</v>
      </c>
      <c r="I1150" s="13">
        <v>1.0</v>
      </c>
      <c r="J1150" s="14">
        <f t="shared" si="2"/>
        <v>2.596</v>
      </c>
      <c r="K1150" s="15" t="str">
        <f t="shared" si="3"/>
        <v>Baja</v>
      </c>
    </row>
    <row r="1151" ht="14.25" customHeight="1">
      <c r="A1151" s="6" t="s">
        <v>2040</v>
      </c>
      <c r="B1151" s="9" t="s">
        <v>1017</v>
      </c>
      <c r="C1151" s="10">
        <v>2.0</v>
      </c>
      <c r="D1151" s="10">
        <v>4.0</v>
      </c>
      <c r="E1151" s="10">
        <v>3.0</v>
      </c>
      <c r="F1151" s="10">
        <v>3.0</v>
      </c>
      <c r="G1151" s="10">
        <v>1.0</v>
      </c>
      <c r="H1151" s="12">
        <f t="shared" si="1"/>
        <v>2.596</v>
      </c>
      <c r="I1151" s="13">
        <v>2.0</v>
      </c>
      <c r="J1151" s="14">
        <f t="shared" si="2"/>
        <v>5.192</v>
      </c>
      <c r="K1151" s="15" t="str">
        <f t="shared" si="3"/>
        <v>Media</v>
      </c>
    </row>
    <row r="1152" ht="14.25" customHeight="1">
      <c r="A1152" s="6" t="s">
        <v>2040</v>
      </c>
      <c r="B1152" s="9" t="s">
        <v>727</v>
      </c>
      <c r="C1152" s="10">
        <v>1.0</v>
      </c>
      <c r="D1152" s="10">
        <v>2.0</v>
      </c>
      <c r="E1152" s="10">
        <v>3.0</v>
      </c>
      <c r="F1152" s="10">
        <v>3.0</v>
      </c>
      <c r="G1152" s="10">
        <v>1.0</v>
      </c>
      <c r="H1152" s="12">
        <f t="shared" si="1"/>
        <v>1.852</v>
      </c>
      <c r="I1152" s="13">
        <v>2.0</v>
      </c>
      <c r="J1152" s="14">
        <f t="shared" si="2"/>
        <v>3.704</v>
      </c>
      <c r="K1152" s="15" t="str">
        <f t="shared" si="3"/>
        <v>Baja</v>
      </c>
    </row>
    <row r="1153" ht="14.25" customHeight="1">
      <c r="A1153" s="6" t="s">
        <v>2040</v>
      </c>
      <c r="B1153" s="9" t="s">
        <v>1036</v>
      </c>
      <c r="C1153" s="10">
        <v>1.0</v>
      </c>
      <c r="D1153" s="10">
        <v>2.0</v>
      </c>
      <c r="E1153" s="10">
        <v>3.0</v>
      </c>
      <c r="F1153" s="10">
        <v>1.0</v>
      </c>
      <c r="G1153" s="10">
        <v>1.0</v>
      </c>
      <c r="H1153" s="12">
        <f t="shared" si="1"/>
        <v>1.66</v>
      </c>
      <c r="I1153" s="13">
        <v>2.0</v>
      </c>
      <c r="J1153" s="14">
        <f t="shared" si="2"/>
        <v>3.32</v>
      </c>
      <c r="K1153" s="15" t="str">
        <f t="shared" si="3"/>
        <v>Baja</v>
      </c>
    </row>
    <row r="1154" ht="14.25" customHeight="1">
      <c r="A1154" s="6" t="s">
        <v>2040</v>
      </c>
      <c r="B1154" s="9" t="s">
        <v>1421</v>
      </c>
      <c r="C1154" s="10">
        <v>1.0</v>
      </c>
      <c r="D1154" s="10">
        <v>2.0</v>
      </c>
      <c r="E1154" s="10">
        <v>2.0</v>
      </c>
      <c r="F1154" s="10">
        <v>1.0</v>
      </c>
      <c r="G1154" s="10">
        <v>1.0</v>
      </c>
      <c r="H1154" s="12">
        <f t="shared" si="1"/>
        <v>1.42</v>
      </c>
      <c r="I1154" s="13">
        <v>2.0</v>
      </c>
      <c r="J1154" s="14">
        <f t="shared" si="2"/>
        <v>2.84</v>
      </c>
      <c r="K1154" s="15" t="str">
        <f t="shared" si="3"/>
        <v>Baja</v>
      </c>
    </row>
    <row r="1155" ht="14.25" customHeight="1">
      <c r="A1155" s="6" t="s">
        <v>2040</v>
      </c>
      <c r="B1155" s="9" t="s">
        <v>1426</v>
      </c>
      <c r="C1155" s="10">
        <v>1.0</v>
      </c>
      <c r="D1155" s="10">
        <v>2.0</v>
      </c>
      <c r="E1155" s="10">
        <v>2.0</v>
      </c>
      <c r="F1155" s="10">
        <v>1.0</v>
      </c>
      <c r="G1155" s="10">
        <v>1.0</v>
      </c>
      <c r="H1155" s="12">
        <f t="shared" si="1"/>
        <v>1.42</v>
      </c>
      <c r="I1155" s="13">
        <v>3.0</v>
      </c>
      <c r="J1155" s="14">
        <f t="shared" si="2"/>
        <v>4.26</v>
      </c>
      <c r="K1155" s="15" t="str">
        <f t="shared" si="3"/>
        <v>Media</v>
      </c>
    </row>
    <row r="1156" ht="14.25" customHeight="1">
      <c r="A1156" s="6" t="s">
        <v>2046</v>
      </c>
      <c r="B1156" s="27" t="s">
        <v>999</v>
      </c>
      <c r="C1156" s="10">
        <v>2.0</v>
      </c>
      <c r="D1156" s="10">
        <v>4.0</v>
      </c>
      <c r="E1156" s="10">
        <v>3.0</v>
      </c>
      <c r="F1156" s="10">
        <v>3.0</v>
      </c>
      <c r="G1156" s="10">
        <v>1.0</v>
      </c>
      <c r="H1156" s="12">
        <f t="shared" si="1"/>
        <v>2.596</v>
      </c>
      <c r="I1156" s="13">
        <v>2.0</v>
      </c>
      <c r="J1156" s="14">
        <f t="shared" si="2"/>
        <v>5.192</v>
      </c>
      <c r="K1156" s="15" t="str">
        <f t="shared" si="3"/>
        <v>Media</v>
      </c>
    </row>
    <row r="1157" ht="14.25" customHeight="1">
      <c r="A1157" s="6" t="s">
        <v>2046</v>
      </c>
      <c r="B1157" s="27" t="s">
        <v>1005</v>
      </c>
      <c r="C1157" s="10">
        <v>2.0</v>
      </c>
      <c r="D1157" s="10">
        <v>4.0</v>
      </c>
      <c r="E1157" s="10">
        <v>3.0</v>
      </c>
      <c r="F1157" s="10">
        <v>3.0</v>
      </c>
      <c r="G1157" s="10">
        <v>1.0</v>
      </c>
      <c r="H1157" s="12">
        <f t="shared" si="1"/>
        <v>2.596</v>
      </c>
      <c r="I1157" s="13">
        <v>1.0</v>
      </c>
      <c r="J1157" s="14">
        <f t="shared" si="2"/>
        <v>2.596</v>
      </c>
      <c r="K1157" s="15" t="str">
        <f t="shared" si="3"/>
        <v>Baja</v>
      </c>
    </row>
    <row r="1158" ht="14.25" customHeight="1">
      <c r="A1158" s="6" t="s">
        <v>2046</v>
      </c>
      <c r="B1158" s="27" t="s">
        <v>1017</v>
      </c>
      <c r="C1158" s="10">
        <v>2.0</v>
      </c>
      <c r="D1158" s="10">
        <v>4.0</v>
      </c>
      <c r="E1158" s="10">
        <v>3.0</v>
      </c>
      <c r="F1158" s="10">
        <v>3.0</v>
      </c>
      <c r="G1158" s="10">
        <v>1.0</v>
      </c>
      <c r="H1158" s="12">
        <f t="shared" si="1"/>
        <v>2.596</v>
      </c>
      <c r="I1158" s="13">
        <v>2.0</v>
      </c>
      <c r="J1158" s="14">
        <f t="shared" si="2"/>
        <v>5.192</v>
      </c>
      <c r="K1158" s="15" t="str">
        <f t="shared" si="3"/>
        <v>Media</v>
      </c>
    </row>
    <row r="1159" ht="14.25" customHeight="1">
      <c r="A1159" s="6" t="s">
        <v>2046</v>
      </c>
      <c r="B1159" s="27" t="s">
        <v>727</v>
      </c>
      <c r="C1159" s="10">
        <v>1.0</v>
      </c>
      <c r="D1159" s="10">
        <v>2.0</v>
      </c>
      <c r="E1159" s="10">
        <v>3.0</v>
      </c>
      <c r="F1159" s="10">
        <v>3.0</v>
      </c>
      <c r="G1159" s="10">
        <v>1.0</v>
      </c>
      <c r="H1159" s="12">
        <f t="shared" si="1"/>
        <v>1.852</v>
      </c>
      <c r="I1159" s="13">
        <v>2.0</v>
      </c>
      <c r="J1159" s="14">
        <f t="shared" si="2"/>
        <v>3.704</v>
      </c>
      <c r="K1159" s="15" t="str">
        <f t="shared" si="3"/>
        <v>Baja</v>
      </c>
    </row>
    <row r="1160" ht="14.25" customHeight="1">
      <c r="A1160" s="6" t="s">
        <v>2046</v>
      </c>
      <c r="B1160" s="27" t="s">
        <v>1031</v>
      </c>
      <c r="C1160" s="10">
        <v>1.0</v>
      </c>
      <c r="D1160" s="10">
        <v>2.0</v>
      </c>
      <c r="E1160" s="10">
        <v>2.0</v>
      </c>
      <c r="F1160" s="10">
        <v>1.0</v>
      </c>
      <c r="G1160" s="10">
        <v>1.0</v>
      </c>
      <c r="H1160" s="12">
        <f t="shared" si="1"/>
        <v>1.42</v>
      </c>
      <c r="I1160" s="13">
        <v>3.0</v>
      </c>
      <c r="J1160" s="14">
        <f t="shared" si="2"/>
        <v>4.26</v>
      </c>
      <c r="K1160" s="15" t="str">
        <f t="shared" si="3"/>
        <v>Media</v>
      </c>
    </row>
    <row r="1161" ht="14.25" customHeight="1">
      <c r="A1161" s="6" t="s">
        <v>2046</v>
      </c>
      <c r="B1161" s="27" t="s">
        <v>1036</v>
      </c>
      <c r="C1161" s="10">
        <v>1.0</v>
      </c>
      <c r="D1161" s="10">
        <v>2.0</v>
      </c>
      <c r="E1161" s="10">
        <v>3.0</v>
      </c>
      <c r="F1161" s="10">
        <v>1.0</v>
      </c>
      <c r="G1161" s="10">
        <v>1.0</v>
      </c>
      <c r="H1161" s="12">
        <f t="shared" si="1"/>
        <v>1.66</v>
      </c>
      <c r="I1161" s="13">
        <v>2.0</v>
      </c>
      <c r="J1161" s="14">
        <f t="shared" si="2"/>
        <v>3.32</v>
      </c>
      <c r="K1161" s="15" t="str">
        <f t="shared" si="3"/>
        <v>Baja</v>
      </c>
    </row>
    <row r="1162" ht="14.25" customHeight="1">
      <c r="A1162" s="6" t="s">
        <v>2046</v>
      </c>
      <c r="B1162" s="27" t="s">
        <v>1041</v>
      </c>
      <c r="C1162" s="10">
        <v>1.0</v>
      </c>
      <c r="D1162" s="10">
        <v>2.0</v>
      </c>
      <c r="E1162" s="10">
        <v>2.0</v>
      </c>
      <c r="F1162" s="10">
        <v>1.0</v>
      </c>
      <c r="G1162" s="10">
        <v>1.0</v>
      </c>
      <c r="H1162" s="12">
        <f t="shared" si="1"/>
        <v>1.42</v>
      </c>
      <c r="I1162" s="13">
        <v>2.0</v>
      </c>
      <c r="J1162" s="14">
        <f t="shared" si="2"/>
        <v>2.84</v>
      </c>
      <c r="K1162" s="15" t="str">
        <f t="shared" si="3"/>
        <v>Baja</v>
      </c>
    </row>
    <row r="1163" ht="14.25" customHeight="1">
      <c r="A1163" s="6" t="s">
        <v>2046</v>
      </c>
      <c r="B1163" s="27" t="s">
        <v>1047</v>
      </c>
      <c r="C1163" s="10">
        <v>1.0</v>
      </c>
      <c r="D1163" s="10">
        <v>2.0</v>
      </c>
      <c r="E1163" s="10">
        <v>2.0</v>
      </c>
      <c r="F1163" s="10">
        <v>1.0</v>
      </c>
      <c r="G1163" s="10">
        <v>1.0</v>
      </c>
      <c r="H1163" s="12">
        <f t="shared" si="1"/>
        <v>1.42</v>
      </c>
      <c r="I1163" s="13">
        <v>3.0</v>
      </c>
      <c r="J1163" s="14">
        <f t="shared" si="2"/>
        <v>4.26</v>
      </c>
      <c r="K1163" s="15" t="str">
        <f t="shared" si="3"/>
        <v>Media</v>
      </c>
    </row>
    <row r="1164" ht="14.25" customHeight="1">
      <c r="A1164" s="6" t="s">
        <v>2049</v>
      </c>
      <c r="B1164" s="9" t="s">
        <v>999</v>
      </c>
      <c r="C1164" s="10">
        <v>2.0</v>
      </c>
      <c r="D1164" s="10">
        <v>4.0</v>
      </c>
      <c r="E1164" s="10">
        <v>3.0</v>
      </c>
      <c r="F1164" s="10">
        <v>3.0</v>
      </c>
      <c r="G1164" s="10">
        <v>1.0</v>
      </c>
      <c r="H1164" s="12">
        <f t="shared" si="1"/>
        <v>2.596</v>
      </c>
      <c r="I1164" s="13">
        <v>2.0</v>
      </c>
      <c r="J1164" s="14">
        <f t="shared" si="2"/>
        <v>5.192</v>
      </c>
      <c r="K1164" s="15" t="str">
        <f t="shared" si="3"/>
        <v>Media</v>
      </c>
    </row>
    <row r="1165" ht="14.25" customHeight="1">
      <c r="A1165" s="6" t="s">
        <v>2049</v>
      </c>
      <c r="B1165" s="9" t="s">
        <v>1017</v>
      </c>
      <c r="C1165" s="10">
        <v>2.0</v>
      </c>
      <c r="D1165" s="10">
        <v>4.0</v>
      </c>
      <c r="E1165" s="10">
        <v>3.0</v>
      </c>
      <c r="F1165" s="10">
        <v>3.0</v>
      </c>
      <c r="G1165" s="10">
        <v>1.0</v>
      </c>
      <c r="H1165" s="12">
        <f t="shared" si="1"/>
        <v>2.596</v>
      </c>
      <c r="I1165" s="13">
        <v>2.0</v>
      </c>
      <c r="J1165" s="14">
        <f t="shared" si="2"/>
        <v>5.192</v>
      </c>
      <c r="K1165" s="15" t="str">
        <f t="shared" si="3"/>
        <v>Media</v>
      </c>
    </row>
    <row r="1166" ht="14.25" customHeight="1">
      <c r="A1166" s="6" t="s">
        <v>2049</v>
      </c>
      <c r="B1166" s="9" t="s">
        <v>727</v>
      </c>
      <c r="C1166" s="10">
        <v>1.0</v>
      </c>
      <c r="D1166" s="10">
        <v>2.0</v>
      </c>
      <c r="E1166" s="10">
        <v>3.0</v>
      </c>
      <c r="F1166" s="10">
        <v>3.0</v>
      </c>
      <c r="G1166" s="10">
        <v>1.0</v>
      </c>
      <c r="H1166" s="12">
        <f t="shared" si="1"/>
        <v>1.852</v>
      </c>
      <c r="I1166" s="13">
        <v>2.0</v>
      </c>
      <c r="J1166" s="14">
        <f t="shared" si="2"/>
        <v>3.704</v>
      </c>
      <c r="K1166" s="15" t="str">
        <f t="shared" si="3"/>
        <v>Baja</v>
      </c>
    </row>
    <row r="1167" ht="14.25" customHeight="1">
      <c r="A1167" s="6" t="s">
        <v>2052</v>
      </c>
      <c r="B1167" s="27" t="s">
        <v>999</v>
      </c>
      <c r="C1167" s="10">
        <v>2.0</v>
      </c>
      <c r="D1167" s="10">
        <v>4.0</v>
      </c>
      <c r="E1167" s="10">
        <v>3.0</v>
      </c>
      <c r="F1167" s="10">
        <v>3.0</v>
      </c>
      <c r="G1167" s="10">
        <v>1.0</v>
      </c>
      <c r="H1167" s="12">
        <f t="shared" si="1"/>
        <v>2.596</v>
      </c>
      <c r="I1167" s="13">
        <v>2.0</v>
      </c>
      <c r="J1167" s="14">
        <f t="shared" si="2"/>
        <v>5.192</v>
      </c>
      <c r="K1167" s="15" t="str">
        <f t="shared" si="3"/>
        <v>Media</v>
      </c>
    </row>
    <row r="1168" ht="14.25" customHeight="1">
      <c r="A1168" s="6" t="s">
        <v>2052</v>
      </c>
      <c r="B1168" s="27" t="s">
        <v>1017</v>
      </c>
      <c r="C1168" s="10">
        <v>2.0</v>
      </c>
      <c r="D1168" s="10">
        <v>4.0</v>
      </c>
      <c r="E1168" s="10">
        <v>3.0</v>
      </c>
      <c r="F1168" s="10">
        <v>3.0</v>
      </c>
      <c r="G1168" s="10">
        <v>1.0</v>
      </c>
      <c r="H1168" s="12">
        <f t="shared" si="1"/>
        <v>2.596</v>
      </c>
      <c r="I1168" s="13">
        <v>2.0</v>
      </c>
      <c r="J1168" s="14">
        <f t="shared" si="2"/>
        <v>5.192</v>
      </c>
      <c r="K1168" s="15" t="str">
        <f t="shared" si="3"/>
        <v>Media</v>
      </c>
    </row>
    <row r="1169" ht="14.25" customHeight="1">
      <c r="A1169" s="6" t="s">
        <v>2052</v>
      </c>
      <c r="B1169" s="27" t="s">
        <v>727</v>
      </c>
      <c r="C1169" s="10">
        <v>1.0</v>
      </c>
      <c r="D1169" s="10">
        <v>2.0</v>
      </c>
      <c r="E1169" s="10">
        <v>3.0</v>
      </c>
      <c r="F1169" s="10">
        <v>3.0</v>
      </c>
      <c r="G1169" s="10">
        <v>1.0</v>
      </c>
      <c r="H1169" s="12">
        <f t="shared" si="1"/>
        <v>1.852</v>
      </c>
      <c r="I1169" s="13">
        <v>2.0</v>
      </c>
      <c r="J1169" s="14">
        <f t="shared" si="2"/>
        <v>3.704</v>
      </c>
      <c r="K1169" s="15" t="str">
        <f t="shared" si="3"/>
        <v>Baja</v>
      </c>
    </row>
    <row r="1170" ht="14.25" customHeight="1">
      <c r="A1170" s="6" t="s">
        <v>2052</v>
      </c>
      <c r="B1170" s="27" t="s">
        <v>1031</v>
      </c>
      <c r="C1170" s="10">
        <v>1.0</v>
      </c>
      <c r="D1170" s="10">
        <v>2.0</v>
      </c>
      <c r="E1170" s="10">
        <v>2.0</v>
      </c>
      <c r="F1170" s="10">
        <v>1.0</v>
      </c>
      <c r="G1170" s="10">
        <v>1.0</v>
      </c>
      <c r="H1170" s="12">
        <f t="shared" si="1"/>
        <v>1.42</v>
      </c>
      <c r="I1170" s="13">
        <v>3.0</v>
      </c>
      <c r="J1170" s="14">
        <f t="shared" si="2"/>
        <v>4.26</v>
      </c>
      <c r="K1170" s="15" t="str">
        <f t="shared" si="3"/>
        <v>Media</v>
      </c>
    </row>
    <row r="1171" ht="14.25" customHeight="1">
      <c r="A1171" s="6" t="s">
        <v>2060</v>
      </c>
      <c r="B1171" s="9" t="s">
        <v>3673</v>
      </c>
      <c r="C1171" s="10">
        <v>1.0</v>
      </c>
      <c r="D1171" s="10">
        <v>2.0</v>
      </c>
      <c r="E1171" s="10">
        <v>3.0</v>
      </c>
      <c r="F1171" s="10">
        <v>2.0</v>
      </c>
      <c r="G1171" s="10">
        <v>1.0</v>
      </c>
      <c r="H1171" s="12">
        <f t="shared" si="1"/>
        <v>1.756</v>
      </c>
      <c r="I1171" s="13">
        <v>2.0</v>
      </c>
      <c r="J1171" s="14">
        <f t="shared" si="2"/>
        <v>3.512</v>
      </c>
      <c r="K1171" s="15" t="str">
        <f t="shared" si="3"/>
        <v>Baja</v>
      </c>
    </row>
    <row r="1172" ht="14.25" customHeight="1">
      <c r="A1172" s="6" t="s">
        <v>2060</v>
      </c>
      <c r="B1172" s="9" t="s">
        <v>3676</v>
      </c>
      <c r="C1172" s="10">
        <v>1.0</v>
      </c>
      <c r="D1172" s="10">
        <v>2.0</v>
      </c>
      <c r="E1172" s="10">
        <v>3.0</v>
      </c>
      <c r="F1172" s="10">
        <v>2.0</v>
      </c>
      <c r="G1172" s="10">
        <v>1.0</v>
      </c>
      <c r="H1172" s="12">
        <f t="shared" si="1"/>
        <v>1.756</v>
      </c>
      <c r="I1172" s="13">
        <v>3.0</v>
      </c>
      <c r="J1172" s="14">
        <f t="shared" si="2"/>
        <v>5.268</v>
      </c>
      <c r="K1172" s="15" t="str">
        <f t="shared" si="3"/>
        <v>Media</v>
      </c>
    </row>
    <row r="1173" ht="14.25" customHeight="1">
      <c r="A1173" s="6" t="s">
        <v>2060</v>
      </c>
      <c r="B1173" s="9" t="s">
        <v>3677</v>
      </c>
      <c r="C1173" s="10">
        <v>1.0</v>
      </c>
      <c r="D1173" s="10">
        <v>1.0</v>
      </c>
      <c r="E1173" s="10">
        <v>2.0</v>
      </c>
      <c r="F1173" s="10">
        <v>1.0</v>
      </c>
      <c r="G1173" s="10">
        <v>1.0</v>
      </c>
      <c r="H1173" s="12">
        <f t="shared" si="1"/>
        <v>1.24</v>
      </c>
      <c r="I1173" s="13">
        <v>3.0</v>
      </c>
      <c r="J1173" s="14">
        <f t="shared" si="2"/>
        <v>3.72</v>
      </c>
      <c r="K1173" s="15" t="str">
        <f t="shared" si="3"/>
        <v>Baja</v>
      </c>
    </row>
    <row r="1174" ht="14.25" customHeight="1">
      <c r="A1174" s="6" t="s">
        <v>2060</v>
      </c>
      <c r="B1174" s="9" t="s">
        <v>3678</v>
      </c>
      <c r="C1174" s="10">
        <v>1.0</v>
      </c>
      <c r="D1174" s="10">
        <v>1.0</v>
      </c>
      <c r="E1174" s="10">
        <v>2.0</v>
      </c>
      <c r="F1174" s="10">
        <v>1.0</v>
      </c>
      <c r="G1174" s="10">
        <v>1.0</v>
      </c>
      <c r="H1174" s="12">
        <f t="shared" si="1"/>
        <v>1.24</v>
      </c>
      <c r="I1174" s="13">
        <v>2.0</v>
      </c>
      <c r="J1174" s="14">
        <f t="shared" si="2"/>
        <v>2.48</v>
      </c>
      <c r="K1174" s="15" t="str">
        <f t="shared" si="3"/>
        <v>Baja</v>
      </c>
    </row>
    <row r="1175" ht="14.25" customHeight="1">
      <c r="A1175" s="6" t="s">
        <v>2071</v>
      </c>
      <c r="B1175" s="27" t="s">
        <v>3679</v>
      </c>
      <c r="C1175" s="10">
        <v>2.0</v>
      </c>
      <c r="D1175" s="10">
        <v>4.0</v>
      </c>
      <c r="E1175" s="10">
        <v>3.0</v>
      </c>
      <c r="F1175" s="10">
        <v>3.0</v>
      </c>
      <c r="G1175" s="10">
        <v>1.0</v>
      </c>
      <c r="H1175" s="12">
        <f t="shared" si="1"/>
        <v>2.596</v>
      </c>
      <c r="I1175" s="13">
        <v>2.0</v>
      </c>
      <c r="J1175" s="14">
        <f t="shared" si="2"/>
        <v>5.192</v>
      </c>
      <c r="K1175" s="15" t="str">
        <f t="shared" si="3"/>
        <v>Media</v>
      </c>
    </row>
    <row r="1176" ht="14.25" customHeight="1">
      <c r="A1176" s="6" t="s">
        <v>2071</v>
      </c>
      <c r="B1176" s="27" t="s">
        <v>3680</v>
      </c>
      <c r="C1176" s="10">
        <v>2.0</v>
      </c>
      <c r="D1176" s="10">
        <v>4.0</v>
      </c>
      <c r="E1176" s="10">
        <v>3.0</v>
      </c>
      <c r="F1176" s="10">
        <v>3.0</v>
      </c>
      <c r="G1176" s="10">
        <v>1.0</v>
      </c>
      <c r="H1176" s="12">
        <f t="shared" si="1"/>
        <v>2.596</v>
      </c>
      <c r="I1176" s="13">
        <v>1.0</v>
      </c>
      <c r="J1176" s="14">
        <f t="shared" si="2"/>
        <v>2.596</v>
      </c>
      <c r="K1176" s="15" t="str">
        <f t="shared" si="3"/>
        <v>Baja</v>
      </c>
    </row>
    <row r="1177" ht="14.25" customHeight="1">
      <c r="A1177" s="6" t="s">
        <v>2071</v>
      </c>
      <c r="B1177" s="27" t="s">
        <v>3681</v>
      </c>
      <c r="C1177" s="10">
        <v>2.0</v>
      </c>
      <c r="D1177" s="10">
        <v>4.0</v>
      </c>
      <c r="E1177" s="10">
        <v>3.0</v>
      </c>
      <c r="F1177" s="10">
        <v>3.0</v>
      </c>
      <c r="G1177" s="10">
        <v>1.0</v>
      </c>
      <c r="H1177" s="12">
        <f t="shared" si="1"/>
        <v>2.596</v>
      </c>
      <c r="I1177" s="13">
        <v>2.0</v>
      </c>
      <c r="J1177" s="14">
        <f t="shared" si="2"/>
        <v>5.192</v>
      </c>
      <c r="K1177" s="15" t="str">
        <f t="shared" si="3"/>
        <v>Media</v>
      </c>
    </row>
    <row r="1178" ht="14.25" customHeight="1">
      <c r="A1178" s="6" t="s">
        <v>2071</v>
      </c>
      <c r="B1178" s="27" t="s">
        <v>1988</v>
      </c>
      <c r="C1178" s="10">
        <v>1.0</v>
      </c>
      <c r="D1178" s="10">
        <v>2.0</v>
      </c>
      <c r="E1178" s="10">
        <v>3.0</v>
      </c>
      <c r="F1178" s="10">
        <v>2.0</v>
      </c>
      <c r="G1178" s="10">
        <v>1.0</v>
      </c>
      <c r="H1178" s="12">
        <f t="shared" si="1"/>
        <v>1.756</v>
      </c>
      <c r="I1178" s="13">
        <v>1.0</v>
      </c>
      <c r="J1178" s="14">
        <f t="shared" si="2"/>
        <v>1.756</v>
      </c>
      <c r="K1178" s="15" t="str">
        <f t="shared" si="3"/>
        <v>Baja</v>
      </c>
    </row>
    <row r="1179" ht="14.25" customHeight="1">
      <c r="A1179" s="6" t="s">
        <v>2084</v>
      </c>
      <c r="B1179" s="9" t="s">
        <v>999</v>
      </c>
      <c r="C1179" s="10">
        <v>2.0</v>
      </c>
      <c r="D1179" s="10">
        <v>4.0</v>
      </c>
      <c r="E1179" s="10">
        <v>3.0</v>
      </c>
      <c r="F1179" s="10">
        <v>3.0</v>
      </c>
      <c r="G1179" s="10">
        <v>1.0</v>
      </c>
      <c r="H1179" s="12">
        <f t="shared" si="1"/>
        <v>2.596</v>
      </c>
      <c r="I1179" s="13">
        <v>2.0</v>
      </c>
      <c r="J1179" s="14">
        <f t="shared" si="2"/>
        <v>5.192</v>
      </c>
      <c r="K1179" s="15" t="str">
        <f t="shared" si="3"/>
        <v>Media</v>
      </c>
    </row>
    <row r="1180" ht="14.25" customHeight="1">
      <c r="A1180" s="6" t="s">
        <v>2084</v>
      </c>
      <c r="B1180" s="9" t="s">
        <v>1005</v>
      </c>
      <c r="C1180" s="10">
        <v>2.0</v>
      </c>
      <c r="D1180" s="10">
        <v>4.0</v>
      </c>
      <c r="E1180" s="10">
        <v>3.0</v>
      </c>
      <c r="F1180" s="10">
        <v>3.0</v>
      </c>
      <c r="G1180" s="10">
        <v>1.0</v>
      </c>
      <c r="H1180" s="12">
        <f t="shared" si="1"/>
        <v>2.596</v>
      </c>
      <c r="I1180" s="13">
        <v>1.0</v>
      </c>
      <c r="J1180" s="14">
        <f t="shared" si="2"/>
        <v>2.596</v>
      </c>
      <c r="K1180" s="15" t="str">
        <f t="shared" si="3"/>
        <v>Baja</v>
      </c>
    </row>
    <row r="1181" ht="14.25" customHeight="1">
      <c r="A1181" s="6" t="s">
        <v>2084</v>
      </c>
      <c r="B1181" s="9" t="s">
        <v>1017</v>
      </c>
      <c r="C1181" s="10">
        <v>2.0</v>
      </c>
      <c r="D1181" s="10">
        <v>4.0</v>
      </c>
      <c r="E1181" s="10">
        <v>3.0</v>
      </c>
      <c r="F1181" s="10">
        <v>3.0</v>
      </c>
      <c r="G1181" s="10">
        <v>1.0</v>
      </c>
      <c r="H1181" s="12">
        <f t="shared" si="1"/>
        <v>2.596</v>
      </c>
      <c r="I1181" s="13">
        <v>2.0</v>
      </c>
      <c r="J1181" s="14">
        <f t="shared" si="2"/>
        <v>5.192</v>
      </c>
      <c r="K1181" s="15" t="str">
        <f t="shared" si="3"/>
        <v>Media</v>
      </c>
    </row>
    <row r="1182" ht="14.25" customHeight="1">
      <c r="A1182" s="6" t="s">
        <v>2084</v>
      </c>
      <c r="B1182" s="9" t="s">
        <v>727</v>
      </c>
      <c r="C1182" s="10">
        <v>1.0</v>
      </c>
      <c r="D1182" s="10">
        <v>2.0</v>
      </c>
      <c r="E1182" s="10">
        <v>3.0</v>
      </c>
      <c r="F1182" s="10">
        <v>3.0</v>
      </c>
      <c r="G1182" s="10">
        <v>1.0</v>
      </c>
      <c r="H1182" s="12">
        <f t="shared" si="1"/>
        <v>1.852</v>
      </c>
      <c r="I1182" s="13">
        <v>2.0</v>
      </c>
      <c r="J1182" s="14">
        <f t="shared" si="2"/>
        <v>3.704</v>
      </c>
      <c r="K1182" s="15" t="str">
        <f t="shared" si="3"/>
        <v>Baja</v>
      </c>
    </row>
    <row r="1183" ht="14.25" customHeight="1">
      <c r="A1183" s="6" t="s">
        <v>2084</v>
      </c>
      <c r="B1183" s="9" t="s">
        <v>1031</v>
      </c>
      <c r="C1183" s="10">
        <v>1.0</v>
      </c>
      <c r="D1183" s="10">
        <v>2.0</v>
      </c>
      <c r="E1183" s="10">
        <v>2.0</v>
      </c>
      <c r="F1183" s="10">
        <v>1.0</v>
      </c>
      <c r="G1183" s="10">
        <v>1.0</v>
      </c>
      <c r="H1183" s="12">
        <f t="shared" si="1"/>
        <v>1.42</v>
      </c>
      <c r="I1183" s="13">
        <v>3.0</v>
      </c>
      <c r="J1183" s="14">
        <f t="shared" si="2"/>
        <v>4.26</v>
      </c>
      <c r="K1183" s="15" t="str">
        <f t="shared" si="3"/>
        <v>Media</v>
      </c>
    </row>
    <row r="1184" ht="14.25" customHeight="1">
      <c r="A1184" s="6" t="s">
        <v>2084</v>
      </c>
      <c r="B1184" s="9" t="s">
        <v>1036</v>
      </c>
      <c r="C1184" s="10">
        <v>1.0</v>
      </c>
      <c r="D1184" s="10">
        <v>2.0</v>
      </c>
      <c r="E1184" s="10">
        <v>3.0</v>
      </c>
      <c r="F1184" s="10">
        <v>1.0</v>
      </c>
      <c r="G1184" s="10">
        <v>1.0</v>
      </c>
      <c r="H1184" s="12">
        <f t="shared" si="1"/>
        <v>1.66</v>
      </c>
      <c r="I1184" s="13">
        <v>2.0</v>
      </c>
      <c r="J1184" s="14">
        <f t="shared" si="2"/>
        <v>3.32</v>
      </c>
      <c r="K1184" s="15" t="str">
        <f t="shared" si="3"/>
        <v>Baja</v>
      </c>
    </row>
    <row r="1185" ht="14.25" customHeight="1">
      <c r="A1185" s="6" t="s">
        <v>2084</v>
      </c>
      <c r="B1185" s="9" t="s">
        <v>1041</v>
      </c>
      <c r="C1185" s="10">
        <v>1.0</v>
      </c>
      <c r="D1185" s="10">
        <v>2.0</v>
      </c>
      <c r="E1185" s="10">
        <v>2.0</v>
      </c>
      <c r="F1185" s="10">
        <v>1.0</v>
      </c>
      <c r="G1185" s="10">
        <v>1.0</v>
      </c>
      <c r="H1185" s="12">
        <f t="shared" si="1"/>
        <v>1.42</v>
      </c>
      <c r="I1185" s="13">
        <v>2.0</v>
      </c>
      <c r="J1185" s="14">
        <f t="shared" si="2"/>
        <v>2.84</v>
      </c>
      <c r="K1185" s="15" t="str">
        <f t="shared" si="3"/>
        <v>Baja</v>
      </c>
    </row>
    <row r="1186" ht="14.25" customHeight="1">
      <c r="A1186" s="6" t="s">
        <v>2084</v>
      </c>
      <c r="B1186" s="9" t="s">
        <v>1047</v>
      </c>
      <c r="C1186" s="10">
        <v>1.0</v>
      </c>
      <c r="D1186" s="10">
        <v>2.0</v>
      </c>
      <c r="E1186" s="10">
        <v>2.0</v>
      </c>
      <c r="F1186" s="10">
        <v>1.0</v>
      </c>
      <c r="G1186" s="10">
        <v>1.0</v>
      </c>
      <c r="H1186" s="12">
        <f t="shared" si="1"/>
        <v>1.42</v>
      </c>
      <c r="I1186" s="13">
        <v>3.0</v>
      </c>
      <c r="J1186" s="14">
        <f t="shared" si="2"/>
        <v>4.26</v>
      </c>
      <c r="K1186" s="15" t="str">
        <f t="shared" si="3"/>
        <v>Media</v>
      </c>
    </row>
    <row r="1187" ht="14.25" customHeight="1">
      <c r="A1187" s="6" t="s">
        <v>2094</v>
      </c>
      <c r="B1187" s="27" t="s">
        <v>3685</v>
      </c>
      <c r="C1187" s="10">
        <v>2.0</v>
      </c>
      <c r="D1187" s="10">
        <v>2.0</v>
      </c>
      <c r="E1187" s="10">
        <v>2.0</v>
      </c>
      <c r="F1187" s="10">
        <v>1.0</v>
      </c>
      <c r="G1187" s="10">
        <v>1.0</v>
      </c>
      <c r="H1187" s="12">
        <f t="shared" si="1"/>
        <v>1.804</v>
      </c>
      <c r="I1187" s="13">
        <v>3.0</v>
      </c>
      <c r="J1187" s="14">
        <f t="shared" si="2"/>
        <v>5.412</v>
      </c>
      <c r="K1187" s="15" t="str">
        <f t="shared" si="3"/>
        <v>Media</v>
      </c>
    </row>
    <row r="1188" ht="14.25" customHeight="1">
      <c r="A1188" s="6" t="s">
        <v>2094</v>
      </c>
      <c r="B1188" s="27" t="s">
        <v>3686</v>
      </c>
      <c r="C1188" s="10">
        <v>1.0</v>
      </c>
      <c r="D1188" s="10">
        <v>1.0</v>
      </c>
      <c r="E1188" s="10">
        <v>2.0</v>
      </c>
      <c r="F1188" s="10">
        <v>1.0</v>
      </c>
      <c r="G1188" s="10">
        <v>1.0</v>
      </c>
      <c r="H1188" s="12">
        <f t="shared" si="1"/>
        <v>1.24</v>
      </c>
      <c r="I1188" s="13">
        <v>3.0</v>
      </c>
      <c r="J1188" s="14">
        <f t="shared" si="2"/>
        <v>3.72</v>
      </c>
      <c r="K1188" s="15" t="str">
        <f t="shared" si="3"/>
        <v>Baja</v>
      </c>
    </row>
    <row r="1189" ht="14.25" customHeight="1">
      <c r="A1189" s="6" t="s">
        <v>2105</v>
      </c>
      <c r="B1189" s="9" t="s">
        <v>3687</v>
      </c>
      <c r="C1189" s="10">
        <v>2.0</v>
      </c>
      <c r="D1189" s="10">
        <v>2.0</v>
      </c>
      <c r="E1189" s="10">
        <v>2.0</v>
      </c>
      <c r="F1189" s="10">
        <v>1.0</v>
      </c>
      <c r="G1189" s="10">
        <v>1.0</v>
      </c>
      <c r="H1189" s="12">
        <f t="shared" si="1"/>
        <v>1.804</v>
      </c>
      <c r="I1189" s="13">
        <v>1.0</v>
      </c>
      <c r="J1189" s="14">
        <f t="shared" si="2"/>
        <v>1.804</v>
      </c>
      <c r="K1189" s="15" t="str">
        <f t="shared" si="3"/>
        <v>Baja</v>
      </c>
    </row>
    <row r="1190" ht="14.25" customHeight="1">
      <c r="A1190" s="6" t="s">
        <v>2105</v>
      </c>
      <c r="B1190" s="9" t="s">
        <v>3537</v>
      </c>
      <c r="C1190" s="10">
        <v>1.0</v>
      </c>
      <c r="D1190" s="10">
        <v>1.0</v>
      </c>
      <c r="E1190" s="10">
        <v>2.0</v>
      </c>
      <c r="F1190" s="10">
        <v>1.0</v>
      </c>
      <c r="G1190" s="10">
        <v>1.0</v>
      </c>
      <c r="H1190" s="12">
        <f t="shared" si="1"/>
        <v>1.24</v>
      </c>
      <c r="I1190" s="13">
        <v>2.0</v>
      </c>
      <c r="J1190" s="14">
        <f t="shared" si="2"/>
        <v>2.48</v>
      </c>
      <c r="K1190" s="15" t="str">
        <f t="shared" si="3"/>
        <v>Baja</v>
      </c>
    </row>
    <row r="1191" ht="14.25" customHeight="1">
      <c r="A1191" s="6" t="s">
        <v>2119</v>
      </c>
      <c r="B1191" s="27" t="s">
        <v>1609</v>
      </c>
      <c r="C1191" s="10">
        <v>4.0</v>
      </c>
      <c r="D1191" s="10">
        <v>4.0</v>
      </c>
      <c r="E1191" s="10">
        <v>4.0</v>
      </c>
      <c r="F1191" s="10">
        <v>3.0</v>
      </c>
      <c r="G1191" s="10">
        <v>3.0</v>
      </c>
      <c r="H1191" s="12">
        <f t="shared" si="1"/>
        <v>3.804</v>
      </c>
      <c r="I1191" s="13">
        <v>1.0</v>
      </c>
      <c r="J1191" s="14">
        <f t="shared" si="2"/>
        <v>3.804</v>
      </c>
      <c r="K1191" s="15" t="str">
        <f t="shared" si="3"/>
        <v>Baja</v>
      </c>
    </row>
    <row r="1192" ht="14.25" customHeight="1">
      <c r="A1192" s="6" t="s">
        <v>2119</v>
      </c>
      <c r="B1192" s="27" t="s">
        <v>1615</v>
      </c>
      <c r="C1192" s="10">
        <v>4.0</v>
      </c>
      <c r="D1192" s="10">
        <v>4.0</v>
      </c>
      <c r="E1192" s="10">
        <v>4.0</v>
      </c>
      <c r="F1192" s="10">
        <v>2.0</v>
      </c>
      <c r="G1192" s="10">
        <v>3.0</v>
      </c>
      <c r="H1192" s="12">
        <f t="shared" si="1"/>
        <v>3.708</v>
      </c>
      <c r="I1192" s="13">
        <v>1.0</v>
      </c>
      <c r="J1192" s="14">
        <f t="shared" si="2"/>
        <v>3.708</v>
      </c>
      <c r="K1192" s="15" t="str">
        <f t="shared" si="3"/>
        <v>Baja</v>
      </c>
    </row>
    <row r="1193" ht="14.25" customHeight="1">
      <c r="A1193" s="6" t="s">
        <v>2119</v>
      </c>
      <c r="B1193" s="27" t="s">
        <v>1622</v>
      </c>
      <c r="C1193" s="10">
        <v>2.0</v>
      </c>
      <c r="D1193" s="10">
        <v>3.0</v>
      </c>
      <c r="E1193" s="10">
        <v>3.0</v>
      </c>
      <c r="F1193" s="10">
        <v>3.0</v>
      </c>
      <c r="G1193" s="10">
        <v>2.0</v>
      </c>
      <c r="H1193" s="12">
        <f t="shared" si="1"/>
        <v>2.516</v>
      </c>
      <c r="I1193" s="13">
        <v>1.0</v>
      </c>
      <c r="J1193" s="14">
        <f t="shared" si="2"/>
        <v>2.516</v>
      </c>
      <c r="K1193" s="15" t="str">
        <f t="shared" si="3"/>
        <v>Baja</v>
      </c>
    </row>
    <row r="1194" ht="14.25" customHeight="1">
      <c r="A1194" s="6" t="s">
        <v>2119</v>
      </c>
      <c r="B1194" s="27" t="s">
        <v>1625</v>
      </c>
      <c r="C1194" s="10">
        <v>2.0</v>
      </c>
      <c r="D1194" s="10">
        <v>3.0</v>
      </c>
      <c r="E1194" s="10">
        <v>3.0</v>
      </c>
      <c r="F1194" s="10">
        <v>2.0</v>
      </c>
      <c r="G1194" s="10">
        <v>2.0</v>
      </c>
      <c r="H1194" s="12">
        <f t="shared" si="1"/>
        <v>2.42</v>
      </c>
      <c r="I1194" s="13">
        <v>2.0</v>
      </c>
      <c r="J1194" s="14">
        <f t="shared" si="2"/>
        <v>4.84</v>
      </c>
      <c r="K1194" s="15" t="str">
        <f t="shared" si="3"/>
        <v>Media</v>
      </c>
    </row>
    <row r="1195" ht="14.25" customHeight="1">
      <c r="A1195" s="6" t="s">
        <v>2128</v>
      </c>
      <c r="B1195" s="9" t="s">
        <v>3688</v>
      </c>
      <c r="C1195" s="10">
        <v>4.0</v>
      </c>
      <c r="D1195" s="10">
        <v>4.0</v>
      </c>
      <c r="E1195" s="10">
        <v>4.0</v>
      </c>
      <c r="F1195" s="10">
        <v>2.0</v>
      </c>
      <c r="G1195" s="10">
        <v>3.0</v>
      </c>
      <c r="H1195" s="12">
        <f t="shared" si="1"/>
        <v>3.708</v>
      </c>
      <c r="I1195" s="13">
        <v>2.0</v>
      </c>
      <c r="J1195" s="14">
        <f t="shared" si="2"/>
        <v>7.416</v>
      </c>
      <c r="K1195" s="15" t="str">
        <f t="shared" si="3"/>
        <v>Media</v>
      </c>
    </row>
    <row r="1196" ht="14.25" customHeight="1">
      <c r="A1196" s="6" t="s">
        <v>2128</v>
      </c>
      <c r="B1196" s="9" t="s">
        <v>3689</v>
      </c>
      <c r="C1196" s="10">
        <v>3.0</v>
      </c>
      <c r="D1196" s="10">
        <v>3.0</v>
      </c>
      <c r="E1196" s="10">
        <v>3.0</v>
      </c>
      <c r="F1196" s="10">
        <v>2.0</v>
      </c>
      <c r="G1196" s="10">
        <v>2.0</v>
      </c>
      <c r="H1196" s="12">
        <f t="shared" si="1"/>
        <v>2.804</v>
      </c>
      <c r="I1196" s="13">
        <v>2.0</v>
      </c>
      <c r="J1196" s="14">
        <f t="shared" si="2"/>
        <v>5.608</v>
      </c>
      <c r="K1196" s="15" t="str">
        <f t="shared" si="3"/>
        <v>Media</v>
      </c>
    </row>
    <row r="1197" ht="14.25" customHeight="1">
      <c r="A1197" s="6" t="s">
        <v>2136</v>
      </c>
      <c r="B1197" s="27" t="s">
        <v>3690</v>
      </c>
      <c r="C1197" s="10">
        <v>4.0</v>
      </c>
      <c r="D1197" s="10">
        <v>4.0</v>
      </c>
      <c r="E1197" s="10">
        <v>4.0</v>
      </c>
      <c r="F1197" s="10">
        <v>3.0</v>
      </c>
      <c r="G1197" s="10">
        <v>3.0</v>
      </c>
      <c r="H1197" s="12">
        <f t="shared" si="1"/>
        <v>3.804</v>
      </c>
      <c r="I1197" s="13">
        <v>1.0</v>
      </c>
      <c r="J1197" s="14">
        <f t="shared" si="2"/>
        <v>3.804</v>
      </c>
      <c r="K1197" s="15" t="str">
        <f t="shared" si="3"/>
        <v>Baja</v>
      </c>
    </row>
    <row r="1198" ht="14.25" customHeight="1">
      <c r="A1198" s="6" t="s">
        <v>2136</v>
      </c>
      <c r="B1198" s="27" t="s">
        <v>3154</v>
      </c>
      <c r="C1198" s="10">
        <v>3.0</v>
      </c>
      <c r="D1198" s="10">
        <v>3.0</v>
      </c>
      <c r="E1198" s="10">
        <v>3.0</v>
      </c>
      <c r="F1198" s="10">
        <v>3.0</v>
      </c>
      <c r="G1198" s="10">
        <v>2.0</v>
      </c>
      <c r="H1198" s="12">
        <f t="shared" si="1"/>
        <v>2.9</v>
      </c>
      <c r="I1198" s="13">
        <v>3.0</v>
      </c>
      <c r="J1198" s="14">
        <f t="shared" si="2"/>
        <v>8.7</v>
      </c>
      <c r="K1198" s="15" t="str">
        <f t="shared" si="3"/>
        <v>Media</v>
      </c>
    </row>
    <row r="1199" ht="14.25" customHeight="1">
      <c r="A1199" s="6" t="s">
        <v>2136</v>
      </c>
      <c r="B1199" s="27" t="s">
        <v>3691</v>
      </c>
      <c r="C1199" s="10">
        <v>3.0</v>
      </c>
      <c r="D1199" s="10">
        <v>3.0</v>
      </c>
      <c r="E1199" s="10">
        <v>3.0</v>
      </c>
      <c r="F1199" s="10">
        <v>1.0</v>
      </c>
      <c r="G1199" s="10">
        <v>2.0</v>
      </c>
      <c r="H1199" s="12">
        <f t="shared" si="1"/>
        <v>2.708</v>
      </c>
      <c r="I1199" s="13">
        <v>3.0</v>
      </c>
      <c r="J1199" s="14">
        <f t="shared" si="2"/>
        <v>8.124</v>
      </c>
      <c r="K1199" s="15" t="str">
        <f t="shared" si="3"/>
        <v>Media</v>
      </c>
    </row>
    <row r="1200" ht="14.25" customHeight="1">
      <c r="A1200" s="6" t="s">
        <v>2141</v>
      </c>
      <c r="B1200" s="9" t="s">
        <v>1127</v>
      </c>
      <c r="C1200" s="10">
        <v>4.0</v>
      </c>
      <c r="D1200" s="10">
        <v>4.0</v>
      </c>
      <c r="E1200" s="10">
        <v>4.0</v>
      </c>
      <c r="F1200" s="10">
        <v>3.0</v>
      </c>
      <c r="G1200" s="10">
        <v>3.0</v>
      </c>
      <c r="H1200" s="12">
        <f t="shared" si="1"/>
        <v>3.804</v>
      </c>
      <c r="I1200" s="13">
        <v>1.0</v>
      </c>
      <c r="J1200" s="14">
        <f t="shared" si="2"/>
        <v>3.804</v>
      </c>
      <c r="K1200" s="15" t="str">
        <f t="shared" si="3"/>
        <v>Baja</v>
      </c>
    </row>
    <row r="1201" ht="14.25" customHeight="1">
      <c r="A1201" s="6" t="s">
        <v>2141</v>
      </c>
      <c r="B1201" s="9" t="s">
        <v>1134</v>
      </c>
      <c r="C1201" s="10">
        <v>3.0</v>
      </c>
      <c r="D1201" s="10">
        <v>3.0</v>
      </c>
      <c r="E1201" s="10">
        <v>3.0</v>
      </c>
      <c r="F1201" s="10">
        <v>3.0</v>
      </c>
      <c r="G1201" s="10">
        <v>2.0</v>
      </c>
      <c r="H1201" s="12">
        <f t="shared" si="1"/>
        <v>2.9</v>
      </c>
      <c r="I1201" s="13">
        <v>3.0</v>
      </c>
      <c r="J1201" s="14">
        <f t="shared" si="2"/>
        <v>8.7</v>
      </c>
      <c r="K1201" s="15" t="str">
        <f t="shared" si="3"/>
        <v>Media</v>
      </c>
    </row>
    <row r="1202" ht="14.25" customHeight="1">
      <c r="A1202" s="6" t="s">
        <v>2141</v>
      </c>
      <c r="B1202" s="9" t="s">
        <v>1141</v>
      </c>
      <c r="C1202" s="10">
        <v>3.0</v>
      </c>
      <c r="D1202" s="10">
        <v>3.0</v>
      </c>
      <c r="E1202" s="10">
        <v>3.0</v>
      </c>
      <c r="F1202" s="10">
        <v>1.0</v>
      </c>
      <c r="G1202" s="10">
        <v>2.0</v>
      </c>
      <c r="H1202" s="12">
        <f t="shared" si="1"/>
        <v>2.708</v>
      </c>
      <c r="I1202" s="13">
        <v>3.0</v>
      </c>
      <c r="J1202" s="14">
        <f t="shared" si="2"/>
        <v>8.124</v>
      </c>
      <c r="K1202" s="15" t="str">
        <f t="shared" si="3"/>
        <v>Media</v>
      </c>
    </row>
    <row r="1203" ht="14.25" customHeight="1">
      <c r="A1203" s="6" t="s">
        <v>2141</v>
      </c>
      <c r="B1203" s="9" t="s">
        <v>1147</v>
      </c>
      <c r="C1203" s="10">
        <v>3.0</v>
      </c>
      <c r="D1203" s="10">
        <v>3.0</v>
      </c>
      <c r="E1203" s="10">
        <v>3.0</v>
      </c>
      <c r="F1203" s="10">
        <v>3.0</v>
      </c>
      <c r="G1203" s="10">
        <v>2.0</v>
      </c>
      <c r="H1203" s="12">
        <f t="shared" si="1"/>
        <v>2.9</v>
      </c>
      <c r="I1203" s="13">
        <v>3.0</v>
      </c>
      <c r="J1203" s="14">
        <f t="shared" si="2"/>
        <v>8.7</v>
      </c>
      <c r="K1203" s="15" t="str">
        <f t="shared" si="3"/>
        <v>Media</v>
      </c>
    </row>
    <row r="1204" ht="14.25" customHeight="1">
      <c r="A1204" s="6" t="s">
        <v>2142</v>
      </c>
      <c r="B1204" s="27" t="s">
        <v>3690</v>
      </c>
      <c r="C1204" s="10">
        <v>4.0</v>
      </c>
      <c r="D1204" s="10">
        <v>4.0</v>
      </c>
      <c r="E1204" s="10">
        <v>4.0</v>
      </c>
      <c r="F1204" s="10">
        <v>3.0</v>
      </c>
      <c r="G1204" s="10">
        <v>3.0</v>
      </c>
      <c r="H1204" s="12">
        <f t="shared" si="1"/>
        <v>3.804</v>
      </c>
      <c r="I1204" s="13">
        <v>1.0</v>
      </c>
      <c r="J1204" s="14">
        <f t="shared" si="2"/>
        <v>3.804</v>
      </c>
      <c r="K1204" s="15" t="str">
        <f t="shared" si="3"/>
        <v>Baja</v>
      </c>
    </row>
    <row r="1205" ht="14.25" customHeight="1">
      <c r="A1205" s="6" t="s">
        <v>2142</v>
      </c>
      <c r="B1205" s="27" t="s">
        <v>3154</v>
      </c>
      <c r="C1205" s="10">
        <v>3.0</v>
      </c>
      <c r="D1205" s="10">
        <v>3.0</v>
      </c>
      <c r="E1205" s="10">
        <v>3.0</v>
      </c>
      <c r="F1205" s="10">
        <v>3.0</v>
      </c>
      <c r="G1205" s="10">
        <v>2.0</v>
      </c>
      <c r="H1205" s="12">
        <f t="shared" si="1"/>
        <v>2.9</v>
      </c>
      <c r="I1205" s="13">
        <v>3.0</v>
      </c>
      <c r="J1205" s="14">
        <f t="shared" si="2"/>
        <v>8.7</v>
      </c>
      <c r="K1205" s="15" t="str">
        <f t="shared" si="3"/>
        <v>Media</v>
      </c>
    </row>
    <row r="1206" ht="14.25" customHeight="1">
      <c r="A1206" s="6" t="s">
        <v>2142</v>
      </c>
      <c r="B1206" s="27" t="s">
        <v>3691</v>
      </c>
      <c r="C1206" s="10">
        <v>3.0</v>
      </c>
      <c r="D1206" s="10">
        <v>3.0</v>
      </c>
      <c r="E1206" s="10">
        <v>3.0</v>
      </c>
      <c r="F1206" s="10">
        <v>1.0</v>
      </c>
      <c r="G1206" s="10">
        <v>2.0</v>
      </c>
      <c r="H1206" s="12">
        <f t="shared" si="1"/>
        <v>2.708</v>
      </c>
      <c r="I1206" s="13">
        <v>3.0</v>
      </c>
      <c r="J1206" s="14">
        <f t="shared" si="2"/>
        <v>8.124</v>
      </c>
      <c r="K1206" s="15" t="str">
        <f t="shared" si="3"/>
        <v>Media</v>
      </c>
    </row>
    <row r="1207" ht="14.25" customHeight="1">
      <c r="A1207" s="6" t="s">
        <v>2148</v>
      </c>
      <c r="B1207" s="9" t="s">
        <v>1644</v>
      </c>
      <c r="C1207" s="10">
        <v>4.0</v>
      </c>
      <c r="D1207" s="10">
        <v>4.0</v>
      </c>
      <c r="E1207" s="10">
        <v>4.0</v>
      </c>
      <c r="F1207" s="10">
        <v>2.0</v>
      </c>
      <c r="G1207" s="10">
        <v>3.0</v>
      </c>
      <c r="H1207" s="12">
        <f t="shared" si="1"/>
        <v>3.708</v>
      </c>
      <c r="I1207" s="13">
        <v>1.0</v>
      </c>
      <c r="J1207" s="14">
        <f t="shared" si="2"/>
        <v>3.708</v>
      </c>
      <c r="K1207" s="15" t="str">
        <f t="shared" si="3"/>
        <v>Baja</v>
      </c>
    </row>
    <row r="1208" ht="14.25" customHeight="1">
      <c r="A1208" s="6" t="s">
        <v>2148</v>
      </c>
      <c r="B1208" s="9" t="s">
        <v>1650</v>
      </c>
      <c r="C1208" s="10">
        <v>3.0</v>
      </c>
      <c r="D1208" s="10">
        <v>3.0</v>
      </c>
      <c r="E1208" s="10">
        <v>3.0</v>
      </c>
      <c r="F1208" s="10">
        <v>2.0</v>
      </c>
      <c r="G1208" s="10">
        <v>2.0</v>
      </c>
      <c r="H1208" s="12">
        <f t="shared" si="1"/>
        <v>2.804</v>
      </c>
      <c r="I1208" s="13">
        <v>1.0</v>
      </c>
      <c r="J1208" s="14">
        <f t="shared" si="2"/>
        <v>2.804</v>
      </c>
      <c r="K1208" s="15" t="str">
        <f t="shared" si="3"/>
        <v>Baja</v>
      </c>
    </row>
    <row r="1209" ht="14.25" customHeight="1">
      <c r="A1209" s="6" t="s">
        <v>2148</v>
      </c>
      <c r="B1209" s="9" t="s">
        <v>1655</v>
      </c>
      <c r="C1209" s="10">
        <v>3.0</v>
      </c>
      <c r="D1209" s="10">
        <v>3.0</v>
      </c>
      <c r="E1209" s="10">
        <v>3.0</v>
      </c>
      <c r="F1209" s="10">
        <v>3.0</v>
      </c>
      <c r="G1209" s="10">
        <v>2.0</v>
      </c>
      <c r="H1209" s="12">
        <f t="shared" si="1"/>
        <v>2.9</v>
      </c>
      <c r="I1209" s="13">
        <v>1.0</v>
      </c>
      <c r="J1209" s="14">
        <f t="shared" si="2"/>
        <v>2.9</v>
      </c>
      <c r="K1209" s="15" t="str">
        <f t="shared" si="3"/>
        <v>Baja</v>
      </c>
    </row>
    <row r="1210" ht="14.25" customHeight="1">
      <c r="A1210" s="6" t="s">
        <v>2156</v>
      </c>
      <c r="B1210" s="27" t="s">
        <v>3692</v>
      </c>
      <c r="C1210" s="10">
        <v>4.0</v>
      </c>
      <c r="D1210" s="10">
        <v>4.0</v>
      </c>
      <c r="E1210" s="10">
        <v>4.0</v>
      </c>
      <c r="F1210" s="10">
        <v>2.0</v>
      </c>
      <c r="G1210" s="10">
        <v>3.0</v>
      </c>
      <c r="H1210" s="12">
        <f t="shared" si="1"/>
        <v>3.708</v>
      </c>
      <c r="I1210" s="13">
        <v>1.0</v>
      </c>
      <c r="J1210" s="14">
        <f t="shared" si="2"/>
        <v>3.708</v>
      </c>
      <c r="K1210" s="15" t="str">
        <f t="shared" si="3"/>
        <v>Baja</v>
      </c>
    </row>
    <row r="1211" ht="14.25" customHeight="1">
      <c r="A1211" s="6" t="s">
        <v>2156</v>
      </c>
      <c r="B1211" s="27" t="s">
        <v>3693</v>
      </c>
      <c r="C1211" s="10">
        <v>3.0</v>
      </c>
      <c r="D1211" s="10">
        <v>3.0</v>
      </c>
      <c r="E1211" s="10">
        <v>3.0</v>
      </c>
      <c r="F1211" s="10">
        <v>2.0</v>
      </c>
      <c r="G1211" s="10">
        <v>2.0</v>
      </c>
      <c r="H1211" s="12">
        <f t="shared" si="1"/>
        <v>2.804</v>
      </c>
      <c r="I1211" s="13">
        <v>2.0</v>
      </c>
      <c r="J1211" s="14">
        <f t="shared" si="2"/>
        <v>5.608</v>
      </c>
      <c r="K1211" s="15" t="str">
        <f t="shared" si="3"/>
        <v>Media</v>
      </c>
    </row>
    <row r="1212" ht="14.25" customHeight="1">
      <c r="A1212" s="6" t="s">
        <v>2156</v>
      </c>
      <c r="B1212" s="27" t="s">
        <v>3694</v>
      </c>
      <c r="C1212" s="10">
        <v>3.0</v>
      </c>
      <c r="D1212" s="10">
        <v>3.0</v>
      </c>
      <c r="E1212" s="10">
        <v>3.0</v>
      </c>
      <c r="F1212" s="10">
        <v>2.0</v>
      </c>
      <c r="G1212" s="10">
        <v>2.0</v>
      </c>
      <c r="H1212" s="12">
        <f t="shared" si="1"/>
        <v>2.804</v>
      </c>
      <c r="I1212" s="13">
        <v>2.0</v>
      </c>
      <c r="J1212" s="14">
        <f t="shared" si="2"/>
        <v>5.608</v>
      </c>
      <c r="K1212" s="15" t="str">
        <f t="shared" si="3"/>
        <v>Media</v>
      </c>
    </row>
    <row r="1213" ht="14.25" customHeight="1">
      <c r="A1213" s="6" t="s">
        <v>2161</v>
      </c>
      <c r="B1213" s="9" t="s">
        <v>3695</v>
      </c>
      <c r="C1213" s="10">
        <v>4.0</v>
      </c>
      <c r="D1213" s="10">
        <v>4.0</v>
      </c>
      <c r="E1213" s="10">
        <v>4.0</v>
      </c>
      <c r="F1213" s="10">
        <v>2.0</v>
      </c>
      <c r="G1213" s="10">
        <v>3.0</v>
      </c>
      <c r="H1213" s="12">
        <f t="shared" si="1"/>
        <v>3.708</v>
      </c>
      <c r="I1213" s="13">
        <v>1.0</v>
      </c>
      <c r="J1213" s="14">
        <f t="shared" si="2"/>
        <v>3.708</v>
      </c>
      <c r="K1213" s="15" t="str">
        <f t="shared" si="3"/>
        <v>Baja</v>
      </c>
    </row>
    <row r="1214" ht="14.25" customHeight="1">
      <c r="A1214" s="6" t="s">
        <v>2161</v>
      </c>
      <c r="B1214" s="9" t="s">
        <v>3696</v>
      </c>
      <c r="C1214" s="10">
        <v>3.0</v>
      </c>
      <c r="D1214" s="10">
        <v>3.0</v>
      </c>
      <c r="E1214" s="10">
        <v>3.0</v>
      </c>
      <c r="F1214" s="10">
        <v>2.0</v>
      </c>
      <c r="G1214" s="10">
        <v>2.0</v>
      </c>
      <c r="H1214" s="12">
        <f t="shared" si="1"/>
        <v>2.804</v>
      </c>
      <c r="I1214" s="13">
        <v>2.0</v>
      </c>
      <c r="J1214" s="14">
        <f t="shared" si="2"/>
        <v>5.608</v>
      </c>
      <c r="K1214" s="15" t="str">
        <f t="shared" si="3"/>
        <v>Media</v>
      </c>
    </row>
    <row r="1215" ht="14.25" customHeight="1">
      <c r="A1215" s="6" t="s">
        <v>2161</v>
      </c>
      <c r="B1215" s="9" t="s">
        <v>3697</v>
      </c>
      <c r="C1215" s="10">
        <v>3.0</v>
      </c>
      <c r="D1215" s="10">
        <v>3.0</v>
      </c>
      <c r="E1215" s="10">
        <v>3.0</v>
      </c>
      <c r="F1215" s="10">
        <v>2.0</v>
      </c>
      <c r="G1215" s="10">
        <v>2.0</v>
      </c>
      <c r="H1215" s="12">
        <f t="shared" si="1"/>
        <v>2.804</v>
      </c>
      <c r="I1215" s="13">
        <v>2.0</v>
      </c>
      <c r="J1215" s="14">
        <f t="shared" si="2"/>
        <v>5.608</v>
      </c>
      <c r="K1215" s="15" t="str">
        <f t="shared" si="3"/>
        <v>Media</v>
      </c>
    </row>
    <row r="1216" ht="14.25" customHeight="1">
      <c r="A1216" s="6" t="s">
        <v>2171</v>
      </c>
      <c r="B1216" s="27" t="s">
        <v>3698</v>
      </c>
      <c r="C1216" s="10">
        <v>2.0</v>
      </c>
      <c r="D1216" s="10">
        <v>2.0</v>
      </c>
      <c r="E1216" s="10">
        <v>2.0</v>
      </c>
      <c r="F1216" s="10">
        <v>1.0</v>
      </c>
      <c r="G1216" s="10">
        <v>1.0</v>
      </c>
      <c r="H1216" s="12">
        <f t="shared" si="1"/>
        <v>1.804</v>
      </c>
      <c r="I1216" s="13">
        <v>1.0</v>
      </c>
      <c r="J1216" s="14">
        <f t="shared" si="2"/>
        <v>1.804</v>
      </c>
      <c r="K1216" s="15" t="str">
        <f t="shared" si="3"/>
        <v>Baja</v>
      </c>
    </row>
    <row r="1217" ht="14.25" customHeight="1">
      <c r="A1217" s="6" t="s">
        <v>2171</v>
      </c>
      <c r="B1217" s="27" t="s">
        <v>3699</v>
      </c>
      <c r="C1217" s="10">
        <v>1.0</v>
      </c>
      <c r="D1217" s="10">
        <v>1.0</v>
      </c>
      <c r="E1217" s="10">
        <v>2.0</v>
      </c>
      <c r="F1217" s="10">
        <v>1.0</v>
      </c>
      <c r="G1217" s="10">
        <v>1.0</v>
      </c>
      <c r="H1217" s="12">
        <f t="shared" si="1"/>
        <v>1.24</v>
      </c>
      <c r="I1217" s="13">
        <v>3.0</v>
      </c>
      <c r="J1217" s="14">
        <f t="shared" si="2"/>
        <v>3.72</v>
      </c>
      <c r="K1217" s="15" t="str">
        <f t="shared" si="3"/>
        <v>Baja</v>
      </c>
    </row>
    <row r="1218" ht="14.25" customHeight="1">
      <c r="A1218" s="6" t="s">
        <v>2171</v>
      </c>
      <c r="B1218" s="27" t="s">
        <v>3700</v>
      </c>
      <c r="C1218" s="10">
        <v>1.0</v>
      </c>
      <c r="D1218" s="10">
        <v>1.0</v>
      </c>
      <c r="E1218" s="10">
        <v>2.0</v>
      </c>
      <c r="F1218" s="10">
        <v>1.0</v>
      </c>
      <c r="G1218" s="10">
        <v>1.0</v>
      </c>
      <c r="H1218" s="12">
        <f t="shared" si="1"/>
        <v>1.24</v>
      </c>
      <c r="I1218" s="13">
        <v>2.0</v>
      </c>
      <c r="J1218" s="14">
        <f t="shared" si="2"/>
        <v>2.48</v>
      </c>
      <c r="K1218" s="15" t="str">
        <f t="shared" si="3"/>
        <v>Baja</v>
      </c>
    </row>
    <row r="1219" ht="14.25" customHeight="1">
      <c r="A1219" s="6" t="s">
        <v>2184</v>
      </c>
      <c r="B1219" s="9" t="s">
        <v>820</v>
      </c>
      <c r="C1219" s="10">
        <v>2.0</v>
      </c>
      <c r="D1219" s="10">
        <v>2.0</v>
      </c>
      <c r="E1219" s="10">
        <v>2.0</v>
      </c>
      <c r="F1219" s="10">
        <v>1.0</v>
      </c>
      <c r="G1219" s="10">
        <v>1.0</v>
      </c>
      <c r="H1219" s="12">
        <f t="shared" si="1"/>
        <v>1.804</v>
      </c>
      <c r="I1219" s="13">
        <v>3.0</v>
      </c>
      <c r="J1219" s="14">
        <f t="shared" si="2"/>
        <v>5.412</v>
      </c>
      <c r="K1219" s="15" t="str">
        <f t="shared" si="3"/>
        <v>Media</v>
      </c>
    </row>
    <row r="1220" ht="14.25" customHeight="1">
      <c r="A1220" s="6" t="s">
        <v>2184</v>
      </c>
      <c r="B1220" s="9" t="s">
        <v>825</v>
      </c>
      <c r="C1220" s="10">
        <v>2.0</v>
      </c>
      <c r="D1220" s="10">
        <v>2.0</v>
      </c>
      <c r="E1220" s="10">
        <v>2.0</v>
      </c>
      <c r="F1220" s="10">
        <v>2.0</v>
      </c>
      <c r="G1220" s="10">
        <v>1.0</v>
      </c>
      <c r="H1220" s="12">
        <f t="shared" si="1"/>
        <v>1.9</v>
      </c>
      <c r="I1220" s="13">
        <v>3.0</v>
      </c>
      <c r="J1220" s="14">
        <f t="shared" si="2"/>
        <v>5.7</v>
      </c>
      <c r="K1220" s="15" t="str">
        <f t="shared" si="3"/>
        <v>Media</v>
      </c>
    </row>
    <row r="1221" ht="14.25" customHeight="1">
      <c r="A1221" s="6" t="s">
        <v>2184</v>
      </c>
      <c r="B1221" s="9" t="s">
        <v>827</v>
      </c>
      <c r="C1221" s="10">
        <v>2.0</v>
      </c>
      <c r="D1221" s="10">
        <v>2.0</v>
      </c>
      <c r="E1221" s="10">
        <v>2.0</v>
      </c>
      <c r="F1221" s="10">
        <v>2.0</v>
      </c>
      <c r="G1221" s="10">
        <v>1.0</v>
      </c>
      <c r="H1221" s="12">
        <f t="shared" si="1"/>
        <v>1.9</v>
      </c>
      <c r="I1221" s="13">
        <v>3.0</v>
      </c>
      <c r="J1221" s="14">
        <f t="shared" si="2"/>
        <v>5.7</v>
      </c>
      <c r="K1221" s="15" t="str">
        <f t="shared" si="3"/>
        <v>Media</v>
      </c>
    </row>
    <row r="1222" ht="14.25" customHeight="1">
      <c r="A1222" s="6" t="s">
        <v>2184</v>
      </c>
      <c r="B1222" s="9" t="s">
        <v>836</v>
      </c>
      <c r="C1222" s="10">
        <v>1.0</v>
      </c>
      <c r="D1222" s="10">
        <v>1.0</v>
      </c>
      <c r="E1222" s="10">
        <v>2.0</v>
      </c>
      <c r="F1222" s="10">
        <v>1.0</v>
      </c>
      <c r="G1222" s="10">
        <v>1.0</v>
      </c>
      <c r="H1222" s="12">
        <f t="shared" si="1"/>
        <v>1.24</v>
      </c>
      <c r="I1222" s="13">
        <v>2.0</v>
      </c>
      <c r="J1222" s="14">
        <f t="shared" si="2"/>
        <v>2.48</v>
      </c>
      <c r="K1222" s="15" t="str">
        <f t="shared" si="3"/>
        <v>Baja</v>
      </c>
    </row>
    <row r="1223" ht="14.25" customHeight="1">
      <c r="A1223" s="6" t="s">
        <v>2184</v>
      </c>
      <c r="B1223" s="9" t="s">
        <v>842</v>
      </c>
      <c r="C1223" s="10">
        <v>1.0</v>
      </c>
      <c r="D1223" s="10">
        <v>1.0</v>
      </c>
      <c r="E1223" s="10">
        <v>2.0</v>
      </c>
      <c r="F1223" s="10">
        <v>1.0</v>
      </c>
      <c r="G1223" s="10">
        <v>1.0</v>
      </c>
      <c r="H1223" s="12">
        <f t="shared" si="1"/>
        <v>1.24</v>
      </c>
      <c r="I1223" s="13">
        <v>3.0</v>
      </c>
      <c r="J1223" s="14">
        <f t="shared" si="2"/>
        <v>3.72</v>
      </c>
      <c r="K1223" s="15" t="str">
        <f t="shared" si="3"/>
        <v>Baja</v>
      </c>
    </row>
    <row r="1224" ht="14.25" customHeight="1">
      <c r="A1224" s="6" t="s">
        <v>2184</v>
      </c>
      <c r="B1224" s="9" t="s">
        <v>848</v>
      </c>
      <c r="C1224" s="10">
        <v>1.0</v>
      </c>
      <c r="D1224" s="10">
        <v>1.0</v>
      </c>
      <c r="E1224" s="10">
        <v>2.0</v>
      </c>
      <c r="F1224" s="10">
        <v>1.0</v>
      </c>
      <c r="G1224" s="10">
        <v>1.0</v>
      </c>
      <c r="H1224" s="12">
        <f t="shared" si="1"/>
        <v>1.24</v>
      </c>
      <c r="I1224" s="13">
        <v>3.0</v>
      </c>
      <c r="J1224" s="14">
        <f t="shared" si="2"/>
        <v>3.72</v>
      </c>
      <c r="K1224" s="15" t="str">
        <f t="shared" si="3"/>
        <v>Baja</v>
      </c>
    </row>
    <row r="1225" ht="14.25" customHeight="1">
      <c r="A1225" s="6" t="s">
        <v>2193</v>
      </c>
      <c r="B1225" s="27" t="s">
        <v>3702</v>
      </c>
      <c r="C1225" s="10">
        <v>4.0</v>
      </c>
      <c r="D1225" s="10">
        <v>4.0</v>
      </c>
      <c r="E1225" s="10">
        <v>4.0</v>
      </c>
      <c r="F1225" s="10">
        <v>1.0</v>
      </c>
      <c r="G1225" s="10">
        <v>3.0</v>
      </c>
      <c r="H1225" s="12">
        <f t="shared" si="1"/>
        <v>3.612</v>
      </c>
      <c r="I1225" s="13">
        <v>2.0</v>
      </c>
      <c r="J1225" s="14">
        <f t="shared" si="2"/>
        <v>7.224</v>
      </c>
      <c r="K1225" s="15" t="str">
        <f t="shared" si="3"/>
        <v>Media</v>
      </c>
    </row>
    <row r="1226" ht="14.25" customHeight="1">
      <c r="A1226" s="6" t="s">
        <v>2193</v>
      </c>
      <c r="B1226" s="27" t="s">
        <v>3703</v>
      </c>
      <c r="C1226" s="10">
        <v>4.0</v>
      </c>
      <c r="D1226" s="10">
        <v>4.0</v>
      </c>
      <c r="E1226" s="10">
        <v>4.0</v>
      </c>
      <c r="F1226" s="10">
        <v>3.0</v>
      </c>
      <c r="G1226" s="10">
        <v>3.0</v>
      </c>
      <c r="H1226" s="12">
        <f t="shared" si="1"/>
        <v>3.804</v>
      </c>
      <c r="I1226" s="13">
        <v>1.0</v>
      </c>
      <c r="J1226" s="14">
        <f t="shared" si="2"/>
        <v>3.804</v>
      </c>
      <c r="K1226" s="15" t="str">
        <f t="shared" si="3"/>
        <v>Baja</v>
      </c>
    </row>
    <row r="1227" ht="14.25" customHeight="1">
      <c r="A1227" s="6" t="s">
        <v>2193</v>
      </c>
      <c r="B1227" s="27" t="s">
        <v>1119</v>
      </c>
      <c r="C1227" s="10">
        <v>2.0</v>
      </c>
      <c r="D1227" s="10">
        <v>3.0</v>
      </c>
      <c r="E1227" s="10">
        <v>3.0</v>
      </c>
      <c r="F1227" s="10">
        <v>1.0</v>
      </c>
      <c r="G1227" s="10">
        <v>2.0</v>
      </c>
      <c r="H1227" s="12">
        <f t="shared" si="1"/>
        <v>2.324</v>
      </c>
      <c r="I1227" s="13">
        <v>3.0</v>
      </c>
      <c r="J1227" s="14">
        <f t="shared" si="2"/>
        <v>6.972</v>
      </c>
      <c r="K1227" s="15" t="str">
        <f t="shared" si="3"/>
        <v>Media</v>
      </c>
    </row>
    <row r="1228" ht="14.25" customHeight="1">
      <c r="A1228" s="6" t="s">
        <v>2193</v>
      </c>
      <c r="B1228" s="27" t="s">
        <v>3704</v>
      </c>
      <c r="C1228" s="10">
        <v>2.0</v>
      </c>
      <c r="D1228" s="10">
        <v>3.0</v>
      </c>
      <c r="E1228" s="10">
        <v>3.0</v>
      </c>
      <c r="F1228" s="10">
        <v>1.0</v>
      </c>
      <c r="G1228" s="10">
        <v>2.0</v>
      </c>
      <c r="H1228" s="12">
        <f t="shared" si="1"/>
        <v>2.324</v>
      </c>
      <c r="I1228" s="13">
        <v>3.0</v>
      </c>
      <c r="J1228" s="14">
        <f t="shared" si="2"/>
        <v>6.972</v>
      </c>
      <c r="K1228" s="15" t="str">
        <f t="shared" si="3"/>
        <v>Media</v>
      </c>
    </row>
    <row r="1229" ht="14.25" customHeight="1">
      <c r="A1229" s="6" t="s">
        <v>2202</v>
      </c>
      <c r="B1229" s="9" t="s">
        <v>3705</v>
      </c>
      <c r="C1229" s="10">
        <v>2.0</v>
      </c>
      <c r="D1229" s="10">
        <v>4.0</v>
      </c>
      <c r="E1229" s="10">
        <v>3.0</v>
      </c>
      <c r="F1229" s="10">
        <v>1.0</v>
      </c>
      <c r="G1229" s="10">
        <v>1.0</v>
      </c>
      <c r="H1229" s="12">
        <f t="shared" si="1"/>
        <v>2.404</v>
      </c>
      <c r="I1229" s="13">
        <v>3.0</v>
      </c>
      <c r="J1229" s="14">
        <f t="shared" si="2"/>
        <v>7.212</v>
      </c>
      <c r="K1229" s="15" t="str">
        <f t="shared" si="3"/>
        <v>Media</v>
      </c>
    </row>
    <row r="1230" ht="14.25" customHeight="1">
      <c r="A1230" s="6" t="s">
        <v>2202</v>
      </c>
      <c r="B1230" s="9" t="s">
        <v>3706</v>
      </c>
      <c r="C1230" s="10">
        <v>1.0</v>
      </c>
      <c r="D1230" s="10">
        <v>2.0</v>
      </c>
      <c r="E1230" s="10">
        <v>2.0</v>
      </c>
      <c r="F1230" s="10">
        <v>1.0</v>
      </c>
      <c r="G1230" s="10">
        <v>1.0</v>
      </c>
      <c r="H1230" s="12">
        <f t="shared" si="1"/>
        <v>1.42</v>
      </c>
      <c r="I1230" s="13">
        <v>3.0</v>
      </c>
      <c r="J1230" s="14">
        <f t="shared" si="2"/>
        <v>4.26</v>
      </c>
      <c r="K1230" s="15" t="str">
        <f t="shared" si="3"/>
        <v>Media</v>
      </c>
    </row>
    <row r="1231" ht="14.25" customHeight="1">
      <c r="A1231" s="6" t="s">
        <v>2202</v>
      </c>
      <c r="B1231" s="9" t="s">
        <v>3708</v>
      </c>
      <c r="C1231" s="10">
        <v>1.0</v>
      </c>
      <c r="D1231" s="10">
        <v>2.0</v>
      </c>
      <c r="E1231" s="10">
        <v>2.0</v>
      </c>
      <c r="F1231" s="10">
        <v>1.0</v>
      </c>
      <c r="G1231" s="10">
        <v>1.0</v>
      </c>
      <c r="H1231" s="12">
        <f t="shared" si="1"/>
        <v>1.42</v>
      </c>
      <c r="I1231" s="13">
        <v>3.0</v>
      </c>
      <c r="J1231" s="14">
        <f t="shared" si="2"/>
        <v>4.26</v>
      </c>
      <c r="K1231" s="15" t="str">
        <f t="shared" si="3"/>
        <v>Media</v>
      </c>
    </row>
    <row r="1232" ht="14.25" customHeight="1">
      <c r="A1232" s="6" t="s">
        <v>2202</v>
      </c>
      <c r="B1232" s="9" t="s">
        <v>3710</v>
      </c>
      <c r="C1232" s="10">
        <v>1.0</v>
      </c>
      <c r="D1232" s="10">
        <v>2.0</v>
      </c>
      <c r="E1232" s="10">
        <v>2.0</v>
      </c>
      <c r="F1232" s="10">
        <v>1.0</v>
      </c>
      <c r="G1232" s="10">
        <v>1.0</v>
      </c>
      <c r="H1232" s="12">
        <f t="shared" si="1"/>
        <v>1.42</v>
      </c>
      <c r="I1232" s="13">
        <v>3.0</v>
      </c>
      <c r="J1232" s="14">
        <f t="shared" si="2"/>
        <v>4.26</v>
      </c>
      <c r="K1232" s="15" t="str">
        <f t="shared" si="3"/>
        <v>Media</v>
      </c>
    </row>
    <row r="1233" ht="14.25" customHeight="1">
      <c r="A1233" s="6" t="s">
        <v>2214</v>
      </c>
      <c r="B1233" s="27" t="s">
        <v>3711</v>
      </c>
      <c r="C1233" s="10">
        <v>2.0</v>
      </c>
      <c r="D1233" s="10">
        <v>4.0</v>
      </c>
      <c r="E1233" s="10">
        <v>3.0</v>
      </c>
      <c r="F1233" s="10">
        <v>1.0</v>
      </c>
      <c r="G1233" s="10">
        <v>1.0</v>
      </c>
      <c r="H1233" s="12">
        <f t="shared" si="1"/>
        <v>2.404</v>
      </c>
      <c r="I1233" s="13">
        <v>3.0</v>
      </c>
      <c r="J1233" s="14">
        <f t="shared" si="2"/>
        <v>7.212</v>
      </c>
      <c r="K1233" s="15" t="str">
        <f t="shared" si="3"/>
        <v>Media</v>
      </c>
    </row>
    <row r="1234" ht="14.25" customHeight="1">
      <c r="A1234" s="6" t="s">
        <v>2214</v>
      </c>
      <c r="B1234" s="27" t="s">
        <v>3712</v>
      </c>
      <c r="C1234" s="10">
        <v>1.0</v>
      </c>
      <c r="D1234" s="10">
        <v>2.0</v>
      </c>
      <c r="E1234" s="10">
        <v>2.0</v>
      </c>
      <c r="F1234" s="10">
        <v>1.0</v>
      </c>
      <c r="G1234" s="10">
        <v>1.0</v>
      </c>
      <c r="H1234" s="12">
        <f t="shared" si="1"/>
        <v>1.42</v>
      </c>
      <c r="I1234" s="13">
        <v>3.0</v>
      </c>
      <c r="J1234" s="14">
        <f t="shared" si="2"/>
        <v>4.26</v>
      </c>
      <c r="K1234" s="15" t="str">
        <f t="shared" si="3"/>
        <v>Media</v>
      </c>
    </row>
    <row r="1235" ht="14.25" customHeight="1">
      <c r="A1235" s="6" t="s">
        <v>2214</v>
      </c>
      <c r="B1235" s="27" t="s">
        <v>3713</v>
      </c>
      <c r="C1235" s="10">
        <v>1.0</v>
      </c>
      <c r="D1235" s="10">
        <v>2.0</v>
      </c>
      <c r="E1235" s="10">
        <v>2.0</v>
      </c>
      <c r="F1235" s="10">
        <v>1.0</v>
      </c>
      <c r="G1235" s="10">
        <v>1.0</v>
      </c>
      <c r="H1235" s="12">
        <f t="shared" si="1"/>
        <v>1.42</v>
      </c>
      <c r="I1235" s="13">
        <v>3.0</v>
      </c>
      <c r="J1235" s="14">
        <f t="shared" si="2"/>
        <v>4.26</v>
      </c>
      <c r="K1235" s="15" t="str">
        <f t="shared" si="3"/>
        <v>Media</v>
      </c>
    </row>
    <row r="1236" ht="14.25" customHeight="1">
      <c r="A1236" s="6" t="s">
        <v>2223</v>
      </c>
      <c r="B1236" s="9" t="s">
        <v>3714</v>
      </c>
      <c r="C1236" s="10">
        <v>2.0</v>
      </c>
      <c r="D1236" s="10">
        <v>2.0</v>
      </c>
      <c r="E1236" s="10">
        <v>2.0</v>
      </c>
      <c r="F1236" s="10">
        <v>2.0</v>
      </c>
      <c r="G1236" s="10">
        <v>1.0</v>
      </c>
      <c r="H1236" s="12">
        <f t="shared" si="1"/>
        <v>1.9</v>
      </c>
      <c r="I1236" s="13">
        <v>2.0</v>
      </c>
      <c r="J1236" s="14">
        <f t="shared" si="2"/>
        <v>3.8</v>
      </c>
      <c r="K1236" s="15" t="str">
        <f t="shared" si="3"/>
        <v>Baja</v>
      </c>
    </row>
    <row r="1237" ht="14.25" customHeight="1">
      <c r="A1237" s="6" t="s">
        <v>2223</v>
      </c>
      <c r="B1237" s="9" t="s">
        <v>3715</v>
      </c>
      <c r="C1237" s="10">
        <v>1.0</v>
      </c>
      <c r="D1237" s="10">
        <v>1.0</v>
      </c>
      <c r="E1237" s="10">
        <v>2.0</v>
      </c>
      <c r="F1237" s="10">
        <v>2.0</v>
      </c>
      <c r="G1237" s="10">
        <v>1.0</v>
      </c>
      <c r="H1237" s="12">
        <f t="shared" si="1"/>
        <v>1.336</v>
      </c>
      <c r="I1237" s="13">
        <v>1.0</v>
      </c>
      <c r="J1237" s="14">
        <f t="shared" si="2"/>
        <v>1.336</v>
      </c>
      <c r="K1237" s="15" t="str">
        <f t="shared" si="3"/>
        <v>Baja</v>
      </c>
    </row>
    <row r="1238" ht="14.25" customHeight="1">
      <c r="A1238" s="6" t="s">
        <v>2236</v>
      </c>
      <c r="B1238" s="27" t="s">
        <v>3716</v>
      </c>
      <c r="C1238" s="10">
        <v>2.0</v>
      </c>
      <c r="D1238" s="10">
        <v>2.0</v>
      </c>
      <c r="E1238" s="10">
        <v>2.0</v>
      </c>
      <c r="F1238" s="10">
        <v>1.0</v>
      </c>
      <c r="G1238" s="10">
        <v>1.0</v>
      </c>
      <c r="H1238" s="12">
        <f t="shared" si="1"/>
        <v>1.804</v>
      </c>
      <c r="I1238" s="13">
        <v>1.0</v>
      </c>
      <c r="J1238" s="14">
        <f t="shared" si="2"/>
        <v>1.804</v>
      </c>
      <c r="K1238" s="15" t="str">
        <f t="shared" si="3"/>
        <v>Baja</v>
      </c>
    </row>
    <row r="1239" ht="14.25" customHeight="1">
      <c r="A1239" s="6" t="s">
        <v>2236</v>
      </c>
      <c r="B1239" s="27" t="s">
        <v>3718</v>
      </c>
      <c r="C1239" s="10">
        <v>1.0</v>
      </c>
      <c r="D1239" s="10">
        <v>1.0</v>
      </c>
      <c r="E1239" s="10">
        <v>2.0</v>
      </c>
      <c r="F1239" s="10">
        <v>1.0</v>
      </c>
      <c r="G1239" s="10">
        <v>1.0</v>
      </c>
      <c r="H1239" s="12">
        <f t="shared" si="1"/>
        <v>1.24</v>
      </c>
      <c r="I1239" s="13">
        <v>2.0</v>
      </c>
      <c r="J1239" s="14">
        <f t="shared" si="2"/>
        <v>2.48</v>
      </c>
      <c r="K1239" s="15" t="str">
        <f t="shared" si="3"/>
        <v>Baja</v>
      </c>
    </row>
    <row r="1240" ht="14.25" customHeight="1">
      <c r="A1240" s="6" t="s">
        <v>2236</v>
      </c>
      <c r="B1240" s="27" t="s">
        <v>3719</v>
      </c>
      <c r="C1240" s="10">
        <v>1.0</v>
      </c>
      <c r="D1240" s="10">
        <v>1.0</v>
      </c>
      <c r="E1240" s="10">
        <v>2.0</v>
      </c>
      <c r="F1240" s="10">
        <v>1.0</v>
      </c>
      <c r="G1240" s="10">
        <v>1.0</v>
      </c>
      <c r="H1240" s="12">
        <f t="shared" si="1"/>
        <v>1.24</v>
      </c>
      <c r="I1240" s="13">
        <v>3.0</v>
      </c>
      <c r="J1240" s="14">
        <f t="shared" si="2"/>
        <v>3.72</v>
      </c>
      <c r="K1240" s="15" t="str">
        <f t="shared" si="3"/>
        <v>Baja</v>
      </c>
    </row>
    <row r="1241" ht="14.25" customHeight="1">
      <c r="A1241" s="6" t="s">
        <v>2236</v>
      </c>
      <c r="B1241" s="27" t="s">
        <v>3720</v>
      </c>
      <c r="C1241" s="10">
        <v>1.0</v>
      </c>
      <c r="D1241" s="10">
        <v>1.0</v>
      </c>
      <c r="E1241" s="10">
        <v>2.0</v>
      </c>
      <c r="F1241" s="10">
        <v>1.0</v>
      </c>
      <c r="G1241" s="10">
        <v>1.0</v>
      </c>
      <c r="H1241" s="12">
        <f t="shared" si="1"/>
        <v>1.24</v>
      </c>
      <c r="I1241" s="13">
        <v>2.0</v>
      </c>
      <c r="J1241" s="14">
        <f t="shared" si="2"/>
        <v>2.48</v>
      </c>
      <c r="K1241" s="15" t="str">
        <f t="shared" si="3"/>
        <v>Baja</v>
      </c>
    </row>
    <row r="1242" ht="14.25" customHeight="1">
      <c r="A1242" s="6" t="s">
        <v>2248</v>
      </c>
      <c r="B1242" s="9" t="s">
        <v>3721</v>
      </c>
      <c r="C1242" s="10">
        <v>3.0</v>
      </c>
      <c r="D1242" s="10">
        <v>2.0</v>
      </c>
      <c r="E1242" s="10">
        <v>3.0</v>
      </c>
      <c r="F1242" s="10">
        <v>1.0</v>
      </c>
      <c r="G1242" s="10">
        <v>1.0</v>
      </c>
      <c r="H1242" s="12">
        <f t="shared" si="1"/>
        <v>2.428</v>
      </c>
      <c r="I1242" s="13">
        <v>2.0</v>
      </c>
      <c r="J1242" s="14">
        <f t="shared" si="2"/>
        <v>4.856</v>
      </c>
      <c r="K1242" s="15" t="str">
        <f t="shared" si="3"/>
        <v>Media</v>
      </c>
    </row>
    <row r="1243" ht="14.25" customHeight="1">
      <c r="A1243" s="6" t="s">
        <v>2248</v>
      </c>
      <c r="B1243" s="9" t="s">
        <v>808</v>
      </c>
      <c r="C1243" s="10">
        <v>2.0</v>
      </c>
      <c r="D1243" s="10">
        <v>1.0</v>
      </c>
      <c r="E1243" s="10">
        <v>2.0</v>
      </c>
      <c r="F1243" s="10">
        <v>1.0</v>
      </c>
      <c r="G1243" s="10">
        <v>1.0</v>
      </c>
      <c r="H1243" s="12">
        <f t="shared" si="1"/>
        <v>1.624</v>
      </c>
      <c r="I1243" s="13">
        <v>2.0</v>
      </c>
      <c r="J1243" s="14">
        <f t="shared" si="2"/>
        <v>3.248</v>
      </c>
      <c r="K1243" s="15" t="str">
        <f t="shared" si="3"/>
        <v>Baja</v>
      </c>
    </row>
    <row r="1244" ht="14.25" customHeight="1">
      <c r="A1244" s="6" t="s">
        <v>2248</v>
      </c>
      <c r="B1244" s="9" t="s">
        <v>3722</v>
      </c>
      <c r="C1244" s="10">
        <v>2.0</v>
      </c>
      <c r="D1244" s="10">
        <v>1.0</v>
      </c>
      <c r="E1244" s="10">
        <v>2.0</v>
      </c>
      <c r="F1244" s="10">
        <v>1.0</v>
      </c>
      <c r="G1244" s="10">
        <v>1.0</v>
      </c>
      <c r="H1244" s="12">
        <f t="shared" si="1"/>
        <v>1.624</v>
      </c>
      <c r="I1244" s="13">
        <v>3.0</v>
      </c>
      <c r="J1244" s="14">
        <f t="shared" si="2"/>
        <v>4.872</v>
      </c>
      <c r="K1244" s="15" t="str">
        <f t="shared" si="3"/>
        <v>Media</v>
      </c>
    </row>
    <row r="1245" ht="14.25" customHeight="1">
      <c r="A1245" s="6" t="s">
        <v>2257</v>
      </c>
      <c r="B1245" s="27" t="s">
        <v>3723</v>
      </c>
      <c r="C1245" s="10">
        <v>3.0</v>
      </c>
      <c r="D1245" s="10">
        <v>2.0</v>
      </c>
      <c r="E1245" s="10">
        <v>2.0</v>
      </c>
      <c r="F1245" s="10">
        <v>1.0</v>
      </c>
      <c r="G1245" s="10">
        <v>1.0</v>
      </c>
      <c r="H1245" s="12">
        <f t="shared" si="1"/>
        <v>2.188</v>
      </c>
      <c r="I1245" s="13">
        <v>2.0</v>
      </c>
      <c r="J1245" s="14">
        <f t="shared" si="2"/>
        <v>4.376</v>
      </c>
      <c r="K1245" s="15" t="str">
        <f t="shared" si="3"/>
        <v>Media</v>
      </c>
    </row>
    <row r="1246" ht="14.25" customHeight="1">
      <c r="A1246" s="6" t="s">
        <v>2257</v>
      </c>
      <c r="B1246" s="27" t="s">
        <v>3727</v>
      </c>
      <c r="C1246" s="10">
        <v>2.0</v>
      </c>
      <c r="D1246" s="10">
        <v>1.0</v>
      </c>
      <c r="E1246" s="10">
        <v>2.0</v>
      </c>
      <c r="F1246" s="10">
        <v>1.0</v>
      </c>
      <c r="G1246" s="10">
        <v>1.0</v>
      </c>
      <c r="H1246" s="12">
        <f t="shared" si="1"/>
        <v>1.624</v>
      </c>
      <c r="I1246" s="13">
        <v>2.0</v>
      </c>
      <c r="J1246" s="14">
        <f t="shared" si="2"/>
        <v>3.248</v>
      </c>
      <c r="K1246" s="15" t="str">
        <f t="shared" si="3"/>
        <v>Baja</v>
      </c>
    </row>
    <row r="1247" ht="14.25" customHeight="1">
      <c r="A1247" s="6" t="s">
        <v>2257</v>
      </c>
      <c r="B1247" s="27" t="s">
        <v>3728</v>
      </c>
      <c r="C1247" s="10">
        <v>2.0</v>
      </c>
      <c r="D1247" s="10">
        <v>1.0</v>
      </c>
      <c r="E1247" s="10">
        <v>2.0</v>
      </c>
      <c r="F1247" s="10">
        <v>1.0</v>
      </c>
      <c r="G1247" s="10">
        <v>1.0</v>
      </c>
      <c r="H1247" s="12">
        <f t="shared" si="1"/>
        <v>1.624</v>
      </c>
      <c r="I1247" s="13">
        <v>3.0</v>
      </c>
      <c r="J1247" s="14">
        <f t="shared" si="2"/>
        <v>4.872</v>
      </c>
      <c r="K1247" s="15" t="str">
        <f t="shared" si="3"/>
        <v>Media</v>
      </c>
    </row>
    <row r="1248" ht="14.25" customHeight="1">
      <c r="A1248" s="6" t="s">
        <v>2266</v>
      </c>
      <c r="B1248" s="9" t="s">
        <v>3721</v>
      </c>
      <c r="C1248" s="10">
        <v>3.0</v>
      </c>
      <c r="D1248" s="10">
        <v>2.0</v>
      </c>
      <c r="E1248" s="10">
        <v>3.0</v>
      </c>
      <c r="F1248" s="10">
        <v>1.0</v>
      </c>
      <c r="G1248" s="10">
        <v>1.0</v>
      </c>
      <c r="H1248" s="12">
        <f t="shared" si="1"/>
        <v>2.428</v>
      </c>
      <c r="I1248" s="13">
        <v>2.0</v>
      </c>
      <c r="J1248" s="14">
        <f t="shared" si="2"/>
        <v>4.856</v>
      </c>
      <c r="K1248" s="15" t="str">
        <f t="shared" si="3"/>
        <v>Media</v>
      </c>
    </row>
    <row r="1249" ht="14.25" customHeight="1">
      <c r="A1249" s="6" t="s">
        <v>2266</v>
      </c>
      <c r="B1249" s="9" t="s">
        <v>808</v>
      </c>
      <c r="C1249" s="10">
        <v>2.0</v>
      </c>
      <c r="D1249" s="10">
        <v>1.0</v>
      </c>
      <c r="E1249" s="10">
        <v>2.0</v>
      </c>
      <c r="F1249" s="10">
        <v>1.0</v>
      </c>
      <c r="G1249" s="10">
        <v>1.0</v>
      </c>
      <c r="H1249" s="12">
        <f t="shared" si="1"/>
        <v>1.624</v>
      </c>
      <c r="I1249" s="13">
        <v>2.0</v>
      </c>
      <c r="J1249" s="14">
        <f t="shared" si="2"/>
        <v>3.248</v>
      </c>
      <c r="K1249" s="15" t="str">
        <f t="shared" si="3"/>
        <v>Baja</v>
      </c>
    </row>
    <row r="1250" ht="14.25" customHeight="1">
      <c r="A1250" s="6" t="s">
        <v>2266</v>
      </c>
      <c r="B1250" s="9" t="s">
        <v>3722</v>
      </c>
      <c r="C1250" s="10">
        <v>2.0</v>
      </c>
      <c r="D1250" s="10">
        <v>1.0</v>
      </c>
      <c r="E1250" s="10">
        <v>2.0</v>
      </c>
      <c r="F1250" s="10">
        <v>1.0</v>
      </c>
      <c r="G1250" s="10">
        <v>1.0</v>
      </c>
      <c r="H1250" s="12">
        <f t="shared" si="1"/>
        <v>1.624</v>
      </c>
      <c r="I1250" s="13">
        <v>3.0</v>
      </c>
      <c r="J1250" s="14">
        <f t="shared" si="2"/>
        <v>4.872</v>
      </c>
      <c r="K1250" s="15" t="str">
        <f t="shared" si="3"/>
        <v>Media</v>
      </c>
    </row>
    <row r="1251" ht="14.25" customHeight="1">
      <c r="A1251" s="6" t="s">
        <v>2269</v>
      </c>
      <c r="B1251" s="27" t="s">
        <v>3716</v>
      </c>
      <c r="C1251" s="10">
        <v>2.0</v>
      </c>
      <c r="D1251" s="10">
        <v>2.0</v>
      </c>
      <c r="E1251" s="10">
        <v>2.0</v>
      </c>
      <c r="F1251" s="10">
        <v>1.0</v>
      </c>
      <c r="G1251" s="10">
        <v>1.0</v>
      </c>
      <c r="H1251" s="12">
        <f t="shared" si="1"/>
        <v>1.804</v>
      </c>
      <c r="I1251" s="13">
        <v>1.0</v>
      </c>
      <c r="J1251" s="14">
        <f t="shared" si="2"/>
        <v>1.804</v>
      </c>
      <c r="K1251" s="15" t="str">
        <f t="shared" si="3"/>
        <v>Baja</v>
      </c>
    </row>
    <row r="1252" ht="14.25" customHeight="1">
      <c r="A1252" s="6" t="s">
        <v>2269</v>
      </c>
      <c r="B1252" s="27" t="s">
        <v>3718</v>
      </c>
      <c r="C1252" s="10">
        <v>1.0</v>
      </c>
      <c r="D1252" s="10">
        <v>1.0</v>
      </c>
      <c r="E1252" s="10">
        <v>2.0</v>
      </c>
      <c r="F1252" s="10">
        <v>1.0</v>
      </c>
      <c r="G1252" s="10">
        <v>1.0</v>
      </c>
      <c r="H1252" s="12">
        <f t="shared" si="1"/>
        <v>1.24</v>
      </c>
      <c r="I1252" s="13">
        <v>2.0</v>
      </c>
      <c r="J1252" s="14">
        <f t="shared" si="2"/>
        <v>2.48</v>
      </c>
      <c r="K1252" s="15" t="str">
        <f t="shared" si="3"/>
        <v>Baja</v>
      </c>
    </row>
    <row r="1253" ht="14.25" customHeight="1">
      <c r="A1253" s="6" t="s">
        <v>2269</v>
      </c>
      <c r="B1253" s="27" t="s">
        <v>3719</v>
      </c>
      <c r="C1253" s="10">
        <v>1.0</v>
      </c>
      <c r="D1253" s="10">
        <v>1.0</v>
      </c>
      <c r="E1253" s="10">
        <v>2.0</v>
      </c>
      <c r="F1253" s="10">
        <v>1.0</v>
      </c>
      <c r="G1253" s="10">
        <v>1.0</v>
      </c>
      <c r="H1253" s="12">
        <f t="shared" si="1"/>
        <v>1.24</v>
      </c>
      <c r="I1253" s="13">
        <v>3.0</v>
      </c>
      <c r="J1253" s="14">
        <f t="shared" si="2"/>
        <v>3.72</v>
      </c>
      <c r="K1253" s="15" t="str">
        <f t="shared" si="3"/>
        <v>Baja</v>
      </c>
    </row>
    <row r="1254" ht="14.25" customHeight="1">
      <c r="A1254" s="6" t="s">
        <v>2269</v>
      </c>
      <c r="B1254" s="27" t="s">
        <v>3720</v>
      </c>
      <c r="C1254" s="10">
        <v>1.0</v>
      </c>
      <c r="D1254" s="10">
        <v>1.0</v>
      </c>
      <c r="E1254" s="10">
        <v>2.0</v>
      </c>
      <c r="F1254" s="10">
        <v>1.0</v>
      </c>
      <c r="G1254" s="10">
        <v>1.0</v>
      </c>
      <c r="H1254" s="12">
        <f t="shared" si="1"/>
        <v>1.24</v>
      </c>
      <c r="I1254" s="13">
        <v>2.0</v>
      </c>
      <c r="J1254" s="14">
        <f t="shared" si="2"/>
        <v>2.48</v>
      </c>
      <c r="K1254" s="15" t="str">
        <f t="shared" si="3"/>
        <v>Baja</v>
      </c>
    </row>
    <row r="1255" ht="14.25" customHeight="1">
      <c r="A1255" s="6" t="s">
        <v>2272</v>
      </c>
      <c r="B1255" s="9" t="s">
        <v>3723</v>
      </c>
      <c r="C1255" s="10">
        <v>3.0</v>
      </c>
      <c r="D1255" s="10">
        <v>2.0</v>
      </c>
      <c r="E1255" s="10">
        <v>2.0</v>
      </c>
      <c r="F1255" s="10">
        <v>1.0</v>
      </c>
      <c r="G1255" s="10">
        <v>1.0</v>
      </c>
      <c r="H1255" s="12">
        <f t="shared" si="1"/>
        <v>2.188</v>
      </c>
      <c r="I1255" s="13">
        <v>2.0</v>
      </c>
      <c r="J1255" s="14">
        <f t="shared" si="2"/>
        <v>4.376</v>
      </c>
      <c r="K1255" s="15" t="str">
        <f t="shared" si="3"/>
        <v>Media</v>
      </c>
    </row>
    <row r="1256" ht="14.25" customHeight="1">
      <c r="A1256" s="6" t="s">
        <v>2272</v>
      </c>
      <c r="B1256" s="9" t="s">
        <v>3727</v>
      </c>
      <c r="C1256" s="10">
        <v>2.0</v>
      </c>
      <c r="D1256" s="10">
        <v>1.0</v>
      </c>
      <c r="E1256" s="10">
        <v>2.0</v>
      </c>
      <c r="F1256" s="10">
        <v>1.0</v>
      </c>
      <c r="G1256" s="10">
        <v>1.0</v>
      </c>
      <c r="H1256" s="12">
        <f t="shared" si="1"/>
        <v>1.624</v>
      </c>
      <c r="I1256" s="13">
        <v>2.0</v>
      </c>
      <c r="J1256" s="14">
        <f t="shared" si="2"/>
        <v>3.248</v>
      </c>
      <c r="K1256" s="15" t="str">
        <f t="shared" si="3"/>
        <v>Baja</v>
      </c>
    </row>
    <row r="1257" ht="14.25" customHeight="1">
      <c r="A1257" s="6" t="s">
        <v>2272</v>
      </c>
      <c r="B1257" s="9" t="s">
        <v>3728</v>
      </c>
      <c r="C1257" s="10">
        <v>2.0</v>
      </c>
      <c r="D1257" s="10">
        <v>1.0</v>
      </c>
      <c r="E1257" s="10">
        <v>2.0</v>
      </c>
      <c r="F1257" s="10">
        <v>1.0</v>
      </c>
      <c r="G1257" s="10">
        <v>1.0</v>
      </c>
      <c r="H1257" s="12">
        <f t="shared" si="1"/>
        <v>1.624</v>
      </c>
      <c r="I1257" s="13">
        <v>3.0</v>
      </c>
      <c r="J1257" s="14">
        <f t="shared" si="2"/>
        <v>4.872</v>
      </c>
      <c r="K1257" s="15" t="str">
        <f t="shared" si="3"/>
        <v>Media</v>
      </c>
    </row>
    <row r="1258" ht="14.25" customHeight="1">
      <c r="A1258" s="6" t="s">
        <v>2274</v>
      </c>
      <c r="B1258" s="27" t="s">
        <v>3732</v>
      </c>
      <c r="C1258" s="10">
        <v>3.0</v>
      </c>
      <c r="D1258" s="10">
        <v>4.0</v>
      </c>
      <c r="E1258" s="10">
        <v>2.0</v>
      </c>
      <c r="F1258" s="10">
        <v>1.0</v>
      </c>
      <c r="G1258" s="10">
        <v>1.0</v>
      </c>
      <c r="H1258" s="12">
        <f t="shared" si="1"/>
        <v>2.548</v>
      </c>
      <c r="I1258" s="13">
        <v>1.0</v>
      </c>
      <c r="J1258" s="14">
        <f t="shared" si="2"/>
        <v>2.548</v>
      </c>
      <c r="K1258" s="15" t="str">
        <f t="shared" si="3"/>
        <v>Baja</v>
      </c>
    </row>
    <row r="1259" ht="14.25" customHeight="1">
      <c r="A1259" s="6" t="s">
        <v>2274</v>
      </c>
      <c r="B1259" s="27" t="s">
        <v>3733</v>
      </c>
      <c r="C1259" s="10">
        <v>2.0</v>
      </c>
      <c r="D1259" s="10">
        <v>2.0</v>
      </c>
      <c r="E1259" s="10">
        <v>2.0</v>
      </c>
      <c r="F1259" s="10">
        <v>1.0</v>
      </c>
      <c r="G1259" s="10">
        <v>1.0</v>
      </c>
      <c r="H1259" s="12">
        <f t="shared" si="1"/>
        <v>1.804</v>
      </c>
      <c r="I1259" s="13">
        <v>2.0</v>
      </c>
      <c r="J1259" s="14">
        <f t="shared" si="2"/>
        <v>3.608</v>
      </c>
      <c r="K1259" s="15" t="str">
        <f t="shared" si="3"/>
        <v>Baja</v>
      </c>
    </row>
    <row r="1260" ht="14.25" customHeight="1">
      <c r="A1260" s="6" t="s">
        <v>2274</v>
      </c>
      <c r="B1260" s="27" t="s">
        <v>3734</v>
      </c>
      <c r="C1260" s="10">
        <v>2.0</v>
      </c>
      <c r="D1260" s="10">
        <v>2.0</v>
      </c>
      <c r="E1260" s="10">
        <v>2.0</v>
      </c>
      <c r="F1260" s="10">
        <v>1.0</v>
      </c>
      <c r="G1260" s="10">
        <v>1.0</v>
      </c>
      <c r="H1260" s="12">
        <f t="shared" si="1"/>
        <v>1.804</v>
      </c>
      <c r="I1260" s="13">
        <v>2.0</v>
      </c>
      <c r="J1260" s="14">
        <f t="shared" si="2"/>
        <v>3.608</v>
      </c>
      <c r="K1260" s="15" t="str">
        <f t="shared" si="3"/>
        <v>Baja</v>
      </c>
    </row>
    <row r="1261" ht="14.25" customHeight="1">
      <c r="A1261" s="6" t="s">
        <v>2288</v>
      </c>
      <c r="B1261" s="9" t="s">
        <v>3735</v>
      </c>
      <c r="C1261" s="10">
        <v>3.0</v>
      </c>
      <c r="D1261" s="10">
        <v>4.0</v>
      </c>
      <c r="E1261" s="10">
        <v>3.0</v>
      </c>
      <c r="F1261" s="10">
        <v>2.0</v>
      </c>
      <c r="G1261" s="10">
        <v>1.0</v>
      </c>
      <c r="H1261" s="12">
        <f t="shared" si="1"/>
        <v>2.884</v>
      </c>
      <c r="I1261" s="13">
        <v>2.0</v>
      </c>
      <c r="J1261" s="14">
        <f t="shared" si="2"/>
        <v>5.768</v>
      </c>
      <c r="K1261" s="15" t="str">
        <f t="shared" si="3"/>
        <v>Media</v>
      </c>
    </row>
    <row r="1262" ht="14.25" customHeight="1">
      <c r="A1262" s="6" t="s">
        <v>2288</v>
      </c>
      <c r="B1262" s="9" t="s">
        <v>3738</v>
      </c>
      <c r="C1262" s="10">
        <v>2.0</v>
      </c>
      <c r="D1262" s="10">
        <v>2.0</v>
      </c>
      <c r="E1262" s="10">
        <v>3.0</v>
      </c>
      <c r="F1262" s="10">
        <v>2.0</v>
      </c>
      <c r="G1262" s="10">
        <v>1.0</v>
      </c>
      <c r="H1262" s="12">
        <f t="shared" si="1"/>
        <v>2.14</v>
      </c>
      <c r="I1262" s="13">
        <v>2.0</v>
      </c>
      <c r="J1262" s="14">
        <f t="shared" si="2"/>
        <v>4.28</v>
      </c>
      <c r="K1262" s="15" t="str">
        <f t="shared" si="3"/>
        <v>Media</v>
      </c>
    </row>
    <row r="1263" ht="14.25" customHeight="1">
      <c r="A1263" s="6" t="s">
        <v>2302</v>
      </c>
      <c r="B1263" s="27" t="s">
        <v>2899</v>
      </c>
      <c r="C1263" s="10">
        <v>2.0</v>
      </c>
      <c r="D1263" s="10">
        <v>4.0</v>
      </c>
      <c r="E1263" s="10">
        <v>3.0</v>
      </c>
      <c r="F1263" s="10">
        <v>3.0</v>
      </c>
      <c r="G1263" s="10">
        <v>1.0</v>
      </c>
      <c r="H1263" s="12">
        <f t="shared" si="1"/>
        <v>2.596</v>
      </c>
      <c r="I1263" s="13">
        <v>3.0</v>
      </c>
      <c r="J1263" s="14">
        <f t="shared" si="2"/>
        <v>7.788</v>
      </c>
      <c r="K1263" s="15" t="str">
        <f t="shared" si="3"/>
        <v>Media</v>
      </c>
    </row>
    <row r="1264" ht="14.25" customHeight="1">
      <c r="A1264" s="6" t="s">
        <v>2302</v>
      </c>
      <c r="B1264" s="27" t="s">
        <v>2907</v>
      </c>
      <c r="C1264" s="10">
        <v>2.0</v>
      </c>
      <c r="D1264" s="10">
        <v>4.0</v>
      </c>
      <c r="E1264" s="10">
        <v>3.0</v>
      </c>
      <c r="F1264" s="10">
        <v>3.0</v>
      </c>
      <c r="G1264" s="10">
        <v>1.0</v>
      </c>
      <c r="H1264" s="12">
        <f t="shared" si="1"/>
        <v>2.596</v>
      </c>
      <c r="I1264" s="13">
        <v>1.0</v>
      </c>
      <c r="J1264" s="14">
        <f t="shared" si="2"/>
        <v>2.596</v>
      </c>
      <c r="K1264" s="15" t="str">
        <f t="shared" si="3"/>
        <v>Baja</v>
      </c>
    </row>
    <row r="1265" ht="14.25" customHeight="1">
      <c r="A1265" s="6" t="s">
        <v>2302</v>
      </c>
      <c r="B1265" s="27" t="s">
        <v>2913</v>
      </c>
      <c r="C1265" s="10">
        <v>1.0</v>
      </c>
      <c r="D1265" s="10">
        <v>2.0</v>
      </c>
      <c r="E1265" s="10">
        <v>3.0</v>
      </c>
      <c r="F1265" s="10">
        <v>3.0</v>
      </c>
      <c r="G1265" s="10">
        <v>1.0</v>
      </c>
      <c r="H1265" s="12">
        <f t="shared" si="1"/>
        <v>1.852</v>
      </c>
      <c r="I1265" s="13">
        <v>1.0</v>
      </c>
      <c r="J1265" s="14">
        <f t="shared" si="2"/>
        <v>1.852</v>
      </c>
      <c r="K1265" s="15" t="str">
        <f t="shared" si="3"/>
        <v>Baja</v>
      </c>
    </row>
    <row r="1266" ht="14.25" customHeight="1">
      <c r="A1266" s="6" t="s">
        <v>2302</v>
      </c>
      <c r="B1266" s="27" t="s">
        <v>2922</v>
      </c>
      <c r="C1266" s="10">
        <v>1.0</v>
      </c>
      <c r="D1266" s="10">
        <v>2.0</v>
      </c>
      <c r="E1266" s="10">
        <v>2.0</v>
      </c>
      <c r="F1266" s="10">
        <v>1.0</v>
      </c>
      <c r="G1266" s="10">
        <v>1.0</v>
      </c>
      <c r="H1266" s="12">
        <f t="shared" si="1"/>
        <v>1.42</v>
      </c>
      <c r="I1266" s="13">
        <v>2.0</v>
      </c>
      <c r="J1266" s="14">
        <f t="shared" si="2"/>
        <v>2.84</v>
      </c>
      <c r="K1266" s="15" t="str">
        <f t="shared" si="3"/>
        <v>Baja</v>
      </c>
    </row>
    <row r="1267" ht="14.25" customHeight="1">
      <c r="A1267" s="6" t="s">
        <v>2302</v>
      </c>
      <c r="B1267" s="27" t="s">
        <v>2929</v>
      </c>
      <c r="C1267" s="10">
        <v>1.0</v>
      </c>
      <c r="D1267" s="10">
        <v>2.0</v>
      </c>
      <c r="E1267" s="10">
        <v>2.0</v>
      </c>
      <c r="F1267" s="10">
        <v>3.0</v>
      </c>
      <c r="G1267" s="10">
        <v>1.0</v>
      </c>
      <c r="H1267" s="12">
        <f t="shared" si="1"/>
        <v>1.612</v>
      </c>
      <c r="I1267" s="13">
        <v>2.0</v>
      </c>
      <c r="J1267" s="14">
        <f t="shared" si="2"/>
        <v>3.224</v>
      </c>
      <c r="K1267" s="15" t="str">
        <f t="shared" si="3"/>
        <v>Baja</v>
      </c>
    </row>
    <row r="1268" ht="14.25" customHeight="1">
      <c r="A1268" s="6" t="s">
        <v>2302</v>
      </c>
      <c r="B1268" s="27" t="s">
        <v>2936</v>
      </c>
      <c r="C1268" s="10">
        <v>1.0</v>
      </c>
      <c r="D1268" s="10">
        <v>2.0</v>
      </c>
      <c r="E1268" s="10">
        <v>3.0</v>
      </c>
      <c r="F1268" s="10">
        <v>3.0</v>
      </c>
      <c r="G1268" s="10">
        <v>1.0</v>
      </c>
      <c r="H1268" s="12">
        <f t="shared" si="1"/>
        <v>1.852</v>
      </c>
      <c r="I1268" s="13">
        <v>2.0</v>
      </c>
      <c r="J1268" s="14">
        <f t="shared" si="2"/>
        <v>3.704</v>
      </c>
      <c r="K1268" s="15" t="str">
        <f t="shared" si="3"/>
        <v>Baja</v>
      </c>
    </row>
    <row r="1269" ht="14.25" customHeight="1">
      <c r="A1269" s="6" t="s">
        <v>2309</v>
      </c>
      <c r="B1269" s="9" t="s">
        <v>3741</v>
      </c>
      <c r="C1269" s="10">
        <v>3.0</v>
      </c>
      <c r="D1269" s="10">
        <v>4.0</v>
      </c>
      <c r="E1269" s="10">
        <v>3.0</v>
      </c>
      <c r="F1269" s="10">
        <v>3.0</v>
      </c>
      <c r="G1269" s="10">
        <v>1.0</v>
      </c>
      <c r="H1269" s="12">
        <f t="shared" si="1"/>
        <v>2.98</v>
      </c>
      <c r="I1269" s="13">
        <v>1.0</v>
      </c>
      <c r="J1269" s="14">
        <f t="shared" si="2"/>
        <v>2.98</v>
      </c>
      <c r="K1269" s="15" t="str">
        <f t="shared" si="3"/>
        <v>Baja</v>
      </c>
    </row>
    <row r="1270" ht="14.25" customHeight="1">
      <c r="A1270" s="6" t="s">
        <v>2309</v>
      </c>
      <c r="B1270" s="9" t="s">
        <v>3742</v>
      </c>
      <c r="C1270" s="10">
        <v>3.0</v>
      </c>
      <c r="D1270" s="10">
        <v>4.0</v>
      </c>
      <c r="E1270" s="10">
        <v>3.0</v>
      </c>
      <c r="F1270" s="10">
        <v>1.0</v>
      </c>
      <c r="G1270" s="10">
        <v>1.0</v>
      </c>
      <c r="H1270" s="12">
        <f t="shared" si="1"/>
        <v>2.788</v>
      </c>
      <c r="I1270" s="13">
        <v>1.0</v>
      </c>
      <c r="J1270" s="14">
        <f t="shared" si="2"/>
        <v>2.788</v>
      </c>
      <c r="K1270" s="15" t="str">
        <f t="shared" si="3"/>
        <v>Baja</v>
      </c>
    </row>
    <row r="1271" ht="14.25" customHeight="1">
      <c r="A1271" s="6" t="s">
        <v>2309</v>
      </c>
      <c r="B1271" s="9" t="s">
        <v>3743</v>
      </c>
      <c r="C1271" s="10">
        <v>2.0</v>
      </c>
      <c r="D1271" s="10">
        <v>2.0</v>
      </c>
      <c r="E1271" s="10">
        <v>2.0</v>
      </c>
      <c r="F1271" s="10">
        <v>3.0</v>
      </c>
      <c r="G1271" s="10">
        <v>1.0</v>
      </c>
      <c r="H1271" s="12">
        <f t="shared" si="1"/>
        <v>1.996</v>
      </c>
      <c r="I1271" s="13">
        <v>3.0</v>
      </c>
      <c r="J1271" s="14">
        <f t="shared" si="2"/>
        <v>5.988</v>
      </c>
      <c r="K1271" s="15" t="str">
        <f t="shared" si="3"/>
        <v>Media</v>
      </c>
    </row>
    <row r="1272" ht="14.25" customHeight="1">
      <c r="A1272" s="6" t="s">
        <v>2309</v>
      </c>
      <c r="B1272" s="9" t="s">
        <v>2922</v>
      </c>
      <c r="C1272" s="10">
        <v>2.0</v>
      </c>
      <c r="D1272" s="10">
        <v>2.0</v>
      </c>
      <c r="E1272" s="10">
        <v>2.0</v>
      </c>
      <c r="F1272" s="10">
        <v>1.0</v>
      </c>
      <c r="G1272" s="10">
        <v>1.0</v>
      </c>
      <c r="H1272" s="12">
        <f t="shared" si="1"/>
        <v>1.804</v>
      </c>
      <c r="I1272" s="13">
        <v>2.0</v>
      </c>
      <c r="J1272" s="14">
        <f t="shared" si="2"/>
        <v>3.608</v>
      </c>
      <c r="K1272" s="15" t="str">
        <f t="shared" si="3"/>
        <v>Baja</v>
      </c>
    </row>
    <row r="1273" ht="14.25" customHeight="1">
      <c r="A1273" s="6" t="s">
        <v>2319</v>
      </c>
      <c r="B1273" s="27" t="s">
        <v>3744</v>
      </c>
      <c r="C1273" s="10">
        <v>4.0</v>
      </c>
      <c r="D1273" s="10">
        <v>2.0</v>
      </c>
      <c r="E1273" s="10">
        <v>3.0</v>
      </c>
      <c r="F1273" s="10">
        <v>3.0</v>
      </c>
      <c r="G1273" s="10">
        <v>1.0</v>
      </c>
      <c r="H1273" s="12">
        <f t="shared" si="1"/>
        <v>3.004</v>
      </c>
      <c r="I1273" s="13">
        <v>2.0</v>
      </c>
      <c r="J1273" s="14">
        <f t="shared" si="2"/>
        <v>6.008</v>
      </c>
      <c r="K1273" s="15" t="str">
        <f t="shared" si="3"/>
        <v>Media</v>
      </c>
    </row>
    <row r="1274" ht="14.25" customHeight="1">
      <c r="A1274" s="6" t="s">
        <v>2319</v>
      </c>
      <c r="B1274" s="27" t="s">
        <v>3746</v>
      </c>
      <c r="C1274" s="10">
        <v>4.0</v>
      </c>
      <c r="D1274" s="10">
        <v>2.0</v>
      </c>
      <c r="E1274" s="10">
        <v>2.0</v>
      </c>
      <c r="F1274" s="10">
        <v>1.0</v>
      </c>
      <c r="G1274" s="10">
        <v>1.0</v>
      </c>
      <c r="H1274" s="12">
        <f t="shared" si="1"/>
        <v>2.572</v>
      </c>
      <c r="I1274" s="13">
        <v>3.0</v>
      </c>
      <c r="J1274" s="14">
        <f t="shared" si="2"/>
        <v>7.716</v>
      </c>
      <c r="K1274" s="15" t="str">
        <f t="shared" si="3"/>
        <v>Media</v>
      </c>
    </row>
    <row r="1275" ht="14.25" customHeight="1">
      <c r="A1275" s="6" t="s">
        <v>2319</v>
      </c>
      <c r="B1275" s="27" t="s">
        <v>3747</v>
      </c>
      <c r="C1275" s="10">
        <v>2.0</v>
      </c>
      <c r="D1275" s="10">
        <v>1.0</v>
      </c>
      <c r="E1275" s="10">
        <v>2.0</v>
      </c>
      <c r="F1275" s="10">
        <v>1.0</v>
      </c>
      <c r="G1275" s="10">
        <v>1.0</v>
      </c>
      <c r="H1275" s="12">
        <f t="shared" si="1"/>
        <v>1.624</v>
      </c>
      <c r="I1275" s="13">
        <v>3.0</v>
      </c>
      <c r="J1275" s="14">
        <f t="shared" si="2"/>
        <v>4.872</v>
      </c>
      <c r="K1275" s="15" t="str">
        <f t="shared" si="3"/>
        <v>Media</v>
      </c>
    </row>
    <row r="1276" ht="14.25" customHeight="1">
      <c r="A1276" s="6" t="s">
        <v>2329</v>
      </c>
      <c r="B1276" s="9" t="s">
        <v>3748</v>
      </c>
      <c r="C1276" s="10">
        <v>2.0</v>
      </c>
      <c r="D1276" s="10">
        <v>2.0</v>
      </c>
      <c r="E1276" s="10">
        <v>2.0</v>
      </c>
      <c r="F1276" s="10">
        <v>2.0</v>
      </c>
      <c r="G1276" s="10">
        <v>1.0</v>
      </c>
      <c r="H1276" s="12">
        <f t="shared" si="1"/>
        <v>1.9</v>
      </c>
      <c r="I1276" s="13">
        <v>3.0</v>
      </c>
      <c r="J1276" s="14">
        <f t="shared" si="2"/>
        <v>5.7</v>
      </c>
      <c r="K1276" s="15" t="str">
        <f t="shared" si="3"/>
        <v>Media</v>
      </c>
    </row>
    <row r="1277" ht="14.25" customHeight="1">
      <c r="A1277" s="6" t="s">
        <v>2329</v>
      </c>
      <c r="B1277" s="9" t="s">
        <v>3686</v>
      </c>
      <c r="C1277" s="10">
        <v>1.0</v>
      </c>
      <c r="D1277" s="10">
        <v>1.0</v>
      </c>
      <c r="E1277" s="10">
        <v>2.0</v>
      </c>
      <c r="F1277" s="10">
        <v>1.0</v>
      </c>
      <c r="G1277" s="10">
        <v>1.0</v>
      </c>
      <c r="H1277" s="12">
        <f t="shared" si="1"/>
        <v>1.24</v>
      </c>
      <c r="I1277" s="13">
        <v>3.0</v>
      </c>
      <c r="J1277" s="14">
        <f t="shared" si="2"/>
        <v>3.72</v>
      </c>
      <c r="K1277" s="15" t="str">
        <f t="shared" si="3"/>
        <v>Baja</v>
      </c>
    </row>
    <row r="1278" ht="14.25" customHeight="1">
      <c r="A1278" s="6" t="s">
        <v>2342</v>
      </c>
      <c r="B1278" s="27" t="s">
        <v>3749</v>
      </c>
      <c r="C1278" s="10">
        <v>2.0</v>
      </c>
      <c r="D1278" s="10">
        <v>2.0</v>
      </c>
      <c r="E1278" s="10">
        <v>3.0</v>
      </c>
      <c r="F1278" s="10">
        <v>2.0</v>
      </c>
      <c r="G1278" s="10">
        <v>1.0</v>
      </c>
      <c r="H1278" s="12">
        <f t="shared" si="1"/>
        <v>2.14</v>
      </c>
      <c r="I1278" s="13">
        <v>2.0</v>
      </c>
      <c r="J1278" s="14">
        <f t="shared" si="2"/>
        <v>4.28</v>
      </c>
      <c r="K1278" s="15" t="str">
        <f t="shared" si="3"/>
        <v>Media</v>
      </c>
    </row>
    <row r="1279" ht="14.25" customHeight="1">
      <c r="A1279" s="6" t="s">
        <v>2342</v>
      </c>
      <c r="B1279" s="27" t="s">
        <v>3750</v>
      </c>
      <c r="C1279" s="10">
        <v>1.0</v>
      </c>
      <c r="D1279" s="10">
        <v>1.0</v>
      </c>
      <c r="E1279" s="10">
        <v>3.0</v>
      </c>
      <c r="F1279" s="10">
        <v>2.0</v>
      </c>
      <c r="G1279" s="10">
        <v>1.0</v>
      </c>
      <c r="H1279" s="12">
        <f t="shared" si="1"/>
        <v>1.576</v>
      </c>
      <c r="I1279" s="13">
        <v>2.0</v>
      </c>
      <c r="J1279" s="14">
        <f t="shared" si="2"/>
        <v>3.152</v>
      </c>
      <c r="K1279" s="15" t="str">
        <f t="shared" si="3"/>
        <v>Baja</v>
      </c>
    </row>
    <row r="1280" ht="14.25" customHeight="1">
      <c r="A1280" s="6" t="s">
        <v>2342</v>
      </c>
      <c r="B1280" s="27" t="s">
        <v>3751</v>
      </c>
      <c r="C1280" s="10">
        <v>1.0</v>
      </c>
      <c r="D1280" s="10">
        <v>1.0</v>
      </c>
      <c r="E1280" s="10">
        <v>3.0</v>
      </c>
      <c r="F1280" s="10">
        <v>2.0</v>
      </c>
      <c r="G1280" s="10">
        <v>1.0</v>
      </c>
      <c r="H1280" s="12">
        <f t="shared" si="1"/>
        <v>1.576</v>
      </c>
      <c r="I1280" s="13">
        <v>3.0</v>
      </c>
      <c r="J1280" s="14">
        <f t="shared" si="2"/>
        <v>4.728</v>
      </c>
      <c r="K1280" s="15" t="str">
        <f t="shared" si="3"/>
        <v>Media</v>
      </c>
    </row>
    <row r="1281" ht="14.25" customHeight="1">
      <c r="A1281" s="6" t="s">
        <v>2355</v>
      </c>
      <c r="B1281" s="9" t="s">
        <v>3753</v>
      </c>
      <c r="C1281" s="10">
        <v>1.0</v>
      </c>
      <c r="D1281" s="10">
        <v>2.0</v>
      </c>
      <c r="E1281" s="10">
        <v>3.0</v>
      </c>
      <c r="F1281" s="10">
        <v>2.0</v>
      </c>
      <c r="G1281" s="10">
        <v>1.0</v>
      </c>
      <c r="H1281" s="12">
        <f t="shared" si="1"/>
        <v>1.756</v>
      </c>
      <c r="I1281" s="13">
        <v>1.0</v>
      </c>
      <c r="J1281" s="14">
        <f t="shared" si="2"/>
        <v>1.756</v>
      </c>
      <c r="K1281" s="15" t="str">
        <f t="shared" si="3"/>
        <v>Baja</v>
      </c>
    </row>
    <row r="1282" ht="14.25" customHeight="1">
      <c r="A1282" s="6" t="s">
        <v>2355</v>
      </c>
      <c r="B1282" s="9" t="s">
        <v>3754</v>
      </c>
      <c r="C1282" s="10">
        <v>1.0</v>
      </c>
      <c r="D1282" s="10">
        <v>1.0</v>
      </c>
      <c r="E1282" s="10">
        <v>3.0</v>
      </c>
      <c r="F1282" s="10">
        <v>2.0</v>
      </c>
      <c r="G1282" s="10">
        <v>1.0</v>
      </c>
      <c r="H1282" s="12">
        <f t="shared" si="1"/>
        <v>1.576</v>
      </c>
      <c r="I1282" s="13">
        <v>3.0</v>
      </c>
      <c r="J1282" s="14">
        <f t="shared" si="2"/>
        <v>4.728</v>
      </c>
      <c r="K1282" s="15" t="str">
        <f t="shared" si="3"/>
        <v>Media</v>
      </c>
    </row>
    <row r="1283" ht="14.25" customHeight="1">
      <c r="A1283" s="6" t="s">
        <v>2368</v>
      </c>
      <c r="B1283" s="27" t="s">
        <v>3755</v>
      </c>
      <c r="C1283" s="10">
        <v>4.0</v>
      </c>
      <c r="D1283" s="10">
        <v>4.0</v>
      </c>
      <c r="E1283" s="10">
        <v>4.0</v>
      </c>
      <c r="F1283" s="10">
        <v>2.0</v>
      </c>
      <c r="G1283" s="10">
        <v>3.0</v>
      </c>
      <c r="H1283" s="12">
        <f t="shared" si="1"/>
        <v>3.708</v>
      </c>
      <c r="I1283" s="13">
        <v>1.0</v>
      </c>
      <c r="J1283" s="14">
        <f t="shared" si="2"/>
        <v>3.708</v>
      </c>
      <c r="K1283" s="15" t="str">
        <f t="shared" si="3"/>
        <v>Baja</v>
      </c>
    </row>
    <row r="1284" ht="14.25" customHeight="1">
      <c r="A1284" s="6" t="s">
        <v>2368</v>
      </c>
      <c r="B1284" s="27" t="s">
        <v>3756</v>
      </c>
      <c r="C1284" s="10">
        <v>3.0</v>
      </c>
      <c r="D1284" s="10">
        <v>3.0</v>
      </c>
      <c r="E1284" s="10">
        <v>3.0</v>
      </c>
      <c r="F1284" s="10">
        <v>2.0</v>
      </c>
      <c r="G1284" s="10">
        <v>2.0</v>
      </c>
      <c r="H1284" s="12">
        <f t="shared" si="1"/>
        <v>2.804</v>
      </c>
      <c r="I1284" s="13">
        <v>2.0</v>
      </c>
      <c r="J1284" s="14">
        <f t="shared" si="2"/>
        <v>5.608</v>
      </c>
      <c r="K1284" s="15" t="str">
        <f t="shared" si="3"/>
        <v>Media</v>
      </c>
    </row>
    <row r="1285" ht="14.25" customHeight="1">
      <c r="A1285" s="6" t="s">
        <v>2378</v>
      </c>
      <c r="B1285" s="9" t="s">
        <v>3757</v>
      </c>
      <c r="C1285" s="10">
        <v>4.0</v>
      </c>
      <c r="D1285" s="10">
        <v>4.0</v>
      </c>
      <c r="E1285" s="10">
        <v>4.0</v>
      </c>
      <c r="F1285" s="10">
        <v>4.0</v>
      </c>
      <c r="G1285" s="10">
        <v>3.0</v>
      </c>
      <c r="H1285" s="12">
        <f t="shared" si="1"/>
        <v>3.9</v>
      </c>
      <c r="I1285" s="13">
        <v>1.0</v>
      </c>
      <c r="J1285" s="14">
        <f t="shared" si="2"/>
        <v>3.9</v>
      </c>
      <c r="K1285" s="15" t="str">
        <f t="shared" si="3"/>
        <v>Baja</v>
      </c>
    </row>
    <row r="1286" ht="14.25" customHeight="1">
      <c r="A1286" s="6" t="s">
        <v>2378</v>
      </c>
      <c r="B1286" s="9" t="s">
        <v>3758</v>
      </c>
      <c r="C1286" s="10">
        <v>3.0</v>
      </c>
      <c r="D1286" s="10">
        <v>3.0</v>
      </c>
      <c r="E1286" s="10">
        <v>3.0</v>
      </c>
      <c r="F1286" s="10">
        <v>4.0</v>
      </c>
      <c r="G1286" s="10">
        <v>2.0</v>
      </c>
      <c r="H1286" s="12">
        <f t="shared" si="1"/>
        <v>2.996</v>
      </c>
      <c r="I1286" s="13">
        <v>1.0</v>
      </c>
      <c r="J1286" s="14">
        <f t="shared" si="2"/>
        <v>2.996</v>
      </c>
      <c r="K1286" s="15" t="str">
        <f t="shared" si="3"/>
        <v>Baja</v>
      </c>
    </row>
    <row r="1287" ht="14.25" customHeight="1">
      <c r="A1287" s="6" t="s">
        <v>2392</v>
      </c>
      <c r="B1287" s="27" t="s">
        <v>3759</v>
      </c>
      <c r="C1287" s="10">
        <v>1.0</v>
      </c>
      <c r="D1287" s="10">
        <v>4.0</v>
      </c>
      <c r="E1287" s="10">
        <v>3.0</v>
      </c>
      <c r="F1287" s="10">
        <v>2.0</v>
      </c>
      <c r="G1287" s="10">
        <v>1.0</v>
      </c>
      <c r="H1287" s="12">
        <f t="shared" si="1"/>
        <v>2.116</v>
      </c>
      <c r="I1287" s="13">
        <v>1.0</v>
      </c>
      <c r="J1287" s="14">
        <f t="shared" si="2"/>
        <v>2.116</v>
      </c>
      <c r="K1287" s="15" t="str">
        <f t="shared" si="3"/>
        <v>Baja</v>
      </c>
    </row>
    <row r="1288" ht="14.25" customHeight="1">
      <c r="A1288" s="6" t="s">
        <v>2392</v>
      </c>
      <c r="B1288" s="27" t="s">
        <v>3760</v>
      </c>
      <c r="C1288" s="10">
        <v>1.0</v>
      </c>
      <c r="D1288" s="10">
        <v>2.0</v>
      </c>
      <c r="E1288" s="10">
        <v>3.0</v>
      </c>
      <c r="F1288" s="10">
        <v>1.0</v>
      </c>
      <c r="G1288" s="10">
        <v>1.0</v>
      </c>
      <c r="H1288" s="12">
        <f t="shared" si="1"/>
        <v>1.66</v>
      </c>
      <c r="I1288" s="13">
        <v>2.0</v>
      </c>
      <c r="J1288" s="14">
        <f t="shared" si="2"/>
        <v>3.32</v>
      </c>
      <c r="K1288" s="15" t="str">
        <f t="shared" si="3"/>
        <v>Baja</v>
      </c>
    </row>
    <row r="1289" ht="14.25" customHeight="1">
      <c r="A1289" s="6" t="s">
        <v>2401</v>
      </c>
      <c r="B1289" s="9" t="s">
        <v>1609</v>
      </c>
      <c r="C1289" s="10">
        <v>4.0</v>
      </c>
      <c r="D1289" s="10">
        <v>4.0</v>
      </c>
      <c r="E1289" s="10">
        <v>4.0</v>
      </c>
      <c r="F1289" s="10">
        <v>3.0</v>
      </c>
      <c r="G1289" s="10">
        <v>3.0</v>
      </c>
      <c r="H1289" s="12">
        <f t="shared" si="1"/>
        <v>3.804</v>
      </c>
      <c r="I1289" s="13">
        <v>1.0</v>
      </c>
      <c r="J1289" s="14">
        <f t="shared" si="2"/>
        <v>3.804</v>
      </c>
      <c r="K1289" s="15" t="str">
        <f t="shared" si="3"/>
        <v>Baja</v>
      </c>
    </row>
    <row r="1290" ht="14.25" customHeight="1">
      <c r="A1290" s="6" t="s">
        <v>2401</v>
      </c>
      <c r="B1290" s="9" t="s">
        <v>1615</v>
      </c>
      <c r="C1290" s="10">
        <v>4.0</v>
      </c>
      <c r="D1290" s="10">
        <v>4.0</v>
      </c>
      <c r="E1290" s="10">
        <v>4.0</v>
      </c>
      <c r="F1290" s="10">
        <v>2.0</v>
      </c>
      <c r="G1290" s="10">
        <v>3.0</v>
      </c>
      <c r="H1290" s="12">
        <f t="shared" si="1"/>
        <v>3.708</v>
      </c>
      <c r="I1290" s="13">
        <v>1.0</v>
      </c>
      <c r="J1290" s="14">
        <f t="shared" si="2"/>
        <v>3.708</v>
      </c>
      <c r="K1290" s="15" t="str">
        <f t="shared" si="3"/>
        <v>Baja</v>
      </c>
    </row>
    <row r="1291" ht="14.25" customHeight="1">
      <c r="A1291" s="6" t="s">
        <v>2401</v>
      </c>
      <c r="B1291" s="9" t="s">
        <v>1622</v>
      </c>
      <c r="C1291" s="10">
        <v>2.0</v>
      </c>
      <c r="D1291" s="10">
        <v>3.0</v>
      </c>
      <c r="E1291" s="10">
        <v>3.0</v>
      </c>
      <c r="F1291" s="10">
        <v>3.0</v>
      </c>
      <c r="G1291" s="10">
        <v>2.0</v>
      </c>
      <c r="H1291" s="12">
        <f t="shared" si="1"/>
        <v>2.516</v>
      </c>
      <c r="I1291" s="13">
        <v>1.0</v>
      </c>
      <c r="J1291" s="14">
        <f t="shared" si="2"/>
        <v>2.516</v>
      </c>
      <c r="K1291" s="15" t="str">
        <f t="shared" si="3"/>
        <v>Baja</v>
      </c>
    </row>
    <row r="1292" ht="14.25" customHeight="1">
      <c r="A1292" s="6" t="s">
        <v>2401</v>
      </c>
      <c r="B1292" s="9" t="s">
        <v>1625</v>
      </c>
      <c r="C1292" s="10">
        <v>2.0</v>
      </c>
      <c r="D1292" s="10">
        <v>3.0</v>
      </c>
      <c r="E1292" s="10">
        <v>3.0</v>
      </c>
      <c r="F1292" s="10">
        <v>2.0</v>
      </c>
      <c r="G1292" s="10">
        <v>2.0</v>
      </c>
      <c r="H1292" s="12">
        <f t="shared" si="1"/>
        <v>2.42</v>
      </c>
      <c r="I1292" s="13">
        <v>2.0</v>
      </c>
      <c r="J1292" s="14">
        <f t="shared" si="2"/>
        <v>4.84</v>
      </c>
      <c r="K1292" s="15" t="str">
        <f t="shared" si="3"/>
        <v>Media</v>
      </c>
    </row>
    <row r="1293" ht="14.25" customHeight="1">
      <c r="A1293" s="6" t="s">
        <v>2407</v>
      </c>
      <c r="B1293" s="27" t="s">
        <v>3688</v>
      </c>
      <c r="C1293" s="10">
        <v>4.0</v>
      </c>
      <c r="D1293" s="10">
        <v>4.0</v>
      </c>
      <c r="E1293" s="10">
        <v>4.0</v>
      </c>
      <c r="F1293" s="10">
        <v>2.0</v>
      </c>
      <c r="G1293" s="10">
        <v>3.0</v>
      </c>
      <c r="H1293" s="12">
        <f t="shared" si="1"/>
        <v>3.708</v>
      </c>
      <c r="I1293" s="13">
        <v>2.0</v>
      </c>
      <c r="J1293" s="14">
        <f t="shared" si="2"/>
        <v>7.416</v>
      </c>
      <c r="K1293" s="15" t="str">
        <f t="shared" si="3"/>
        <v>Media</v>
      </c>
    </row>
    <row r="1294" ht="14.25" customHeight="1">
      <c r="A1294" s="6" t="s">
        <v>2407</v>
      </c>
      <c r="B1294" s="27" t="s">
        <v>3689</v>
      </c>
      <c r="C1294" s="10">
        <v>3.0</v>
      </c>
      <c r="D1294" s="10">
        <v>3.0</v>
      </c>
      <c r="E1294" s="10">
        <v>3.0</v>
      </c>
      <c r="F1294" s="10">
        <v>2.0</v>
      </c>
      <c r="G1294" s="10">
        <v>2.0</v>
      </c>
      <c r="H1294" s="12">
        <f t="shared" si="1"/>
        <v>2.804</v>
      </c>
      <c r="I1294" s="13">
        <v>2.0</v>
      </c>
      <c r="J1294" s="14">
        <f t="shared" si="2"/>
        <v>5.608</v>
      </c>
      <c r="K1294" s="15" t="str">
        <f t="shared" si="3"/>
        <v>Media</v>
      </c>
    </row>
    <row r="1295" ht="14.25" customHeight="1">
      <c r="A1295" s="6" t="s">
        <v>2411</v>
      </c>
      <c r="B1295" s="9" t="s">
        <v>3690</v>
      </c>
      <c r="C1295" s="10">
        <v>4.0</v>
      </c>
      <c r="D1295" s="10">
        <v>4.0</v>
      </c>
      <c r="E1295" s="10">
        <v>4.0</v>
      </c>
      <c r="F1295" s="10">
        <v>3.0</v>
      </c>
      <c r="G1295" s="10">
        <v>3.0</v>
      </c>
      <c r="H1295" s="12">
        <f t="shared" si="1"/>
        <v>3.804</v>
      </c>
      <c r="I1295" s="13">
        <v>1.0</v>
      </c>
      <c r="J1295" s="14">
        <f t="shared" si="2"/>
        <v>3.804</v>
      </c>
      <c r="K1295" s="15" t="str">
        <f t="shared" si="3"/>
        <v>Baja</v>
      </c>
    </row>
    <row r="1296" ht="14.25" customHeight="1">
      <c r="A1296" s="6" t="s">
        <v>2411</v>
      </c>
      <c r="B1296" s="9" t="s">
        <v>3154</v>
      </c>
      <c r="C1296" s="10">
        <v>3.0</v>
      </c>
      <c r="D1296" s="10">
        <v>3.0</v>
      </c>
      <c r="E1296" s="10">
        <v>3.0</v>
      </c>
      <c r="F1296" s="10">
        <v>3.0</v>
      </c>
      <c r="G1296" s="10">
        <v>2.0</v>
      </c>
      <c r="H1296" s="12">
        <f t="shared" si="1"/>
        <v>2.9</v>
      </c>
      <c r="I1296" s="13">
        <v>3.0</v>
      </c>
      <c r="J1296" s="14">
        <f t="shared" si="2"/>
        <v>8.7</v>
      </c>
      <c r="K1296" s="15" t="str">
        <f t="shared" si="3"/>
        <v>Media</v>
      </c>
    </row>
    <row r="1297" ht="14.25" customHeight="1">
      <c r="A1297" s="6" t="s">
        <v>2411</v>
      </c>
      <c r="B1297" s="9" t="s">
        <v>3691</v>
      </c>
      <c r="C1297" s="10">
        <v>3.0</v>
      </c>
      <c r="D1297" s="10">
        <v>3.0</v>
      </c>
      <c r="E1297" s="10">
        <v>3.0</v>
      </c>
      <c r="F1297" s="10">
        <v>1.0</v>
      </c>
      <c r="G1297" s="10">
        <v>2.0</v>
      </c>
      <c r="H1297" s="12">
        <f t="shared" si="1"/>
        <v>2.708</v>
      </c>
      <c r="I1297" s="13">
        <v>3.0</v>
      </c>
      <c r="J1297" s="14">
        <f t="shared" si="2"/>
        <v>8.124</v>
      </c>
      <c r="K1297" s="15" t="str">
        <f t="shared" si="3"/>
        <v>Media</v>
      </c>
    </row>
    <row r="1298" ht="14.25" customHeight="1">
      <c r="A1298" s="6" t="s">
        <v>2414</v>
      </c>
      <c r="B1298" s="27" t="s">
        <v>1127</v>
      </c>
      <c r="C1298" s="10">
        <v>4.0</v>
      </c>
      <c r="D1298" s="10">
        <v>4.0</v>
      </c>
      <c r="E1298" s="10">
        <v>4.0</v>
      </c>
      <c r="F1298" s="10">
        <v>3.0</v>
      </c>
      <c r="G1298" s="10">
        <v>3.0</v>
      </c>
      <c r="H1298" s="12">
        <f t="shared" si="1"/>
        <v>3.804</v>
      </c>
      <c r="I1298" s="13">
        <v>1.0</v>
      </c>
      <c r="J1298" s="14">
        <f t="shared" si="2"/>
        <v>3.804</v>
      </c>
      <c r="K1298" s="15" t="str">
        <f t="shared" si="3"/>
        <v>Baja</v>
      </c>
    </row>
    <row r="1299" ht="14.25" customHeight="1">
      <c r="A1299" s="6" t="s">
        <v>2414</v>
      </c>
      <c r="B1299" s="27" t="s">
        <v>1134</v>
      </c>
      <c r="C1299" s="10">
        <v>3.0</v>
      </c>
      <c r="D1299" s="10">
        <v>3.0</v>
      </c>
      <c r="E1299" s="10">
        <v>3.0</v>
      </c>
      <c r="F1299" s="10">
        <v>3.0</v>
      </c>
      <c r="G1299" s="10">
        <v>2.0</v>
      </c>
      <c r="H1299" s="12">
        <f t="shared" si="1"/>
        <v>2.9</v>
      </c>
      <c r="I1299" s="13">
        <v>3.0</v>
      </c>
      <c r="J1299" s="14">
        <f t="shared" si="2"/>
        <v>8.7</v>
      </c>
      <c r="K1299" s="15" t="str">
        <f t="shared" si="3"/>
        <v>Media</v>
      </c>
    </row>
    <row r="1300" ht="14.25" customHeight="1">
      <c r="A1300" s="6" t="s">
        <v>2414</v>
      </c>
      <c r="B1300" s="27" t="s">
        <v>1141</v>
      </c>
      <c r="C1300" s="10">
        <v>3.0</v>
      </c>
      <c r="D1300" s="10">
        <v>3.0</v>
      </c>
      <c r="E1300" s="10">
        <v>3.0</v>
      </c>
      <c r="F1300" s="10">
        <v>1.0</v>
      </c>
      <c r="G1300" s="10">
        <v>2.0</v>
      </c>
      <c r="H1300" s="12">
        <f t="shared" si="1"/>
        <v>2.708</v>
      </c>
      <c r="I1300" s="13">
        <v>3.0</v>
      </c>
      <c r="J1300" s="14">
        <f t="shared" si="2"/>
        <v>8.124</v>
      </c>
      <c r="K1300" s="15" t="str">
        <f t="shared" si="3"/>
        <v>Media</v>
      </c>
    </row>
    <row r="1301" ht="14.25" customHeight="1">
      <c r="A1301" s="6" t="s">
        <v>2414</v>
      </c>
      <c r="B1301" s="27" t="s">
        <v>1147</v>
      </c>
      <c r="C1301" s="10">
        <v>3.0</v>
      </c>
      <c r="D1301" s="10">
        <v>3.0</v>
      </c>
      <c r="E1301" s="10">
        <v>3.0</v>
      </c>
      <c r="F1301" s="10">
        <v>3.0</v>
      </c>
      <c r="G1301" s="10">
        <v>2.0</v>
      </c>
      <c r="H1301" s="12">
        <f t="shared" si="1"/>
        <v>2.9</v>
      </c>
      <c r="I1301" s="13">
        <v>3.0</v>
      </c>
      <c r="J1301" s="14">
        <f t="shared" si="2"/>
        <v>8.7</v>
      </c>
      <c r="K1301" s="15" t="str">
        <f t="shared" si="3"/>
        <v>Media</v>
      </c>
    </row>
    <row r="1302" ht="14.25" customHeight="1">
      <c r="A1302" s="6" t="s">
        <v>2417</v>
      </c>
      <c r="B1302" s="9" t="s">
        <v>3690</v>
      </c>
      <c r="C1302" s="10">
        <v>4.0</v>
      </c>
      <c r="D1302" s="10">
        <v>4.0</v>
      </c>
      <c r="E1302" s="10">
        <v>4.0</v>
      </c>
      <c r="F1302" s="10">
        <v>3.0</v>
      </c>
      <c r="G1302" s="10">
        <v>3.0</v>
      </c>
      <c r="H1302" s="12">
        <f t="shared" si="1"/>
        <v>3.804</v>
      </c>
      <c r="I1302" s="13">
        <v>1.0</v>
      </c>
      <c r="J1302" s="14">
        <f t="shared" si="2"/>
        <v>3.804</v>
      </c>
      <c r="K1302" s="15" t="str">
        <f t="shared" si="3"/>
        <v>Baja</v>
      </c>
    </row>
    <row r="1303" ht="14.25" customHeight="1">
      <c r="A1303" s="6" t="s">
        <v>2417</v>
      </c>
      <c r="B1303" s="9" t="s">
        <v>3154</v>
      </c>
      <c r="C1303" s="10">
        <v>3.0</v>
      </c>
      <c r="D1303" s="10">
        <v>3.0</v>
      </c>
      <c r="E1303" s="10">
        <v>3.0</v>
      </c>
      <c r="F1303" s="10">
        <v>3.0</v>
      </c>
      <c r="G1303" s="10">
        <v>2.0</v>
      </c>
      <c r="H1303" s="12">
        <f t="shared" si="1"/>
        <v>2.9</v>
      </c>
      <c r="I1303" s="13">
        <v>3.0</v>
      </c>
      <c r="J1303" s="14">
        <f t="shared" si="2"/>
        <v>8.7</v>
      </c>
      <c r="K1303" s="15" t="str">
        <f t="shared" si="3"/>
        <v>Media</v>
      </c>
    </row>
    <row r="1304" ht="14.25" customHeight="1">
      <c r="A1304" s="6" t="s">
        <v>2417</v>
      </c>
      <c r="B1304" s="9" t="s">
        <v>3691</v>
      </c>
      <c r="C1304" s="10">
        <v>3.0</v>
      </c>
      <c r="D1304" s="10">
        <v>3.0</v>
      </c>
      <c r="E1304" s="10">
        <v>3.0</v>
      </c>
      <c r="F1304" s="10">
        <v>1.0</v>
      </c>
      <c r="G1304" s="10">
        <v>2.0</v>
      </c>
      <c r="H1304" s="12">
        <f t="shared" si="1"/>
        <v>2.708</v>
      </c>
      <c r="I1304" s="13">
        <v>3.0</v>
      </c>
      <c r="J1304" s="14">
        <f t="shared" si="2"/>
        <v>8.124</v>
      </c>
      <c r="K1304" s="15" t="str">
        <f t="shared" si="3"/>
        <v>Media</v>
      </c>
    </row>
    <row r="1305" ht="14.25" customHeight="1">
      <c r="A1305" s="6" t="s">
        <v>2421</v>
      </c>
      <c r="B1305" s="27" t="s">
        <v>1644</v>
      </c>
      <c r="C1305" s="10">
        <v>4.0</v>
      </c>
      <c r="D1305" s="10">
        <v>4.0</v>
      </c>
      <c r="E1305" s="10">
        <v>4.0</v>
      </c>
      <c r="F1305" s="10">
        <v>2.0</v>
      </c>
      <c r="G1305" s="10">
        <v>3.0</v>
      </c>
      <c r="H1305" s="12">
        <f t="shared" si="1"/>
        <v>3.708</v>
      </c>
      <c r="I1305" s="13">
        <v>1.0</v>
      </c>
      <c r="J1305" s="14">
        <f t="shared" si="2"/>
        <v>3.708</v>
      </c>
      <c r="K1305" s="15" t="str">
        <f t="shared" si="3"/>
        <v>Baja</v>
      </c>
    </row>
    <row r="1306" ht="14.25" customHeight="1">
      <c r="A1306" s="6" t="s">
        <v>2421</v>
      </c>
      <c r="B1306" s="27" t="s">
        <v>1650</v>
      </c>
      <c r="C1306" s="10">
        <v>3.0</v>
      </c>
      <c r="D1306" s="10">
        <v>3.0</v>
      </c>
      <c r="E1306" s="10">
        <v>3.0</v>
      </c>
      <c r="F1306" s="10">
        <v>2.0</v>
      </c>
      <c r="G1306" s="10">
        <v>2.0</v>
      </c>
      <c r="H1306" s="12">
        <f t="shared" si="1"/>
        <v>2.804</v>
      </c>
      <c r="I1306" s="13">
        <v>1.0</v>
      </c>
      <c r="J1306" s="14">
        <f t="shared" si="2"/>
        <v>2.804</v>
      </c>
      <c r="K1306" s="15" t="str">
        <f t="shared" si="3"/>
        <v>Baja</v>
      </c>
    </row>
    <row r="1307" ht="14.25" customHeight="1">
      <c r="A1307" s="6" t="s">
        <v>2421</v>
      </c>
      <c r="B1307" s="27" t="s">
        <v>1655</v>
      </c>
      <c r="C1307" s="10">
        <v>3.0</v>
      </c>
      <c r="D1307" s="10">
        <v>3.0</v>
      </c>
      <c r="E1307" s="10">
        <v>3.0</v>
      </c>
      <c r="F1307" s="10">
        <v>3.0</v>
      </c>
      <c r="G1307" s="10">
        <v>2.0</v>
      </c>
      <c r="H1307" s="12">
        <f t="shared" si="1"/>
        <v>2.9</v>
      </c>
      <c r="I1307" s="13">
        <v>1.0</v>
      </c>
      <c r="J1307" s="14">
        <f t="shared" si="2"/>
        <v>2.9</v>
      </c>
      <c r="K1307" s="15" t="str">
        <f t="shared" si="3"/>
        <v>Baja</v>
      </c>
    </row>
    <row r="1308" ht="14.25" customHeight="1">
      <c r="A1308" s="6" t="s">
        <v>2423</v>
      </c>
      <c r="B1308" s="9" t="s">
        <v>3692</v>
      </c>
      <c r="C1308" s="10">
        <v>4.0</v>
      </c>
      <c r="D1308" s="10">
        <v>4.0</v>
      </c>
      <c r="E1308" s="10">
        <v>4.0</v>
      </c>
      <c r="F1308" s="10">
        <v>2.0</v>
      </c>
      <c r="G1308" s="10">
        <v>3.0</v>
      </c>
      <c r="H1308" s="12">
        <f t="shared" si="1"/>
        <v>3.708</v>
      </c>
      <c r="I1308" s="13">
        <v>1.0</v>
      </c>
      <c r="J1308" s="14">
        <f t="shared" si="2"/>
        <v>3.708</v>
      </c>
      <c r="K1308" s="15" t="str">
        <f t="shared" si="3"/>
        <v>Baja</v>
      </c>
    </row>
    <row r="1309" ht="14.25" customHeight="1">
      <c r="A1309" s="6" t="s">
        <v>2423</v>
      </c>
      <c r="B1309" s="9" t="s">
        <v>3693</v>
      </c>
      <c r="C1309" s="10">
        <v>3.0</v>
      </c>
      <c r="D1309" s="10">
        <v>3.0</v>
      </c>
      <c r="E1309" s="10">
        <v>3.0</v>
      </c>
      <c r="F1309" s="10">
        <v>2.0</v>
      </c>
      <c r="G1309" s="10">
        <v>2.0</v>
      </c>
      <c r="H1309" s="12">
        <f t="shared" si="1"/>
        <v>2.804</v>
      </c>
      <c r="I1309" s="13">
        <v>2.0</v>
      </c>
      <c r="J1309" s="14">
        <f t="shared" si="2"/>
        <v>5.608</v>
      </c>
      <c r="K1309" s="15" t="str">
        <f t="shared" si="3"/>
        <v>Media</v>
      </c>
    </row>
    <row r="1310" ht="14.25" customHeight="1">
      <c r="A1310" s="6" t="s">
        <v>2423</v>
      </c>
      <c r="B1310" s="9" t="s">
        <v>3694</v>
      </c>
      <c r="C1310" s="10">
        <v>3.0</v>
      </c>
      <c r="D1310" s="10">
        <v>3.0</v>
      </c>
      <c r="E1310" s="10">
        <v>3.0</v>
      </c>
      <c r="F1310" s="10">
        <v>2.0</v>
      </c>
      <c r="G1310" s="10">
        <v>2.0</v>
      </c>
      <c r="H1310" s="12">
        <f t="shared" si="1"/>
        <v>2.804</v>
      </c>
      <c r="I1310" s="13">
        <v>2.0</v>
      </c>
      <c r="J1310" s="14">
        <f t="shared" si="2"/>
        <v>5.608</v>
      </c>
      <c r="K1310" s="15" t="str">
        <f t="shared" si="3"/>
        <v>Media</v>
      </c>
    </row>
    <row r="1311" ht="14.25" customHeight="1">
      <c r="A1311" s="6" t="s">
        <v>2425</v>
      </c>
      <c r="B1311" s="27" t="s">
        <v>3695</v>
      </c>
      <c r="C1311" s="10">
        <v>4.0</v>
      </c>
      <c r="D1311" s="10">
        <v>4.0</v>
      </c>
      <c r="E1311" s="10">
        <v>4.0</v>
      </c>
      <c r="F1311" s="10">
        <v>2.0</v>
      </c>
      <c r="G1311" s="10">
        <v>3.0</v>
      </c>
      <c r="H1311" s="12">
        <f t="shared" si="1"/>
        <v>3.708</v>
      </c>
      <c r="I1311" s="13">
        <v>1.0</v>
      </c>
      <c r="J1311" s="14">
        <f t="shared" si="2"/>
        <v>3.708</v>
      </c>
      <c r="K1311" s="15" t="str">
        <f t="shared" si="3"/>
        <v>Baja</v>
      </c>
    </row>
    <row r="1312" ht="14.25" customHeight="1">
      <c r="A1312" s="6" t="s">
        <v>2425</v>
      </c>
      <c r="B1312" s="27" t="s">
        <v>3696</v>
      </c>
      <c r="C1312" s="10">
        <v>3.0</v>
      </c>
      <c r="D1312" s="10">
        <v>3.0</v>
      </c>
      <c r="E1312" s="10">
        <v>3.0</v>
      </c>
      <c r="F1312" s="10">
        <v>2.0</v>
      </c>
      <c r="G1312" s="10">
        <v>2.0</v>
      </c>
      <c r="H1312" s="12">
        <f t="shared" si="1"/>
        <v>2.804</v>
      </c>
      <c r="I1312" s="13">
        <v>2.0</v>
      </c>
      <c r="J1312" s="14">
        <f t="shared" si="2"/>
        <v>5.608</v>
      </c>
      <c r="K1312" s="15" t="str">
        <f t="shared" si="3"/>
        <v>Media</v>
      </c>
    </row>
    <row r="1313" ht="14.25" customHeight="1">
      <c r="A1313" s="6" t="s">
        <v>2425</v>
      </c>
      <c r="B1313" s="27" t="s">
        <v>3697</v>
      </c>
      <c r="C1313" s="10">
        <v>3.0</v>
      </c>
      <c r="D1313" s="10">
        <v>3.0</v>
      </c>
      <c r="E1313" s="10">
        <v>3.0</v>
      </c>
      <c r="F1313" s="10">
        <v>2.0</v>
      </c>
      <c r="G1313" s="10">
        <v>2.0</v>
      </c>
      <c r="H1313" s="12">
        <f t="shared" si="1"/>
        <v>2.804</v>
      </c>
      <c r="I1313" s="13">
        <v>2.0</v>
      </c>
      <c r="J1313" s="14">
        <f t="shared" si="2"/>
        <v>5.608</v>
      </c>
      <c r="K1313" s="15" t="str">
        <f t="shared" si="3"/>
        <v>Media</v>
      </c>
    </row>
    <row r="1314" ht="14.25" customHeight="1">
      <c r="A1314" s="6" t="s">
        <v>2429</v>
      </c>
      <c r="B1314" s="9" t="s">
        <v>3768</v>
      </c>
      <c r="C1314" s="10">
        <v>1.0</v>
      </c>
      <c r="D1314" s="10">
        <v>2.0</v>
      </c>
      <c r="E1314" s="10">
        <v>3.0</v>
      </c>
      <c r="F1314" s="10">
        <v>1.0</v>
      </c>
      <c r="G1314" s="10">
        <v>1.0</v>
      </c>
      <c r="H1314" s="12">
        <f t="shared" si="1"/>
        <v>1.66</v>
      </c>
      <c r="I1314" s="13">
        <v>1.0</v>
      </c>
      <c r="J1314" s="14">
        <f t="shared" si="2"/>
        <v>1.66</v>
      </c>
      <c r="K1314" s="15" t="str">
        <f t="shared" si="3"/>
        <v>Baja</v>
      </c>
    </row>
    <row r="1315" ht="14.25" customHeight="1">
      <c r="A1315" s="6" t="s">
        <v>2429</v>
      </c>
      <c r="B1315" s="9" t="s">
        <v>1184</v>
      </c>
      <c r="C1315" s="10">
        <v>1.0</v>
      </c>
      <c r="D1315" s="10">
        <v>1.0</v>
      </c>
      <c r="E1315" s="10">
        <v>3.0</v>
      </c>
      <c r="F1315" s="10">
        <v>1.0</v>
      </c>
      <c r="G1315" s="10">
        <v>1.0</v>
      </c>
      <c r="H1315" s="12">
        <f t="shared" si="1"/>
        <v>1.48</v>
      </c>
      <c r="I1315" s="13">
        <v>2.0</v>
      </c>
      <c r="J1315" s="14">
        <f t="shared" si="2"/>
        <v>2.96</v>
      </c>
      <c r="K1315" s="15" t="str">
        <f t="shared" si="3"/>
        <v>Baja</v>
      </c>
    </row>
    <row r="1316" ht="14.25" customHeight="1">
      <c r="A1316" s="6" t="s">
        <v>2429</v>
      </c>
      <c r="B1316" s="9" t="s">
        <v>3769</v>
      </c>
      <c r="C1316" s="10">
        <v>1.0</v>
      </c>
      <c r="D1316" s="10">
        <v>1.0</v>
      </c>
      <c r="E1316" s="10">
        <v>2.0</v>
      </c>
      <c r="F1316" s="10">
        <v>1.0</v>
      </c>
      <c r="G1316" s="10">
        <v>1.0</v>
      </c>
      <c r="H1316" s="12">
        <f t="shared" si="1"/>
        <v>1.24</v>
      </c>
      <c r="I1316" s="13">
        <v>1.0</v>
      </c>
      <c r="J1316" s="14">
        <f t="shared" si="2"/>
        <v>1.24</v>
      </c>
      <c r="K1316" s="15" t="str">
        <f t="shared" si="3"/>
        <v>Baja</v>
      </c>
    </row>
    <row r="1317" ht="14.25" customHeight="1">
      <c r="A1317" s="6" t="s">
        <v>2429</v>
      </c>
      <c r="B1317" s="9" t="s">
        <v>3770</v>
      </c>
      <c r="C1317" s="10">
        <v>1.0</v>
      </c>
      <c r="D1317" s="10">
        <v>1.0</v>
      </c>
      <c r="E1317" s="10">
        <v>3.0</v>
      </c>
      <c r="F1317" s="10">
        <v>1.0</v>
      </c>
      <c r="G1317" s="10">
        <v>1.0</v>
      </c>
      <c r="H1317" s="12">
        <f t="shared" si="1"/>
        <v>1.48</v>
      </c>
      <c r="I1317" s="13">
        <v>2.0</v>
      </c>
      <c r="J1317" s="14">
        <f t="shared" si="2"/>
        <v>2.96</v>
      </c>
      <c r="K1317" s="15" t="str">
        <f t="shared" si="3"/>
        <v>Baja</v>
      </c>
    </row>
    <row r="1318" ht="14.25" customHeight="1">
      <c r="A1318" s="6" t="s">
        <v>2439</v>
      </c>
      <c r="B1318" s="27" t="s">
        <v>3771</v>
      </c>
      <c r="C1318" s="10">
        <v>3.0</v>
      </c>
      <c r="D1318" s="10">
        <v>4.0</v>
      </c>
      <c r="E1318" s="10">
        <v>3.0</v>
      </c>
      <c r="F1318" s="10">
        <v>2.0</v>
      </c>
      <c r="G1318" s="10">
        <v>1.0</v>
      </c>
      <c r="H1318" s="12">
        <f t="shared" si="1"/>
        <v>2.884</v>
      </c>
      <c r="I1318" s="13">
        <v>2.0</v>
      </c>
      <c r="J1318" s="14">
        <f t="shared" si="2"/>
        <v>5.768</v>
      </c>
      <c r="K1318" s="15" t="str">
        <f t="shared" si="3"/>
        <v>Media</v>
      </c>
    </row>
    <row r="1319" ht="14.25" customHeight="1">
      <c r="A1319" s="6" t="s">
        <v>2439</v>
      </c>
      <c r="B1319" s="27" t="s">
        <v>3772</v>
      </c>
      <c r="C1319" s="10">
        <v>3.0</v>
      </c>
      <c r="D1319" s="10">
        <v>4.0</v>
      </c>
      <c r="E1319" s="10">
        <v>3.0</v>
      </c>
      <c r="F1319" s="10">
        <v>1.0</v>
      </c>
      <c r="G1319" s="10">
        <v>1.0</v>
      </c>
      <c r="H1319" s="12">
        <f t="shared" si="1"/>
        <v>2.788</v>
      </c>
      <c r="I1319" s="13">
        <v>1.0</v>
      </c>
      <c r="J1319" s="14">
        <f t="shared" si="2"/>
        <v>2.788</v>
      </c>
      <c r="K1319" s="15" t="str">
        <f t="shared" si="3"/>
        <v>Baja</v>
      </c>
    </row>
    <row r="1320" ht="14.25" customHeight="1">
      <c r="A1320" s="6" t="s">
        <v>2439</v>
      </c>
      <c r="B1320" s="27" t="s">
        <v>3773</v>
      </c>
      <c r="C1320" s="10">
        <v>2.0</v>
      </c>
      <c r="D1320" s="10">
        <v>2.0</v>
      </c>
      <c r="E1320" s="10">
        <v>2.0</v>
      </c>
      <c r="F1320" s="10">
        <v>1.0</v>
      </c>
      <c r="G1320" s="10">
        <v>1.0</v>
      </c>
      <c r="H1320" s="12">
        <f t="shared" si="1"/>
        <v>1.804</v>
      </c>
      <c r="I1320" s="13">
        <v>2.0</v>
      </c>
      <c r="J1320" s="14">
        <f t="shared" si="2"/>
        <v>3.608</v>
      </c>
      <c r="K1320" s="15" t="str">
        <f t="shared" si="3"/>
        <v>Baja</v>
      </c>
    </row>
    <row r="1321" ht="14.25" customHeight="1">
      <c r="A1321" s="6" t="s">
        <v>2439</v>
      </c>
      <c r="B1321" s="27" t="s">
        <v>3774</v>
      </c>
      <c r="C1321" s="10">
        <v>2.0</v>
      </c>
      <c r="D1321" s="10">
        <v>2.0</v>
      </c>
      <c r="E1321" s="10">
        <v>2.0</v>
      </c>
      <c r="F1321" s="10">
        <v>1.0</v>
      </c>
      <c r="G1321" s="10">
        <v>1.0</v>
      </c>
      <c r="H1321" s="12">
        <f t="shared" si="1"/>
        <v>1.804</v>
      </c>
      <c r="I1321" s="13">
        <v>2.0</v>
      </c>
      <c r="J1321" s="14">
        <f t="shared" si="2"/>
        <v>3.608</v>
      </c>
      <c r="K1321" s="15" t="str">
        <f t="shared" si="3"/>
        <v>Baja</v>
      </c>
    </row>
    <row r="1322" ht="14.25" customHeight="1">
      <c r="A1322" s="6" t="s">
        <v>2454</v>
      </c>
      <c r="B1322" s="9" t="s">
        <v>3775</v>
      </c>
      <c r="C1322" s="10">
        <v>2.0</v>
      </c>
      <c r="D1322" s="10">
        <v>2.0</v>
      </c>
      <c r="E1322" s="10">
        <v>2.0</v>
      </c>
      <c r="F1322" s="10">
        <v>1.0</v>
      </c>
      <c r="G1322" s="10">
        <v>1.0</v>
      </c>
      <c r="H1322" s="12">
        <f t="shared" si="1"/>
        <v>1.804</v>
      </c>
      <c r="I1322" s="13">
        <v>2.0</v>
      </c>
      <c r="J1322" s="14">
        <f t="shared" si="2"/>
        <v>3.608</v>
      </c>
      <c r="K1322" s="15" t="str">
        <f t="shared" si="3"/>
        <v>Baja</v>
      </c>
    </row>
    <row r="1323" ht="14.25" customHeight="1">
      <c r="A1323" s="6" t="s">
        <v>2454</v>
      </c>
      <c r="B1323" s="9" t="s">
        <v>3776</v>
      </c>
      <c r="C1323" s="10">
        <v>2.0</v>
      </c>
      <c r="D1323" s="10">
        <v>2.0</v>
      </c>
      <c r="E1323" s="10">
        <v>3.0</v>
      </c>
      <c r="F1323" s="10">
        <v>1.0</v>
      </c>
      <c r="G1323" s="10">
        <v>1.0</v>
      </c>
      <c r="H1323" s="12">
        <f t="shared" si="1"/>
        <v>2.044</v>
      </c>
      <c r="I1323" s="13">
        <v>1.0</v>
      </c>
      <c r="J1323" s="14">
        <f t="shared" si="2"/>
        <v>2.044</v>
      </c>
      <c r="K1323" s="15" t="str">
        <f t="shared" si="3"/>
        <v>Baja</v>
      </c>
    </row>
    <row r="1324" ht="14.25" customHeight="1">
      <c r="A1324" s="6" t="s">
        <v>2454</v>
      </c>
      <c r="B1324" s="9" t="s">
        <v>3777</v>
      </c>
      <c r="C1324" s="10">
        <v>1.0</v>
      </c>
      <c r="D1324" s="10">
        <v>1.0</v>
      </c>
      <c r="E1324" s="10">
        <v>3.0</v>
      </c>
      <c r="F1324" s="10">
        <v>1.0</v>
      </c>
      <c r="G1324" s="10">
        <v>1.0</v>
      </c>
      <c r="H1324" s="12">
        <f t="shared" si="1"/>
        <v>1.48</v>
      </c>
      <c r="I1324" s="13">
        <v>2.0</v>
      </c>
      <c r="J1324" s="14">
        <f t="shared" si="2"/>
        <v>2.96</v>
      </c>
      <c r="K1324" s="15" t="str">
        <f t="shared" si="3"/>
        <v>Baja</v>
      </c>
    </row>
    <row r="1325" ht="14.25" customHeight="1">
      <c r="A1325" s="6" t="s">
        <v>2467</v>
      </c>
      <c r="B1325" s="27" t="s">
        <v>3775</v>
      </c>
      <c r="C1325" s="10">
        <v>2.0</v>
      </c>
      <c r="D1325" s="10">
        <v>2.0</v>
      </c>
      <c r="E1325" s="10">
        <v>2.0</v>
      </c>
      <c r="F1325" s="10">
        <v>1.0</v>
      </c>
      <c r="G1325" s="10">
        <v>1.0</v>
      </c>
      <c r="H1325" s="12">
        <f t="shared" si="1"/>
        <v>1.804</v>
      </c>
      <c r="I1325" s="13">
        <v>2.0</v>
      </c>
      <c r="J1325" s="14">
        <f t="shared" si="2"/>
        <v>3.608</v>
      </c>
      <c r="K1325" s="15" t="str">
        <f t="shared" si="3"/>
        <v>Baja</v>
      </c>
    </row>
    <row r="1326" ht="14.25" customHeight="1">
      <c r="A1326" s="6" t="s">
        <v>2467</v>
      </c>
      <c r="B1326" s="27" t="s">
        <v>3776</v>
      </c>
      <c r="C1326" s="10">
        <v>2.0</v>
      </c>
      <c r="D1326" s="10">
        <v>2.0</v>
      </c>
      <c r="E1326" s="10">
        <v>3.0</v>
      </c>
      <c r="F1326" s="10">
        <v>1.0</v>
      </c>
      <c r="G1326" s="10">
        <v>1.0</v>
      </c>
      <c r="H1326" s="12">
        <f t="shared" si="1"/>
        <v>2.044</v>
      </c>
      <c r="I1326" s="13">
        <v>1.0</v>
      </c>
      <c r="J1326" s="14">
        <f t="shared" si="2"/>
        <v>2.044</v>
      </c>
      <c r="K1326" s="15" t="str">
        <f t="shared" si="3"/>
        <v>Baja</v>
      </c>
    </row>
    <row r="1327" ht="14.25" customHeight="1">
      <c r="A1327" s="6" t="s">
        <v>2467</v>
      </c>
      <c r="B1327" s="27" t="s">
        <v>3777</v>
      </c>
      <c r="C1327" s="10">
        <v>1.0</v>
      </c>
      <c r="D1327" s="10">
        <v>1.0</v>
      </c>
      <c r="E1327" s="10">
        <v>3.0</v>
      </c>
      <c r="F1327" s="10">
        <v>1.0</v>
      </c>
      <c r="G1327" s="10">
        <v>1.0</v>
      </c>
      <c r="H1327" s="12">
        <f t="shared" si="1"/>
        <v>1.48</v>
      </c>
      <c r="I1327" s="13">
        <v>2.0</v>
      </c>
      <c r="J1327" s="14">
        <f t="shared" si="2"/>
        <v>2.96</v>
      </c>
      <c r="K1327" s="15" t="str">
        <f t="shared" si="3"/>
        <v>Baja</v>
      </c>
    </row>
    <row r="1328" ht="14.25" customHeight="1">
      <c r="A1328" s="6" t="s">
        <v>2470</v>
      </c>
      <c r="B1328" s="9" t="s">
        <v>3778</v>
      </c>
      <c r="C1328" s="10">
        <v>1.0</v>
      </c>
      <c r="D1328" s="10">
        <v>4.0</v>
      </c>
      <c r="E1328" s="10">
        <v>3.0</v>
      </c>
      <c r="F1328" s="10">
        <v>2.0</v>
      </c>
      <c r="G1328" s="10">
        <v>1.0</v>
      </c>
      <c r="H1328" s="12">
        <f t="shared" si="1"/>
        <v>2.116</v>
      </c>
      <c r="I1328" s="13">
        <v>2.0</v>
      </c>
      <c r="J1328" s="14">
        <f t="shared" si="2"/>
        <v>4.232</v>
      </c>
      <c r="K1328" s="15" t="str">
        <f t="shared" si="3"/>
        <v>Media</v>
      </c>
    </row>
    <row r="1329" ht="14.25" customHeight="1">
      <c r="A1329" s="6" t="s">
        <v>2470</v>
      </c>
      <c r="B1329" s="9" t="s">
        <v>3779</v>
      </c>
      <c r="C1329" s="10">
        <v>1.0</v>
      </c>
      <c r="D1329" s="10">
        <v>4.0</v>
      </c>
      <c r="E1329" s="10">
        <v>3.0</v>
      </c>
      <c r="F1329" s="10">
        <v>2.0</v>
      </c>
      <c r="G1329" s="10">
        <v>1.0</v>
      </c>
      <c r="H1329" s="12">
        <f t="shared" si="1"/>
        <v>2.116</v>
      </c>
      <c r="I1329" s="13">
        <v>2.0</v>
      </c>
      <c r="J1329" s="14">
        <f t="shared" si="2"/>
        <v>4.232</v>
      </c>
      <c r="K1329" s="15" t="str">
        <f t="shared" si="3"/>
        <v>Media</v>
      </c>
    </row>
    <row r="1330" ht="14.25" customHeight="1">
      <c r="A1330" s="6" t="s">
        <v>2470</v>
      </c>
      <c r="B1330" s="9" t="s">
        <v>3780</v>
      </c>
      <c r="C1330" s="10">
        <v>1.0</v>
      </c>
      <c r="D1330" s="10">
        <v>4.0</v>
      </c>
      <c r="E1330" s="10">
        <v>3.0</v>
      </c>
      <c r="F1330" s="10">
        <v>2.0</v>
      </c>
      <c r="G1330" s="10">
        <v>1.0</v>
      </c>
      <c r="H1330" s="12">
        <f t="shared" si="1"/>
        <v>2.116</v>
      </c>
      <c r="I1330" s="13">
        <v>1.0</v>
      </c>
      <c r="J1330" s="14">
        <f t="shared" si="2"/>
        <v>2.116</v>
      </c>
      <c r="K1330" s="15" t="str">
        <f t="shared" si="3"/>
        <v>Baja</v>
      </c>
    </row>
    <row r="1331" ht="14.25" customHeight="1">
      <c r="A1331" s="6" t="s">
        <v>2470</v>
      </c>
      <c r="B1331" s="9" t="s">
        <v>3781</v>
      </c>
      <c r="C1331" s="10">
        <v>1.0</v>
      </c>
      <c r="D1331" s="10">
        <v>2.0</v>
      </c>
      <c r="E1331" s="10">
        <v>3.0</v>
      </c>
      <c r="F1331" s="10">
        <v>1.0</v>
      </c>
      <c r="G1331" s="10">
        <v>1.0</v>
      </c>
      <c r="H1331" s="12">
        <f t="shared" si="1"/>
        <v>1.66</v>
      </c>
      <c r="I1331" s="13">
        <v>2.0</v>
      </c>
      <c r="J1331" s="14">
        <f t="shared" si="2"/>
        <v>3.32</v>
      </c>
      <c r="K1331" s="15" t="str">
        <f t="shared" si="3"/>
        <v>Baja</v>
      </c>
    </row>
    <row r="1332" ht="14.25" customHeight="1">
      <c r="A1332" s="6" t="s">
        <v>2481</v>
      </c>
      <c r="B1332" s="27" t="s">
        <v>3782</v>
      </c>
      <c r="C1332" s="10">
        <v>1.0</v>
      </c>
      <c r="D1332" s="10">
        <v>4.0</v>
      </c>
      <c r="E1332" s="10">
        <v>3.0</v>
      </c>
      <c r="F1332" s="10">
        <v>2.0</v>
      </c>
      <c r="G1332" s="10">
        <v>1.0</v>
      </c>
      <c r="H1332" s="12">
        <f t="shared" si="1"/>
        <v>2.116</v>
      </c>
      <c r="I1332" s="13">
        <v>2.0</v>
      </c>
      <c r="J1332" s="14">
        <f t="shared" si="2"/>
        <v>4.232</v>
      </c>
      <c r="K1332" s="15" t="str">
        <f t="shared" si="3"/>
        <v>Media</v>
      </c>
    </row>
    <row r="1333" ht="14.25" customHeight="1">
      <c r="A1333" s="6" t="s">
        <v>2481</v>
      </c>
      <c r="B1333" s="27" t="s">
        <v>3783</v>
      </c>
      <c r="C1333" s="10">
        <v>1.0</v>
      </c>
      <c r="D1333" s="10">
        <v>2.0</v>
      </c>
      <c r="E1333" s="10">
        <v>2.0</v>
      </c>
      <c r="F1333" s="10">
        <v>1.0</v>
      </c>
      <c r="G1333" s="10">
        <v>1.0</v>
      </c>
      <c r="H1333" s="12">
        <f t="shared" si="1"/>
        <v>1.42</v>
      </c>
      <c r="I1333" s="13">
        <v>2.0</v>
      </c>
      <c r="J1333" s="14">
        <f t="shared" si="2"/>
        <v>2.84</v>
      </c>
      <c r="K1333" s="15" t="str">
        <f t="shared" si="3"/>
        <v>Baja</v>
      </c>
    </row>
    <row r="1334" ht="14.25" customHeight="1">
      <c r="A1334" s="6" t="s">
        <v>2481</v>
      </c>
      <c r="B1334" s="27" t="s">
        <v>3784</v>
      </c>
      <c r="C1334" s="10">
        <v>1.0</v>
      </c>
      <c r="D1334" s="10">
        <v>2.0</v>
      </c>
      <c r="E1334" s="10">
        <v>2.0</v>
      </c>
      <c r="F1334" s="10">
        <v>1.0</v>
      </c>
      <c r="G1334" s="10">
        <v>1.0</v>
      </c>
      <c r="H1334" s="12">
        <f t="shared" si="1"/>
        <v>1.42</v>
      </c>
      <c r="I1334" s="13">
        <v>2.0</v>
      </c>
      <c r="J1334" s="14">
        <f t="shared" si="2"/>
        <v>2.84</v>
      </c>
      <c r="K1334" s="15" t="str">
        <f t="shared" si="3"/>
        <v>Baja</v>
      </c>
    </row>
    <row r="1335" ht="14.25" customHeight="1">
      <c r="A1335" s="6" t="s">
        <v>2489</v>
      </c>
      <c r="B1335" s="9" t="s">
        <v>3785</v>
      </c>
      <c r="C1335" s="10">
        <v>4.0</v>
      </c>
      <c r="D1335" s="10">
        <v>4.0</v>
      </c>
      <c r="E1335" s="10">
        <v>3.0</v>
      </c>
      <c r="F1335" s="10">
        <v>2.0</v>
      </c>
      <c r="G1335" s="10">
        <v>2.0</v>
      </c>
      <c r="H1335" s="12">
        <f t="shared" si="1"/>
        <v>3.368</v>
      </c>
      <c r="I1335" s="13">
        <v>3.0</v>
      </c>
      <c r="J1335" s="14">
        <f t="shared" si="2"/>
        <v>10.104</v>
      </c>
      <c r="K1335" s="15" t="str">
        <f t="shared" si="3"/>
        <v>Alta</v>
      </c>
    </row>
    <row r="1336" ht="14.25" customHeight="1">
      <c r="A1336" s="6" t="s">
        <v>2489</v>
      </c>
      <c r="B1336" s="9" t="s">
        <v>3786</v>
      </c>
      <c r="C1336" s="10">
        <v>3.0</v>
      </c>
      <c r="D1336" s="10">
        <v>2.0</v>
      </c>
      <c r="E1336" s="10">
        <v>3.0</v>
      </c>
      <c r="F1336" s="10">
        <v>2.0</v>
      </c>
      <c r="G1336" s="10">
        <v>1.0</v>
      </c>
      <c r="H1336" s="12">
        <f t="shared" si="1"/>
        <v>2.524</v>
      </c>
      <c r="I1336" s="13">
        <v>1.0</v>
      </c>
      <c r="J1336" s="14">
        <f t="shared" si="2"/>
        <v>2.524</v>
      </c>
      <c r="K1336" s="15" t="str">
        <f t="shared" si="3"/>
        <v>Baja</v>
      </c>
    </row>
    <row r="1337" ht="14.25" customHeight="1">
      <c r="A1337" s="6" t="s">
        <v>2503</v>
      </c>
      <c r="B1337" s="27" t="s">
        <v>3787</v>
      </c>
      <c r="C1337" s="10">
        <v>2.0</v>
      </c>
      <c r="D1337" s="10">
        <v>2.0</v>
      </c>
      <c r="E1337" s="10">
        <v>3.0</v>
      </c>
      <c r="F1337" s="10">
        <v>2.0</v>
      </c>
      <c r="G1337" s="10">
        <v>1.0</v>
      </c>
      <c r="H1337" s="12">
        <f t="shared" si="1"/>
        <v>2.14</v>
      </c>
      <c r="I1337" s="13">
        <v>1.0</v>
      </c>
      <c r="J1337" s="14">
        <f t="shared" si="2"/>
        <v>2.14</v>
      </c>
      <c r="K1337" s="15" t="str">
        <f t="shared" si="3"/>
        <v>Baja</v>
      </c>
    </row>
    <row r="1338" ht="14.25" customHeight="1">
      <c r="A1338" s="6" t="s">
        <v>2503</v>
      </c>
      <c r="B1338" s="27" t="s">
        <v>3788</v>
      </c>
      <c r="C1338" s="10">
        <v>1.0</v>
      </c>
      <c r="D1338" s="10">
        <v>1.0</v>
      </c>
      <c r="E1338" s="10">
        <v>3.0</v>
      </c>
      <c r="F1338" s="10">
        <v>1.0</v>
      </c>
      <c r="G1338" s="10">
        <v>1.0</v>
      </c>
      <c r="H1338" s="12">
        <f t="shared" si="1"/>
        <v>1.48</v>
      </c>
      <c r="I1338" s="13">
        <v>2.0</v>
      </c>
      <c r="J1338" s="14">
        <f t="shared" si="2"/>
        <v>2.96</v>
      </c>
      <c r="K1338" s="15" t="str">
        <f t="shared" si="3"/>
        <v>Baja</v>
      </c>
    </row>
    <row r="1339" ht="14.25" customHeight="1">
      <c r="A1339" s="6" t="s">
        <v>2512</v>
      </c>
      <c r="B1339" s="9" t="s">
        <v>3787</v>
      </c>
      <c r="C1339" s="10">
        <v>2.0</v>
      </c>
      <c r="D1339" s="10">
        <v>2.0</v>
      </c>
      <c r="E1339" s="10">
        <v>3.0</v>
      </c>
      <c r="F1339" s="10">
        <v>2.0</v>
      </c>
      <c r="G1339" s="10">
        <v>1.0</v>
      </c>
      <c r="H1339" s="12">
        <f t="shared" si="1"/>
        <v>2.14</v>
      </c>
      <c r="I1339" s="13">
        <v>1.0</v>
      </c>
      <c r="J1339" s="14">
        <f t="shared" si="2"/>
        <v>2.14</v>
      </c>
      <c r="K1339" s="15" t="str">
        <f t="shared" si="3"/>
        <v>Baja</v>
      </c>
    </row>
    <row r="1340" ht="14.25" customHeight="1">
      <c r="A1340" s="6" t="s">
        <v>2512</v>
      </c>
      <c r="B1340" s="9" t="s">
        <v>3788</v>
      </c>
      <c r="C1340" s="10">
        <v>1.0</v>
      </c>
      <c r="D1340" s="10">
        <v>1.0</v>
      </c>
      <c r="E1340" s="10">
        <v>3.0</v>
      </c>
      <c r="F1340" s="10">
        <v>1.0</v>
      </c>
      <c r="G1340" s="10">
        <v>1.0</v>
      </c>
      <c r="H1340" s="12">
        <f t="shared" si="1"/>
        <v>1.48</v>
      </c>
      <c r="I1340" s="13">
        <v>2.0</v>
      </c>
      <c r="J1340" s="14">
        <f t="shared" si="2"/>
        <v>2.96</v>
      </c>
      <c r="K1340" s="15" t="str">
        <f t="shared" si="3"/>
        <v>Baja</v>
      </c>
    </row>
    <row r="1341" ht="14.25" customHeight="1">
      <c r="A1341" s="6" t="s">
        <v>2522</v>
      </c>
      <c r="B1341" s="27" t="s">
        <v>3789</v>
      </c>
      <c r="C1341" s="10">
        <v>4.0</v>
      </c>
      <c r="D1341" s="10">
        <v>4.0</v>
      </c>
      <c r="E1341" s="10">
        <v>3.0</v>
      </c>
      <c r="F1341" s="10">
        <v>2.0</v>
      </c>
      <c r="G1341" s="10">
        <v>2.0</v>
      </c>
      <c r="H1341" s="12">
        <f t="shared" si="1"/>
        <v>3.368</v>
      </c>
      <c r="I1341" s="13">
        <v>1.0</v>
      </c>
      <c r="J1341" s="14">
        <f t="shared" si="2"/>
        <v>3.368</v>
      </c>
      <c r="K1341" s="15" t="str">
        <f t="shared" si="3"/>
        <v>Baja</v>
      </c>
    </row>
    <row r="1342" ht="14.25" customHeight="1">
      <c r="A1342" s="6" t="s">
        <v>2522</v>
      </c>
      <c r="B1342" s="27" t="s">
        <v>3790</v>
      </c>
      <c r="C1342" s="10">
        <v>4.0</v>
      </c>
      <c r="D1342" s="10">
        <v>4.0</v>
      </c>
      <c r="E1342" s="10">
        <v>3.0</v>
      </c>
      <c r="F1342" s="10">
        <v>1.0</v>
      </c>
      <c r="G1342" s="10">
        <v>2.0</v>
      </c>
      <c r="H1342" s="12">
        <f t="shared" si="1"/>
        <v>3.272</v>
      </c>
      <c r="I1342" s="13">
        <v>1.0</v>
      </c>
      <c r="J1342" s="14">
        <f t="shared" si="2"/>
        <v>3.272</v>
      </c>
      <c r="K1342" s="15" t="str">
        <f t="shared" si="3"/>
        <v>Baja</v>
      </c>
    </row>
    <row r="1343" ht="14.25" customHeight="1">
      <c r="A1343" s="6" t="s">
        <v>2522</v>
      </c>
      <c r="B1343" s="27" t="s">
        <v>3791</v>
      </c>
      <c r="C1343" s="10">
        <v>3.0</v>
      </c>
      <c r="D1343" s="10">
        <v>2.0</v>
      </c>
      <c r="E1343" s="10">
        <v>3.0</v>
      </c>
      <c r="F1343" s="10">
        <v>2.0</v>
      </c>
      <c r="G1343" s="10">
        <v>1.0</v>
      </c>
      <c r="H1343" s="12">
        <f t="shared" si="1"/>
        <v>2.524</v>
      </c>
      <c r="I1343" s="13">
        <v>3.0</v>
      </c>
      <c r="J1343" s="14">
        <f t="shared" si="2"/>
        <v>7.572</v>
      </c>
      <c r="K1343" s="15" t="str">
        <f t="shared" si="3"/>
        <v>Media</v>
      </c>
    </row>
    <row r="1344" ht="14.25" customHeight="1">
      <c r="A1344" s="6" t="s">
        <v>2530</v>
      </c>
      <c r="B1344" s="9" t="s">
        <v>3789</v>
      </c>
      <c r="C1344" s="10">
        <v>4.0</v>
      </c>
      <c r="D1344" s="10">
        <v>4.0</v>
      </c>
      <c r="E1344" s="10">
        <v>3.0</v>
      </c>
      <c r="F1344" s="10">
        <v>2.0</v>
      </c>
      <c r="G1344" s="10">
        <v>2.0</v>
      </c>
      <c r="H1344" s="12">
        <f t="shared" si="1"/>
        <v>3.368</v>
      </c>
      <c r="I1344" s="13">
        <v>1.0</v>
      </c>
      <c r="J1344" s="14">
        <f t="shared" si="2"/>
        <v>3.368</v>
      </c>
      <c r="K1344" s="15" t="str">
        <f t="shared" si="3"/>
        <v>Baja</v>
      </c>
    </row>
    <row r="1345" ht="14.25" customHeight="1">
      <c r="A1345" s="6" t="s">
        <v>2530</v>
      </c>
      <c r="B1345" s="9" t="s">
        <v>3790</v>
      </c>
      <c r="C1345" s="10">
        <v>4.0</v>
      </c>
      <c r="D1345" s="10">
        <v>4.0</v>
      </c>
      <c r="E1345" s="10">
        <v>3.0</v>
      </c>
      <c r="F1345" s="10">
        <v>1.0</v>
      </c>
      <c r="G1345" s="10">
        <v>2.0</v>
      </c>
      <c r="H1345" s="12">
        <f t="shared" si="1"/>
        <v>3.272</v>
      </c>
      <c r="I1345" s="13">
        <v>1.0</v>
      </c>
      <c r="J1345" s="14">
        <f t="shared" si="2"/>
        <v>3.272</v>
      </c>
      <c r="K1345" s="15" t="str">
        <f t="shared" si="3"/>
        <v>Baja</v>
      </c>
    </row>
    <row r="1346" ht="14.25" customHeight="1">
      <c r="A1346" s="6" t="s">
        <v>2530</v>
      </c>
      <c r="B1346" s="9" t="s">
        <v>3791</v>
      </c>
      <c r="C1346" s="10">
        <v>3.0</v>
      </c>
      <c r="D1346" s="10">
        <v>2.0</v>
      </c>
      <c r="E1346" s="10">
        <v>3.0</v>
      </c>
      <c r="F1346" s="10">
        <v>2.0</v>
      </c>
      <c r="G1346" s="10">
        <v>1.0</v>
      </c>
      <c r="H1346" s="12">
        <f t="shared" si="1"/>
        <v>2.524</v>
      </c>
      <c r="I1346" s="13">
        <v>3.0</v>
      </c>
      <c r="J1346" s="14">
        <f t="shared" si="2"/>
        <v>7.572</v>
      </c>
      <c r="K1346" s="15" t="str">
        <f t="shared" si="3"/>
        <v>Media</v>
      </c>
    </row>
    <row r="1347" ht="14.25" customHeight="1">
      <c r="A1347" s="6" t="s">
        <v>2536</v>
      </c>
      <c r="B1347" s="27" t="s">
        <v>3792</v>
      </c>
      <c r="C1347" s="10">
        <v>1.0</v>
      </c>
      <c r="D1347" s="10">
        <v>1.0</v>
      </c>
      <c r="E1347" s="10">
        <v>2.0</v>
      </c>
      <c r="F1347" s="10">
        <v>2.0</v>
      </c>
      <c r="G1347" s="10">
        <v>1.0</v>
      </c>
      <c r="H1347" s="12">
        <f t="shared" si="1"/>
        <v>1.336</v>
      </c>
      <c r="I1347" s="13">
        <v>3.0</v>
      </c>
      <c r="J1347" s="14">
        <f t="shared" si="2"/>
        <v>4.008</v>
      </c>
      <c r="K1347" s="15" t="str">
        <f t="shared" si="3"/>
        <v>Media</v>
      </c>
    </row>
    <row r="1348" ht="14.25" customHeight="1">
      <c r="A1348" s="6" t="s">
        <v>2536</v>
      </c>
      <c r="B1348" s="27" t="s">
        <v>3793</v>
      </c>
      <c r="C1348" s="10">
        <v>1.0</v>
      </c>
      <c r="D1348" s="10">
        <v>1.0</v>
      </c>
      <c r="E1348" s="10">
        <v>2.0</v>
      </c>
      <c r="F1348" s="10">
        <v>1.0</v>
      </c>
      <c r="G1348" s="10">
        <v>1.0</v>
      </c>
      <c r="H1348" s="12">
        <f t="shared" si="1"/>
        <v>1.24</v>
      </c>
      <c r="I1348" s="13">
        <v>3.0</v>
      </c>
      <c r="J1348" s="14">
        <f t="shared" si="2"/>
        <v>3.72</v>
      </c>
      <c r="K1348" s="15" t="str">
        <f t="shared" si="3"/>
        <v>Baja</v>
      </c>
    </row>
    <row r="1349" ht="14.25" customHeight="1">
      <c r="A1349" s="6" t="s">
        <v>2536</v>
      </c>
      <c r="B1349" s="27" t="s">
        <v>3794</v>
      </c>
      <c r="C1349" s="10">
        <v>1.0</v>
      </c>
      <c r="D1349" s="10">
        <v>1.0</v>
      </c>
      <c r="E1349" s="10">
        <v>3.0</v>
      </c>
      <c r="F1349" s="10">
        <v>1.0</v>
      </c>
      <c r="G1349" s="10">
        <v>1.0</v>
      </c>
      <c r="H1349" s="12">
        <f t="shared" si="1"/>
        <v>1.48</v>
      </c>
      <c r="I1349" s="13">
        <v>3.0</v>
      </c>
      <c r="J1349" s="14">
        <f t="shared" si="2"/>
        <v>4.44</v>
      </c>
      <c r="K1349" s="15" t="str">
        <f t="shared" si="3"/>
        <v>Media</v>
      </c>
    </row>
    <row r="1350" ht="14.25" customHeight="1">
      <c r="A1350" s="6" t="s">
        <v>2549</v>
      </c>
      <c r="B1350" s="9" t="s">
        <v>3795</v>
      </c>
      <c r="C1350" s="10">
        <v>4.0</v>
      </c>
      <c r="D1350" s="10">
        <v>4.0</v>
      </c>
      <c r="E1350" s="10">
        <v>3.0</v>
      </c>
      <c r="F1350" s="10">
        <v>1.0</v>
      </c>
      <c r="G1350" s="10">
        <v>1.0</v>
      </c>
      <c r="H1350" s="12">
        <f t="shared" si="1"/>
        <v>3.172</v>
      </c>
      <c r="I1350" s="13">
        <v>3.0</v>
      </c>
      <c r="J1350" s="14">
        <f t="shared" si="2"/>
        <v>9.516</v>
      </c>
      <c r="K1350" s="15" t="str">
        <f t="shared" si="3"/>
        <v>Media</v>
      </c>
    </row>
    <row r="1351" ht="14.25" customHeight="1">
      <c r="A1351" s="6" t="s">
        <v>2549</v>
      </c>
      <c r="B1351" s="9" t="s">
        <v>3796</v>
      </c>
      <c r="C1351" s="10">
        <v>4.0</v>
      </c>
      <c r="D1351" s="10">
        <v>4.0</v>
      </c>
      <c r="E1351" s="10">
        <v>3.0</v>
      </c>
      <c r="F1351" s="10">
        <v>2.0</v>
      </c>
      <c r="G1351" s="10">
        <v>1.0</v>
      </c>
      <c r="H1351" s="12">
        <f t="shared" si="1"/>
        <v>3.268</v>
      </c>
      <c r="I1351" s="13">
        <v>3.0</v>
      </c>
      <c r="J1351" s="14">
        <f t="shared" si="2"/>
        <v>9.804</v>
      </c>
      <c r="K1351" s="15" t="str">
        <f t="shared" si="3"/>
        <v>Media</v>
      </c>
    </row>
    <row r="1352" ht="14.25" customHeight="1">
      <c r="A1352" s="6" t="s">
        <v>2549</v>
      </c>
      <c r="B1352" s="9" t="s">
        <v>3797</v>
      </c>
      <c r="C1352" s="10">
        <v>3.0</v>
      </c>
      <c r="D1352" s="10">
        <v>2.0</v>
      </c>
      <c r="E1352" s="10">
        <v>2.0</v>
      </c>
      <c r="F1352" s="10">
        <v>1.0</v>
      </c>
      <c r="G1352" s="10">
        <v>1.0</v>
      </c>
      <c r="H1352" s="12">
        <f t="shared" si="1"/>
        <v>2.188</v>
      </c>
      <c r="I1352" s="13">
        <v>3.0</v>
      </c>
      <c r="J1352" s="14">
        <f t="shared" si="2"/>
        <v>6.564</v>
      </c>
      <c r="K1352" s="15" t="str">
        <f t="shared" si="3"/>
        <v>Media</v>
      </c>
    </row>
    <row r="1353" ht="14.25" customHeight="1">
      <c r="A1353" s="6" t="s">
        <v>2549</v>
      </c>
      <c r="B1353" s="9" t="s">
        <v>3798</v>
      </c>
      <c r="C1353" s="10">
        <v>3.0</v>
      </c>
      <c r="D1353" s="10">
        <v>2.0</v>
      </c>
      <c r="E1353" s="10">
        <v>2.0</v>
      </c>
      <c r="F1353" s="10">
        <v>2.0</v>
      </c>
      <c r="G1353" s="10">
        <v>1.0</v>
      </c>
      <c r="H1353" s="12">
        <f t="shared" si="1"/>
        <v>2.284</v>
      </c>
      <c r="I1353" s="13">
        <v>2.0</v>
      </c>
      <c r="J1353" s="14">
        <f t="shared" si="2"/>
        <v>4.568</v>
      </c>
      <c r="K1353" s="15" t="str">
        <f t="shared" si="3"/>
        <v>Media</v>
      </c>
    </row>
    <row r="1354" ht="14.25" customHeight="1">
      <c r="A1354" s="6" t="s">
        <v>2549</v>
      </c>
      <c r="B1354" s="9" t="s">
        <v>3799</v>
      </c>
      <c r="C1354" s="10">
        <v>3.0</v>
      </c>
      <c r="D1354" s="10">
        <v>2.0</v>
      </c>
      <c r="E1354" s="10">
        <v>2.0</v>
      </c>
      <c r="F1354" s="10">
        <v>1.0</v>
      </c>
      <c r="G1354" s="10">
        <v>1.0</v>
      </c>
      <c r="H1354" s="12">
        <f t="shared" si="1"/>
        <v>2.188</v>
      </c>
      <c r="I1354" s="13">
        <v>3.0</v>
      </c>
      <c r="J1354" s="14">
        <f t="shared" si="2"/>
        <v>6.564</v>
      </c>
      <c r="K1354" s="15" t="str">
        <f t="shared" si="3"/>
        <v>Media</v>
      </c>
    </row>
    <row r="1355" ht="14.25" customHeight="1">
      <c r="A1355" s="6" t="s">
        <v>2562</v>
      </c>
      <c r="B1355" s="27" t="s">
        <v>3800</v>
      </c>
      <c r="C1355" s="10">
        <v>4.0</v>
      </c>
      <c r="D1355" s="10">
        <v>4.0</v>
      </c>
      <c r="E1355" s="10">
        <v>3.0</v>
      </c>
      <c r="F1355" s="10">
        <v>2.0</v>
      </c>
      <c r="G1355" s="10">
        <v>1.0</v>
      </c>
      <c r="H1355" s="12">
        <f t="shared" si="1"/>
        <v>3.268</v>
      </c>
      <c r="I1355" s="13">
        <v>2.0</v>
      </c>
      <c r="J1355" s="14">
        <f t="shared" si="2"/>
        <v>6.536</v>
      </c>
      <c r="K1355" s="15" t="str">
        <f t="shared" si="3"/>
        <v>Media</v>
      </c>
    </row>
    <row r="1356" ht="14.25" customHeight="1">
      <c r="A1356" s="6" t="s">
        <v>2562</v>
      </c>
      <c r="B1356" s="27" t="s">
        <v>3801</v>
      </c>
      <c r="C1356" s="10">
        <v>4.0</v>
      </c>
      <c r="D1356" s="10">
        <v>4.0</v>
      </c>
      <c r="E1356" s="10">
        <v>3.0</v>
      </c>
      <c r="F1356" s="10">
        <v>2.0</v>
      </c>
      <c r="G1356" s="10">
        <v>1.0</v>
      </c>
      <c r="H1356" s="12">
        <f t="shared" si="1"/>
        <v>3.268</v>
      </c>
      <c r="I1356" s="13">
        <v>2.0</v>
      </c>
      <c r="J1356" s="14">
        <f t="shared" si="2"/>
        <v>6.536</v>
      </c>
      <c r="K1356" s="15" t="str">
        <f t="shared" si="3"/>
        <v>Media</v>
      </c>
    </row>
    <row r="1357" ht="14.25" customHeight="1">
      <c r="A1357" s="6" t="s">
        <v>2562</v>
      </c>
      <c r="B1357" s="27" t="s">
        <v>1259</v>
      </c>
      <c r="C1357" s="10">
        <v>3.0</v>
      </c>
      <c r="D1357" s="10">
        <v>2.0</v>
      </c>
      <c r="E1357" s="10">
        <v>2.0</v>
      </c>
      <c r="F1357" s="10">
        <v>2.0</v>
      </c>
      <c r="G1357" s="10">
        <v>1.0</v>
      </c>
      <c r="H1357" s="12">
        <f t="shared" si="1"/>
        <v>2.284</v>
      </c>
      <c r="I1357" s="13">
        <v>2.0</v>
      </c>
      <c r="J1357" s="14">
        <f t="shared" si="2"/>
        <v>4.568</v>
      </c>
      <c r="K1357" s="15" t="str">
        <f t="shared" si="3"/>
        <v>Media</v>
      </c>
    </row>
    <row r="1358" ht="14.25" customHeight="1">
      <c r="A1358" s="6" t="s">
        <v>2562</v>
      </c>
      <c r="B1358" s="27" t="s">
        <v>3802</v>
      </c>
      <c r="C1358" s="10">
        <v>3.0</v>
      </c>
      <c r="D1358" s="10">
        <v>2.0</v>
      </c>
      <c r="E1358" s="10">
        <v>2.0</v>
      </c>
      <c r="F1358" s="10">
        <v>2.0</v>
      </c>
      <c r="G1358" s="10">
        <v>1.0</v>
      </c>
      <c r="H1358" s="12">
        <f t="shared" si="1"/>
        <v>2.284</v>
      </c>
      <c r="I1358" s="13">
        <v>1.0</v>
      </c>
      <c r="J1358" s="14">
        <f t="shared" si="2"/>
        <v>2.284</v>
      </c>
      <c r="K1358" s="15" t="str">
        <f t="shared" si="3"/>
        <v>Baja</v>
      </c>
    </row>
    <row r="1359" ht="14.25" customHeight="1">
      <c r="A1359" s="6" t="s">
        <v>2573</v>
      </c>
      <c r="B1359" s="9" t="s">
        <v>3803</v>
      </c>
      <c r="C1359" s="10">
        <v>4.0</v>
      </c>
      <c r="D1359" s="10">
        <v>4.0</v>
      </c>
      <c r="E1359" s="10">
        <v>3.0</v>
      </c>
      <c r="F1359" s="10">
        <v>1.0</v>
      </c>
      <c r="G1359" s="10">
        <v>1.0</v>
      </c>
      <c r="H1359" s="12">
        <f t="shared" si="1"/>
        <v>3.172</v>
      </c>
      <c r="I1359" s="13">
        <v>2.0</v>
      </c>
      <c r="J1359" s="14">
        <f t="shared" si="2"/>
        <v>6.344</v>
      </c>
      <c r="K1359" s="15" t="str">
        <f t="shared" si="3"/>
        <v>Media</v>
      </c>
    </row>
    <row r="1360" ht="14.25" customHeight="1">
      <c r="A1360" s="6" t="s">
        <v>2573</v>
      </c>
      <c r="B1360" s="9" t="s">
        <v>3804</v>
      </c>
      <c r="C1360" s="10">
        <v>3.0</v>
      </c>
      <c r="D1360" s="10">
        <v>2.0</v>
      </c>
      <c r="E1360" s="10">
        <v>3.0</v>
      </c>
      <c r="F1360" s="10">
        <v>1.0</v>
      </c>
      <c r="G1360" s="10">
        <v>1.0</v>
      </c>
      <c r="H1360" s="12">
        <f t="shared" si="1"/>
        <v>2.428</v>
      </c>
      <c r="I1360" s="13">
        <v>2.0</v>
      </c>
      <c r="J1360" s="14">
        <f t="shared" si="2"/>
        <v>4.856</v>
      </c>
      <c r="K1360" s="15" t="str">
        <f t="shared" si="3"/>
        <v>Media</v>
      </c>
    </row>
    <row r="1361" ht="14.25" customHeight="1">
      <c r="A1361" s="6" t="s">
        <v>2573</v>
      </c>
      <c r="B1361" s="9" t="s">
        <v>3805</v>
      </c>
      <c r="C1361" s="10">
        <v>3.0</v>
      </c>
      <c r="D1361" s="10">
        <v>2.0</v>
      </c>
      <c r="E1361" s="10">
        <v>3.0</v>
      </c>
      <c r="F1361" s="10">
        <v>1.0</v>
      </c>
      <c r="G1361" s="10">
        <v>1.0</v>
      </c>
      <c r="H1361" s="12">
        <f t="shared" si="1"/>
        <v>2.428</v>
      </c>
      <c r="I1361" s="13">
        <v>2.0</v>
      </c>
      <c r="J1361" s="14">
        <f t="shared" si="2"/>
        <v>4.856</v>
      </c>
      <c r="K1361" s="15" t="str">
        <f t="shared" si="3"/>
        <v>Media</v>
      </c>
    </row>
    <row r="1362" ht="14.25" customHeight="1">
      <c r="A1362" s="6" t="s">
        <v>2590</v>
      </c>
      <c r="B1362" s="27" t="s">
        <v>3806</v>
      </c>
      <c r="C1362" s="10">
        <v>1.0</v>
      </c>
      <c r="D1362" s="10">
        <v>1.0</v>
      </c>
      <c r="E1362" s="10">
        <v>3.0</v>
      </c>
      <c r="F1362" s="10">
        <v>2.0</v>
      </c>
      <c r="G1362" s="10">
        <v>1.0</v>
      </c>
      <c r="H1362" s="12">
        <f t="shared" si="1"/>
        <v>1.576</v>
      </c>
      <c r="I1362" s="13">
        <v>2.0</v>
      </c>
      <c r="J1362" s="14">
        <f t="shared" si="2"/>
        <v>3.152</v>
      </c>
      <c r="K1362" s="15" t="str">
        <f t="shared" si="3"/>
        <v>Baja</v>
      </c>
    </row>
    <row r="1363" ht="14.25" customHeight="1">
      <c r="A1363" s="6" t="s">
        <v>2590</v>
      </c>
      <c r="B1363" s="27" t="s">
        <v>3807</v>
      </c>
      <c r="C1363" s="10">
        <v>1.0</v>
      </c>
      <c r="D1363" s="10">
        <v>1.0</v>
      </c>
      <c r="E1363" s="10">
        <v>3.0</v>
      </c>
      <c r="F1363" s="10">
        <v>1.0</v>
      </c>
      <c r="G1363" s="10">
        <v>1.0</v>
      </c>
      <c r="H1363" s="12">
        <f t="shared" si="1"/>
        <v>1.48</v>
      </c>
      <c r="I1363" s="13">
        <v>2.0</v>
      </c>
      <c r="J1363" s="14">
        <f t="shared" si="2"/>
        <v>2.96</v>
      </c>
      <c r="K1363" s="15" t="str">
        <f t="shared" si="3"/>
        <v>Baja</v>
      </c>
    </row>
    <row r="1364" ht="14.25" customHeight="1">
      <c r="A1364" s="6" t="s">
        <v>2590</v>
      </c>
      <c r="B1364" s="27" t="s">
        <v>3808</v>
      </c>
      <c r="C1364" s="10">
        <v>1.0</v>
      </c>
      <c r="D1364" s="10">
        <v>1.0</v>
      </c>
      <c r="E1364" s="10">
        <v>2.0</v>
      </c>
      <c r="F1364" s="10">
        <v>1.0</v>
      </c>
      <c r="G1364" s="10">
        <v>1.0</v>
      </c>
      <c r="H1364" s="12">
        <f t="shared" si="1"/>
        <v>1.24</v>
      </c>
      <c r="I1364" s="13">
        <v>3.0</v>
      </c>
      <c r="J1364" s="14">
        <f t="shared" si="2"/>
        <v>3.72</v>
      </c>
      <c r="K1364" s="15" t="str">
        <f t="shared" si="3"/>
        <v>Baja</v>
      </c>
    </row>
    <row r="1365" ht="14.25" customHeight="1">
      <c r="A1365" s="6" t="s">
        <v>2590</v>
      </c>
      <c r="B1365" s="27" t="s">
        <v>3809</v>
      </c>
      <c r="C1365" s="10">
        <v>1.0</v>
      </c>
      <c r="D1365" s="10">
        <v>1.0</v>
      </c>
      <c r="E1365" s="10">
        <v>2.0</v>
      </c>
      <c r="F1365" s="10">
        <v>1.0</v>
      </c>
      <c r="G1365" s="10">
        <v>1.0</v>
      </c>
      <c r="H1365" s="12">
        <f t="shared" si="1"/>
        <v>1.24</v>
      </c>
      <c r="I1365" s="13">
        <v>3.0</v>
      </c>
      <c r="J1365" s="14">
        <f t="shared" si="2"/>
        <v>3.72</v>
      </c>
      <c r="K1365" s="15" t="str">
        <f t="shared" si="3"/>
        <v>Baja</v>
      </c>
    </row>
    <row r="1366" ht="14.25" customHeight="1">
      <c r="A1366" s="6" t="s">
        <v>2604</v>
      </c>
      <c r="B1366" s="9" t="s">
        <v>976</v>
      </c>
      <c r="C1366" s="10">
        <v>3.0</v>
      </c>
      <c r="D1366" s="10">
        <v>1.0</v>
      </c>
      <c r="E1366" s="10">
        <v>2.0</v>
      </c>
      <c r="F1366" s="10">
        <v>1.0</v>
      </c>
      <c r="G1366" s="10">
        <v>1.0</v>
      </c>
      <c r="H1366" s="12">
        <f t="shared" si="1"/>
        <v>2.008</v>
      </c>
      <c r="I1366" s="13">
        <v>2.0</v>
      </c>
      <c r="J1366" s="14">
        <f t="shared" si="2"/>
        <v>4.016</v>
      </c>
      <c r="K1366" s="15" t="str">
        <f t="shared" si="3"/>
        <v>Media</v>
      </c>
    </row>
    <row r="1367" ht="14.25" customHeight="1">
      <c r="A1367" s="6" t="s">
        <v>2604</v>
      </c>
      <c r="B1367" s="9" t="s">
        <v>3810</v>
      </c>
      <c r="C1367" s="10">
        <v>2.0</v>
      </c>
      <c r="D1367" s="10">
        <v>1.0</v>
      </c>
      <c r="E1367" s="10">
        <v>2.0</v>
      </c>
      <c r="F1367" s="10">
        <v>1.0</v>
      </c>
      <c r="G1367" s="10">
        <v>1.0</v>
      </c>
      <c r="H1367" s="12">
        <f t="shared" si="1"/>
        <v>1.624</v>
      </c>
      <c r="I1367" s="13">
        <v>2.0</v>
      </c>
      <c r="J1367" s="14">
        <f t="shared" si="2"/>
        <v>3.248</v>
      </c>
      <c r="K1367" s="15" t="str">
        <f t="shared" si="3"/>
        <v>Baja</v>
      </c>
    </row>
    <row r="1368" ht="14.25" customHeight="1">
      <c r="A1368" s="6" t="s">
        <v>2614</v>
      </c>
      <c r="B1368" s="27" t="s">
        <v>3811</v>
      </c>
      <c r="C1368" s="10">
        <v>2.0</v>
      </c>
      <c r="D1368" s="10">
        <v>2.0</v>
      </c>
      <c r="E1368" s="10">
        <v>2.0</v>
      </c>
      <c r="F1368" s="10">
        <v>1.0</v>
      </c>
      <c r="G1368" s="10">
        <v>1.0</v>
      </c>
      <c r="H1368" s="12">
        <f t="shared" si="1"/>
        <v>1.804</v>
      </c>
      <c r="I1368" s="13">
        <v>2.0</v>
      </c>
      <c r="J1368" s="14">
        <f t="shared" si="2"/>
        <v>3.608</v>
      </c>
      <c r="K1368" s="15" t="str">
        <f t="shared" si="3"/>
        <v>Baja</v>
      </c>
    </row>
    <row r="1369" ht="14.25" customHeight="1">
      <c r="A1369" s="6" t="s">
        <v>2614</v>
      </c>
      <c r="B1369" s="27" t="s">
        <v>3812</v>
      </c>
      <c r="C1369" s="10">
        <v>1.0</v>
      </c>
      <c r="D1369" s="10">
        <v>1.0</v>
      </c>
      <c r="E1369" s="10">
        <v>2.0</v>
      </c>
      <c r="F1369" s="10">
        <v>1.0</v>
      </c>
      <c r="G1369" s="10">
        <v>1.0</v>
      </c>
      <c r="H1369" s="12">
        <f t="shared" si="1"/>
        <v>1.24</v>
      </c>
      <c r="I1369" s="13">
        <v>2.0</v>
      </c>
      <c r="J1369" s="14">
        <f t="shared" si="2"/>
        <v>2.48</v>
      </c>
      <c r="K1369" s="15" t="str">
        <f t="shared" si="3"/>
        <v>Baja</v>
      </c>
    </row>
    <row r="1370" ht="14.25" customHeight="1">
      <c r="A1370" s="6" t="s">
        <v>2614</v>
      </c>
      <c r="B1370" s="27" t="s">
        <v>3813</v>
      </c>
      <c r="C1370" s="10">
        <v>1.0</v>
      </c>
      <c r="D1370" s="10">
        <v>1.0</v>
      </c>
      <c r="E1370" s="10">
        <v>2.0</v>
      </c>
      <c r="F1370" s="10">
        <v>1.0</v>
      </c>
      <c r="G1370" s="10">
        <v>1.0</v>
      </c>
      <c r="H1370" s="12">
        <f t="shared" si="1"/>
        <v>1.24</v>
      </c>
      <c r="I1370" s="13">
        <v>3.0</v>
      </c>
      <c r="J1370" s="14">
        <f t="shared" si="2"/>
        <v>3.72</v>
      </c>
      <c r="K1370" s="15" t="str">
        <f t="shared" si="3"/>
        <v>Baja</v>
      </c>
    </row>
    <row r="1371" ht="14.25" customHeight="1">
      <c r="A1371" s="6" t="s">
        <v>2614</v>
      </c>
      <c r="B1371" s="27" t="s">
        <v>3814</v>
      </c>
      <c r="C1371" s="10">
        <v>1.0</v>
      </c>
      <c r="D1371" s="10">
        <v>1.0</v>
      </c>
      <c r="E1371" s="10">
        <v>2.0</v>
      </c>
      <c r="F1371" s="10">
        <v>1.0</v>
      </c>
      <c r="G1371" s="10">
        <v>1.0</v>
      </c>
      <c r="H1371" s="12">
        <f t="shared" si="1"/>
        <v>1.24</v>
      </c>
      <c r="I1371" s="13">
        <v>2.0</v>
      </c>
      <c r="J1371" s="14">
        <f t="shared" si="2"/>
        <v>2.48</v>
      </c>
      <c r="K1371" s="15" t="str">
        <f t="shared" si="3"/>
        <v>Baja</v>
      </c>
    </row>
    <row r="1372" ht="14.25" customHeight="1">
      <c r="A1372" s="6" t="s">
        <v>2628</v>
      </c>
      <c r="B1372" s="9" t="s">
        <v>3815</v>
      </c>
      <c r="C1372" s="10">
        <v>2.0</v>
      </c>
      <c r="D1372" s="10">
        <v>4.0</v>
      </c>
      <c r="E1372" s="10">
        <v>3.0</v>
      </c>
      <c r="F1372" s="10">
        <v>2.0</v>
      </c>
      <c r="G1372" s="10">
        <v>2.0</v>
      </c>
      <c r="H1372" s="12">
        <f t="shared" si="1"/>
        <v>2.6</v>
      </c>
      <c r="I1372" s="13">
        <v>2.0</v>
      </c>
      <c r="J1372" s="14">
        <f t="shared" si="2"/>
        <v>5.2</v>
      </c>
      <c r="K1372" s="15" t="str">
        <f t="shared" si="3"/>
        <v>Media</v>
      </c>
    </row>
    <row r="1373" ht="14.25" customHeight="1">
      <c r="A1373" s="6" t="s">
        <v>2628</v>
      </c>
      <c r="B1373" s="9" t="s">
        <v>3816</v>
      </c>
      <c r="C1373" s="10">
        <v>2.0</v>
      </c>
      <c r="D1373" s="10">
        <v>4.0</v>
      </c>
      <c r="E1373" s="10">
        <v>3.0</v>
      </c>
      <c r="F1373" s="10">
        <v>1.0</v>
      </c>
      <c r="G1373" s="10">
        <v>2.0</v>
      </c>
      <c r="H1373" s="12">
        <f t="shared" si="1"/>
        <v>2.504</v>
      </c>
      <c r="I1373" s="13">
        <v>2.0</v>
      </c>
      <c r="J1373" s="14">
        <f t="shared" si="2"/>
        <v>5.008</v>
      </c>
      <c r="K1373" s="15" t="str">
        <f t="shared" si="3"/>
        <v>Media</v>
      </c>
    </row>
    <row r="1374" ht="14.25" customHeight="1">
      <c r="A1374" s="6" t="s">
        <v>2628</v>
      </c>
      <c r="B1374" s="9" t="s">
        <v>3817</v>
      </c>
      <c r="C1374" s="10">
        <v>1.0</v>
      </c>
      <c r="D1374" s="10">
        <v>2.0</v>
      </c>
      <c r="E1374" s="10">
        <v>2.0</v>
      </c>
      <c r="F1374" s="10">
        <v>1.0</v>
      </c>
      <c r="G1374" s="10">
        <v>1.0</v>
      </c>
      <c r="H1374" s="12">
        <f t="shared" si="1"/>
        <v>1.42</v>
      </c>
      <c r="I1374" s="13">
        <v>2.0</v>
      </c>
      <c r="J1374" s="14">
        <f t="shared" si="2"/>
        <v>2.84</v>
      </c>
      <c r="K1374" s="15" t="str">
        <f t="shared" si="3"/>
        <v>Baja</v>
      </c>
    </row>
    <row r="1375" ht="14.25" customHeight="1">
      <c r="A1375" s="6" t="s">
        <v>2628</v>
      </c>
      <c r="B1375" s="9" t="s">
        <v>3818</v>
      </c>
      <c r="C1375" s="10">
        <v>1.0</v>
      </c>
      <c r="D1375" s="10">
        <v>2.0</v>
      </c>
      <c r="E1375" s="10">
        <v>2.0</v>
      </c>
      <c r="F1375" s="10">
        <v>1.0</v>
      </c>
      <c r="G1375" s="10">
        <v>1.0</v>
      </c>
      <c r="H1375" s="12">
        <f t="shared" si="1"/>
        <v>1.42</v>
      </c>
      <c r="I1375" s="13">
        <v>2.0</v>
      </c>
      <c r="J1375" s="14">
        <f t="shared" si="2"/>
        <v>2.84</v>
      </c>
      <c r="K1375" s="15" t="str">
        <f t="shared" si="3"/>
        <v>Baja</v>
      </c>
    </row>
    <row r="1376" ht="14.25" customHeight="1">
      <c r="A1376" s="6" t="s">
        <v>2628</v>
      </c>
      <c r="B1376" s="9" t="s">
        <v>3819</v>
      </c>
      <c r="C1376" s="10">
        <v>1.0</v>
      </c>
      <c r="D1376" s="10">
        <v>2.0</v>
      </c>
      <c r="E1376" s="10">
        <v>2.0</v>
      </c>
      <c r="F1376" s="10">
        <v>1.0</v>
      </c>
      <c r="G1376" s="10">
        <v>1.0</v>
      </c>
      <c r="H1376" s="12">
        <f t="shared" si="1"/>
        <v>1.42</v>
      </c>
      <c r="I1376" s="13">
        <v>2.0</v>
      </c>
      <c r="J1376" s="14">
        <f t="shared" si="2"/>
        <v>2.84</v>
      </c>
      <c r="K1376" s="15" t="str">
        <f t="shared" si="3"/>
        <v>Baja</v>
      </c>
    </row>
    <row r="1377" ht="14.25" customHeight="1">
      <c r="A1377" s="6" t="s">
        <v>2628</v>
      </c>
      <c r="B1377" s="9" t="s">
        <v>3820</v>
      </c>
      <c r="C1377" s="10">
        <v>1.0</v>
      </c>
      <c r="D1377" s="10">
        <v>2.0</v>
      </c>
      <c r="E1377" s="10">
        <v>2.0</v>
      </c>
      <c r="F1377" s="10">
        <v>1.0</v>
      </c>
      <c r="G1377" s="10">
        <v>1.0</v>
      </c>
      <c r="H1377" s="12">
        <f t="shared" si="1"/>
        <v>1.42</v>
      </c>
      <c r="I1377" s="13">
        <v>3.0</v>
      </c>
      <c r="J1377" s="14">
        <f t="shared" si="2"/>
        <v>4.26</v>
      </c>
      <c r="K1377" s="15" t="str">
        <f t="shared" si="3"/>
        <v>Media</v>
      </c>
    </row>
    <row r="1378" ht="14.25" customHeight="1">
      <c r="A1378" s="6" t="s">
        <v>2640</v>
      </c>
      <c r="B1378" s="27" t="s">
        <v>3815</v>
      </c>
      <c r="C1378" s="10">
        <v>2.0</v>
      </c>
      <c r="D1378" s="10">
        <v>4.0</v>
      </c>
      <c r="E1378" s="10">
        <v>3.0</v>
      </c>
      <c r="F1378" s="10">
        <v>2.0</v>
      </c>
      <c r="G1378" s="10">
        <v>2.0</v>
      </c>
      <c r="H1378" s="12">
        <f t="shared" si="1"/>
        <v>2.6</v>
      </c>
      <c r="I1378" s="13">
        <v>2.0</v>
      </c>
      <c r="J1378" s="14">
        <f t="shared" si="2"/>
        <v>5.2</v>
      </c>
      <c r="K1378" s="15" t="str">
        <f t="shared" si="3"/>
        <v>Media</v>
      </c>
    </row>
    <row r="1379" ht="14.25" customHeight="1">
      <c r="A1379" s="6" t="s">
        <v>2640</v>
      </c>
      <c r="B1379" s="27" t="s">
        <v>3821</v>
      </c>
      <c r="C1379" s="10">
        <v>2.0</v>
      </c>
      <c r="D1379" s="10">
        <v>4.0</v>
      </c>
      <c r="E1379" s="10">
        <v>3.0</v>
      </c>
      <c r="F1379" s="10">
        <v>1.0</v>
      </c>
      <c r="G1379" s="10">
        <v>2.0</v>
      </c>
      <c r="H1379" s="12">
        <f t="shared" si="1"/>
        <v>2.504</v>
      </c>
      <c r="I1379" s="13">
        <v>3.0</v>
      </c>
      <c r="J1379" s="14">
        <f t="shared" si="2"/>
        <v>7.512</v>
      </c>
      <c r="K1379" s="15" t="str">
        <f t="shared" si="3"/>
        <v>Media</v>
      </c>
    </row>
    <row r="1380" ht="14.25" customHeight="1">
      <c r="A1380" s="6" t="s">
        <v>2640</v>
      </c>
      <c r="B1380" s="27" t="s">
        <v>3822</v>
      </c>
      <c r="C1380" s="10">
        <v>2.0</v>
      </c>
      <c r="D1380" s="10">
        <v>4.0</v>
      </c>
      <c r="E1380" s="10">
        <v>3.0</v>
      </c>
      <c r="F1380" s="10">
        <v>1.0</v>
      </c>
      <c r="G1380" s="10">
        <v>2.0</v>
      </c>
      <c r="H1380" s="12">
        <f t="shared" si="1"/>
        <v>2.504</v>
      </c>
      <c r="I1380" s="13">
        <v>3.0</v>
      </c>
      <c r="J1380" s="14">
        <f t="shared" si="2"/>
        <v>7.512</v>
      </c>
      <c r="K1380" s="15" t="str">
        <f t="shared" si="3"/>
        <v>Media</v>
      </c>
    </row>
    <row r="1381" ht="14.25" customHeight="1">
      <c r="A1381" s="6" t="s">
        <v>2640</v>
      </c>
      <c r="B1381" s="27" t="s">
        <v>3817</v>
      </c>
      <c r="C1381" s="10">
        <v>1.0</v>
      </c>
      <c r="D1381" s="10">
        <v>2.0</v>
      </c>
      <c r="E1381" s="10">
        <v>2.0</v>
      </c>
      <c r="F1381" s="10">
        <v>1.0</v>
      </c>
      <c r="G1381" s="10">
        <v>1.0</v>
      </c>
      <c r="H1381" s="12">
        <f t="shared" si="1"/>
        <v>1.42</v>
      </c>
      <c r="I1381" s="13">
        <v>2.0</v>
      </c>
      <c r="J1381" s="14">
        <f t="shared" si="2"/>
        <v>2.84</v>
      </c>
      <c r="K1381" s="15" t="str">
        <f t="shared" si="3"/>
        <v>Baja</v>
      </c>
    </row>
    <row r="1382" ht="14.25" customHeight="1">
      <c r="A1382" s="6" t="s">
        <v>2640</v>
      </c>
      <c r="B1382" s="27" t="s">
        <v>3818</v>
      </c>
      <c r="C1382" s="10">
        <v>1.0</v>
      </c>
      <c r="D1382" s="10">
        <v>2.0</v>
      </c>
      <c r="E1382" s="10">
        <v>2.0</v>
      </c>
      <c r="F1382" s="10">
        <v>1.0</v>
      </c>
      <c r="G1382" s="10">
        <v>1.0</v>
      </c>
      <c r="H1382" s="12">
        <f t="shared" si="1"/>
        <v>1.42</v>
      </c>
      <c r="I1382" s="13">
        <v>2.0</v>
      </c>
      <c r="J1382" s="14">
        <f t="shared" si="2"/>
        <v>2.84</v>
      </c>
      <c r="K1382" s="15" t="str">
        <f t="shared" si="3"/>
        <v>Baja</v>
      </c>
    </row>
    <row r="1383" ht="14.25" customHeight="1">
      <c r="A1383" s="6" t="s">
        <v>2647</v>
      </c>
      <c r="B1383" s="9" t="s">
        <v>3823</v>
      </c>
      <c r="C1383" s="10">
        <v>4.0</v>
      </c>
      <c r="D1383" s="10">
        <v>2.0</v>
      </c>
      <c r="E1383" s="10">
        <v>3.0</v>
      </c>
      <c r="F1383" s="10">
        <v>1.0</v>
      </c>
      <c r="G1383" s="10">
        <v>2.0</v>
      </c>
      <c r="H1383" s="12">
        <f t="shared" si="1"/>
        <v>2.912</v>
      </c>
      <c r="I1383" s="13">
        <v>1.0</v>
      </c>
      <c r="J1383" s="14">
        <f t="shared" si="2"/>
        <v>2.912</v>
      </c>
      <c r="K1383" s="15" t="str">
        <f t="shared" si="3"/>
        <v>Baja</v>
      </c>
    </row>
    <row r="1384" ht="14.25" customHeight="1">
      <c r="A1384" s="6" t="s">
        <v>2647</v>
      </c>
      <c r="B1384" s="9" t="s">
        <v>3824</v>
      </c>
      <c r="C1384" s="10">
        <v>3.0</v>
      </c>
      <c r="D1384" s="10">
        <v>1.0</v>
      </c>
      <c r="E1384" s="10">
        <v>2.0</v>
      </c>
      <c r="F1384" s="10">
        <v>1.0</v>
      </c>
      <c r="G1384" s="10">
        <v>1.0</v>
      </c>
      <c r="H1384" s="12">
        <f t="shared" si="1"/>
        <v>2.008</v>
      </c>
      <c r="I1384" s="13">
        <v>2.0</v>
      </c>
      <c r="J1384" s="14">
        <f t="shared" si="2"/>
        <v>4.016</v>
      </c>
      <c r="K1384" s="15" t="str">
        <f t="shared" si="3"/>
        <v>Media</v>
      </c>
    </row>
    <row r="1385" ht="14.25" customHeight="1">
      <c r="A1385" s="6" t="s">
        <v>2647</v>
      </c>
      <c r="B1385" s="9" t="s">
        <v>3825</v>
      </c>
      <c r="C1385" s="10">
        <v>3.0</v>
      </c>
      <c r="D1385" s="10">
        <v>1.0</v>
      </c>
      <c r="E1385" s="10">
        <v>2.0</v>
      </c>
      <c r="F1385" s="10">
        <v>2.0</v>
      </c>
      <c r="G1385" s="10">
        <v>1.0</v>
      </c>
      <c r="H1385" s="12">
        <f t="shared" si="1"/>
        <v>2.104</v>
      </c>
      <c r="I1385" s="13">
        <v>2.0</v>
      </c>
      <c r="J1385" s="14">
        <f t="shared" si="2"/>
        <v>4.208</v>
      </c>
      <c r="K1385" s="15" t="str">
        <f t="shared" si="3"/>
        <v>Media</v>
      </c>
    </row>
    <row r="1386" ht="14.25" customHeight="1">
      <c r="A1386" s="6" t="s">
        <v>2654</v>
      </c>
      <c r="B1386" s="27" t="s">
        <v>3826</v>
      </c>
      <c r="C1386" s="10">
        <v>4.0</v>
      </c>
      <c r="D1386" s="10">
        <v>2.0</v>
      </c>
      <c r="E1386" s="10">
        <v>2.0</v>
      </c>
      <c r="F1386" s="10">
        <v>1.0</v>
      </c>
      <c r="G1386" s="10">
        <v>2.0</v>
      </c>
      <c r="H1386" s="12">
        <f t="shared" si="1"/>
        <v>2.672</v>
      </c>
      <c r="I1386" s="13">
        <v>1.0</v>
      </c>
      <c r="J1386" s="14">
        <f t="shared" si="2"/>
        <v>2.672</v>
      </c>
      <c r="K1386" s="15" t="str">
        <f t="shared" si="3"/>
        <v>Baja</v>
      </c>
    </row>
    <row r="1387" ht="14.25" customHeight="1">
      <c r="A1387" s="6" t="s">
        <v>2654</v>
      </c>
      <c r="B1387" s="27" t="s">
        <v>3827</v>
      </c>
      <c r="C1387" s="10">
        <v>3.0</v>
      </c>
      <c r="D1387" s="10">
        <v>1.0</v>
      </c>
      <c r="E1387" s="10">
        <v>2.0</v>
      </c>
      <c r="F1387" s="10">
        <v>1.0</v>
      </c>
      <c r="G1387" s="10">
        <v>1.0</v>
      </c>
      <c r="H1387" s="12">
        <f t="shared" si="1"/>
        <v>2.008</v>
      </c>
      <c r="I1387" s="13">
        <v>2.0</v>
      </c>
      <c r="J1387" s="14">
        <f t="shared" si="2"/>
        <v>4.016</v>
      </c>
      <c r="K1387" s="15" t="str">
        <f t="shared" si="3"/>
        <v>Media</v>
      </c>
    </row>
    <row r="1388" ht="14.25" customHeight="1">
      <c r="A1388" s="6" t="s">
        <v>2663</v>
      </c>
      <c r="B1388" s="9" t="s">
        <v>3828</v>
      </c>
      <c r="C1388" s="10">
        <v>4.0</v>
      </c>
      <c r="D1388" s="10">
        <v>2.0</v>
      </c>
      <c r="E1388" s="10">
        <v>2.0</v>
      </c>
      <c r="F1388" s="10">
        <v>1.0</v>
      </c>
      <c r="G1388" s="10">
        <v>2.0</v>
      </c>
      <c r="H1388" s="12">
        <f t="shared" si="1"/>
        <v>2.672</v>
      </c>
      <c r="I1388" s="13">
        <v>1.0</v>
      </c>
      <c r="J1388" s="14">
        <f t="shared" si="2"/>
        <v>2.672</v>
      </c>
      <c r="K1388" s="15" t="str">
        <f t="shared" si="3"/>
        <v>Baja</v>
      </c>
    </row>
    <row r="1389" ht="14.25" customHeight="1">
      <c r="A1389" s="6" t="s">
        <v>2663</v>
      </c>
      <c r="B1389" s="9" t="s">
        <v>3829</v>
      </c>
      <c r="C1389" s="10">
        <v>3.0</v>
      </c>
      <c r="D1389" s="10">
        <v>1.0</v>
      </c>
      <c r="E1389" s="10">
        <v>2.0</v>
      </c>
      <c r="F1389" s="10">
        <v>1.0</v>
      </c>
      <c r="G1389" s="10">
        <v>1.0</v>
      </c>
      <c r="H1389" s="12">
        <f t="shared" si="1"/>
        <v>2.008</v>
      </c>
      <c r="I1389" s="13">
        <v>3.0</v>
      </c>
      <c r="J1389" s="14">
        <f t="shared" si="2"/>
        <v>6.024</v>
      </c>
      <c r="K1389" s="15" t="str">
        <f t="shared" si="3"/>
        <v>Media</v>
      </c>
    </row>
    <row r="1390" ht="14.25" customHeight="1">
      <c r="A1390" s="6" t="s">
        <v>2672</v>
      </c>
      <c r="B1390" s="27" t="s">
        <v>3830</v>
      </c>
      <c r="C1390" s="10">
        <v>2.0</v>
      </c>
      <c r="D1390" s="10">
        <v>4.0</v>
      </c>
      <c r="E1390" s="10">
        <v>3.0</v>
      </c>
      <c r="F1390" s="10">
        <v>1.0</v>
      </c>
      <c r="G1390" s="10">
        <v>2.0</v>
      </c>
      <c r="H1390" s="12">
        <f t="shared" si="1"/>
        <v>2.504</v>
      </c>
      <c r="I1390" s="13">
        <v>2.0</v>
      </c>
      <c r="J1390" s="14">
        <f t="shared" si="2"/>
        <v>5.008</v>
      </c>
      <c r="K1390" s="15" t="str">
        <f t="shared" si="3"/>
        <v>Media</v>
      </c>
    </row>
    <row r="1391" ht="14.25" customHeight="1">
      <c r="A1391" s="6" t="s">
        <v>2672</v>
      </c>
      <c r="B1391" s="27" t="s">
        <v>3831</v>
      </c>
      <c r="C1391" s="10">
        <v>1.0</v>
      </c>
      <c r="D1391" s="10">
        <v>2.0</v>
      </c>
      <c r="E1391" s="10">
        <v>2.0</v>
      </c>
      <c r="F1391" s="10">
        <v>1.0</v>
      </c>
      <c r="G1391" s="10">
        <v>1.0</v>
      </c>
      <c r="H1391" s="12">
        <f t="shared" si="1"/>
        <v>1.42</v>
      </c>
      <c r="I1391" s="13">
        <v>3.0</v>
      </c>
      <c r="J1391" s="14">
        <f t="shared" si="2"/>
        <v>4.26</v>
      </c>
      <c r="K1391" s="15" t="str">
        <f t="shared" si="3"/>
        <v>Media</v>
      </c>
    </row>
    <row r="1392" ht="14.25" customHeight="1">
      <c r="A1392" s="6" t="s">
        <v>2672</v>
      </c>
      <c r="B1392" s="27" t="s">
        <v>3722</v>
      </c>
      <c r="C1392" s="10">
        <v>1.0</v>
      </c>
      <c r="D1392" s="10">
        <v>2.0</v>
      </c>
      <c r="E1392" s="10">
        <v>2.0</v>
      </c>
      <c r="F1392" s="10">
        <v>1.0</v>
      </c>
      <c r="G1392" s="10">
        <v>1.0</v>
      </c>
      <c r="H1392" s="12">
        <f t="shared" si="1"/>
        <v>1.42</v>
      </c>
      <c r="I1392" s="13">
        <v>3.0</v>
      </c>
      <c r="J1392" s="14">
        <f t="shared" si="2"/>
        <v>4.26</v>
      </c>
      <c r="K1392" s="15" t="str">
        <f t="shared" si="3"/>
        <v>Media</v>
      </c>
    </row>
    <row r="1393" ht="14.25" customHeight="1">
      <c r="A1393" s="6" t="s">
        <v>2684</v>
      </c>
      <c r="B1393" s="9" t="s">
        <v>3832</v>
      </c>
      <c r="C1393" s="10">
        <v>2.0</v>
      </c>
      <c r="D1393" s="10">
        <v>2.0</v>
      </c>
      <c r="E1393" s="10">
        <v>3.0</v>
      </c>
      <c r="F1393" s="10">
        <v>1.0</v>
      </c>
      <c r="G1393" s="10">
        <v>1.0</v>
      </c>
      <c r="H1393" s="12">
        <f t="shared" si="1"/>
        <v>2.044</v>
      </c>
      <c r="I1393" s="13">
        <v>1.0</v>
      </c>
      <c r="J1393" s="14">
        <f t="shared" si="2"/>
        <v>2.044</v>
      </c>
      <c r="K1393" s="15" t="str">
        <f t="shared" si="3"/>
        <v>Baja</v>
      </c>
    </row>
    <row r="1394" ht="14.25" customHeight="1">
      <c r="A1394" s="6" t="s">
        <v>2684</v>
      </c>
      <c r="B1394" s="9" t="s">
        <v>3833</v>
      </c>
      <c r="C1394" s="10">
        <v>2.0</v>
      </c>
      <c r="D1394" s="10">
        <v>2.0</v>
      </c>
      <c r="E1394" s="10">
        <v>2.0</v>
      </c>
      <c r="F1394" s="10">
        <v>1.0</v>
      </c>
      <c r="G1394" s="10">
        <v>1.0</v>
      </c>
      <c r="H1394" s="12">
        <f t="shared" si="1"/>
        <v>1.804</v>
      </c>
      <c r="I1394" s="13">
        <v>1.0</v>
      </c>
      <c r="J1394" s="14">
        <f t="shared" si="2"/>
        <v>1.804</v>
      </c>
      <c r="K1394" s="15" t="str">
        <f t="shared" si="3"/>
        <v>Baja</v>
      </c>
    </row>
    <row r="1395" ht="14.25" customHeight="1">
      <c r="A1395" s="6" t="s">
        <v>2684</v>
      </c>
      <c r="B1395" s="9" t="s">
        <v>3834</v>
      </c>
      <c r="C1395" s="10">
        <v>2.0</v>
      </c>
      <c r="D1395" s="10">
        <v>2.0</v>
      </c>
      <c r="E1395" s="10">
        <v>2.0</v>
      </c>
      <c r="F1395" s="10">
        <v>1.0</v>
      </c>
      <c r="G1395" s="10">
        <v>1.0</v>
      </c>
      <c r="H1395" s="12">
        <f t="shared" si="1"/>
        <v>1.804</v>
      </c>
      <c r="I1395" s="13">
        <v>3.0</v>
      </c>
      <c r="J1395" s="14">
        <f t="shared" si="2"/>
        <v>5.412</v>
      </c>
      <c r="K1395" s="15" t="str">
        <f t="shared" si="3"/>
        <v>Media</v>
      </c>
    </row>
    <row r="1396" ht="14.25" customHeight="1">
      <c r="A1396" s="6" t="s">
        <v>2684</v>
      </c>
      <c r="B1396" s="9" t="s">
        <v>3835</v>
      </c>
      <c r="C1396" s="10">
        <v>1.0</v>
      </c>
      <c r="D1396" s="10">
        <v>1.0</v>
      </c>
      <c r="E1396" s="10">
        <v>2.0</v>
      </c>
      <c r="F1396" s="10">
        <v>1.0</v>
      </c>
      <c r="G1396" s="10">
        <v>1.0</v>
      </c>
      <c r="H1396" s="12">
        <f t="shared" si="1"/>
        <v>1.24</v>
      </c>
      <c r="I1396" s="13">
        <v>3.0</v>
      </c>
      <c r="J1396" s="14">
        <f t="shared" si="2"/>
        <v>3.72</v>
      </c>
      <c r="K1396" s="15" t="str">
        <f t="shared" si="3"/>
        <v>Baja</v>
      </c>
    </row>
    <row r="1397" ht="14.25" customHeight="1">
      <c r="A1397" s="6" t="s">
        <v>2684</v>
      </c>
      <c r="B1397" s="9" t="s">
        <v>3836</v>
      </c>
      <c r="C1397" s="10">
        <v>1.0</v>
      </c>
      <c r="D1397" s="10">
        <v>1.0</v>
      </c>
      <c r="E1397" s="10">
        <v>2.0</v>
      </c>
      <c r="F1397" s="10">
        <v>1.0</v>
      </c>
      <c r="G1397" s="10">
        <v>1.0</v>
      </c>
      <c r="H1397" s="12">
        <f t="shared" si="1"/>
        <v>1.24</v>
      </c>
      <c r="I1397" s="13">
        <v>2.0</v>
      </c>
      <c r="J1397" s="14">
        <f t="shared" si="2"/>
        <v>2.48</v>
      </c>
      <c r="K1397" s="15" t="str">
        <f t="shared" si="3"/>
        <v>Baja</v>
      </c>
    </row>
    <row r="1398" ht="14.25" customHeight="1">
      <c r="A1398" s="6" t="s">
        <v>2698</v>
      </c>
      <c r="B1398" s="27" t="s">
        <v>3837</v>
      </c>
      <c r="C1398" s="10">
        <v>2.0</v>
      </c>
      <c r="D1398" s="10">
        <v>2.0</v>
      </c>
      <c r="E1398" s="10">
        <v>3.0</v>
      </c>
      <c r="F1398" s="10">
        <v>1.0</v>
      </c>
      <c r="G1398" s="10">
        <v>1.0</v>
      </c>
      <c r="H1398" s="12">
        <f t="shared" si="1"/>
        <v>2.044</v>
      </c>
      <c r="I1398" s="13">
        <v>1.0</v>
      </c>
      <c r="J1398" s="14">
        <f t="shared" si="2"/>
        <v>2.044</v>
      </c>
      <c r="K1398" s="15" t="str">
        <f t="shared" si="3"/>
        <v>Baja</v>
      </c>
    </row>
    <row r="1399" ht="14.25" customHeight="1">
      <c r="A1399" s="6" t="s">
        <v>2698</v>
      </c>
      <c r="B1399" s="27" t="s">
        <v>3835</v>
      </c>
      <c r="C1399" s="10">
        <v>1.0</v>
      </c>
      <c r="D1399" s="10">
        <v>1.0</v>
      </c>
      <c r="E1399" s="10">
        <v>2.0</v>
      </c>
      <c r="F1399" s="10">
        <v>1.0</v>
      </c>
      <c r="G1399" s="10">
        <v>1.0</v>
      </c>
      <c r="H1399" s="12">
        <f t="shared" si="1"/>
        <v>1.24</v>
      </c>
      <c r="I1399" s="13">
        <v>3.0</v>
      </c>
      <c r="J1399" s="14">
        <f t="shared" si="2"/>
        <v>3.72</v>
      </c>
      <c r="K1399" s="15" t="str">
        <f t="shared" si="3"/>
        <v>Baja</v>
      </c>
    </row>
    <row r="1400" ht="14.25" customHeight="1">
      <c r="A1400" s="6" t="s">
        <v>2698</v>
      </c>
      <c r="B1400" s="27" t="s">
        <v>3836</v>
      </c>
      <c r="C1400" s="10">
        <v>1.0</v>
      </c>
      <c r="D1400" s="10">
        <v>1.0</v>
      </c>
      <c r="E1400" s="10">
        <v>2.0</v>
      </c>
      <c r="F1400" s="10">
        <v>1.0</v>
      </c>
      <c r="G1400" s="10">
        <v>1.0</v>
      </c>
      <c r="H1400" s="12">
        <f t="shared" si="1"/>
        <v>1.24</v>
      </c>
      <c r="I1400" s="13">
        <v>2.0</v>
      </c>
      <c r="J1400" s="14">
        <f t="shared" si="2"/>
        <v>2.48</v>
      </c>
      <c r="K1400" s="15" t="str">
        <f t="shared" si="3"/>
        <v>Baja</v>
      </c>
    </row>
    <row r="1401" ht="14.25" customHeight="1">
      <c r="A1401" s="6" t="s">
        <v>2706</v>
      </c>
      <c r="B1401" s="9" t="s">
        <v>3838</v>
      </c>
      <c r="C1401" s="10">
        <v>2.0</v>
      </c>
      <c r="D1401" s="10">
        <v>2.0</v>
      </c>
      <c r="E1401" s="10">
        <v>2.0</v>
      </c>
      <c r="F1401" s="10">
        <v>1.0</v>
      </c>
      <c r="G1401" s="10">
        <v>1.0</v>
      </c>
      <c r="H1401" s="12">
        <f t="shared" si="1"/>
        <v>1.804</v>
      </c>
      <c r="I1401" s="13">
        <v>1.0</v>
      </c>
      <c r="J1401" s="14">
        <f t="shared" si="2"/>
        <v>1.804</v>
      </c>
      <c r="K1401" s="15" t="str">
        <f t="shared" si="3"/>
        <v>Baja</v>
      </c>
    </row>
    <row r="1402" ht="14.25" customHeight="1">
      <c r="A1402" s="6" t="s">
        <v>2706</v>
      </c>
      <c r="B1402" s="9" t="s">
        <v>3839</v>
      </c>
      <c r="C1402" s="10">
        <v>1.0</v>
      </c>
      <c r="D1402" s="10">
        <v>1.0</v>
      </c>
      <c r="E1402" s="10">
        <v>2.0</v>
      </c>
      <c r="F1402" s="10">
        <v>1.0</v>
      </c>
      <c r="G1402" s="10">
        <v>1.0</v>
      </c>
      <c r="H1402" s="12">
        <f t="shared" si="1"/>
        <v>1.24</v>
      </c>
      <c r="I1402" s="13">
        <v>2.0</v>
      </c>
      <c r="J1402" s="14">
        <f t="shared" si="2"/>
        <v>2.48</v>
      </c>
      <c r="K1402" s="15" t="str">
        <f t="shared" si="3"/>
        <v>Baja</v>
      </c>
    </row>
    <row r="1403" ht="14.25" customHeight="1">
      <c r="A1403" s="6" t="s">
        <v>2706</v>
      </c>
      <c r="B1403" s="9" t="s">
        <v>3840</v>
      </c>
      <c r="C1403" s="10">
        <v>1.0</v>
      </c>
      <c r="D1403" s="10">
        <v>1.0</v>
      </c>
      <c r="E1403" s="10">
        <v>2.0</v>
      </c>
      <c r="F1403" s="10">
        <v>1.0</v>
      </c>
      <c r="G1403" s="10">
        <v>1.0</v>
      </c>
      <c r="H1403" s="12">
        <f t="shared" si="1"/>
        <v>1.24</v>
      </c>
      <c r="I1403" s="13">
        <v>2.0</v>
      </c>
      <c r="J1403" s="14">
        <f t="shared" si="2"/>
        <v>2.48</v>
      </c>
      <c r="K1403" s="15" t="str">
        <f t="shared" si="3"/>
        <v>Baja</v>
      </c>
    </row>
    <row r="1404" ht="14.25" customHeight="1">
      <c r="A1404" s="6" t="s">
        <v>2719</v>
      </c>
      <c r="B1404" s="27" t="s">
        <v>3841</v>
      </c>
      <c r="C1404" s="10">
        <v>3.0</v>
      </c>
      <c r="D1404" s="10">
        <v>1.0</v>
      </c>
      <c r="E1404" s="10">
        <v>2.0</v>
      </c>
      <c r="F1404" s="10">
        <v>1.0</v>
      </c>
      <c r="G1404" s="10">
        <v>2.0</v>
      </c>
      <c r="H1404" s="12">
        <f t="shared" si="1"/>
        <v>2.108</v>
      </c>
      <c r="I1404" s="13">
        <v>3.0</v>
      </c>
      <c r="J1404" s="14">
        <f t="shared" si="2"/>
        <v>6.324</v>
      </c>
      <c r="K1404" s="15" t="str">
        <f t="shared" si="3"/>
        <v>Media</v>
      </c>
    </row>
    <row r="1405" ht="14.25" customHeight="1">
      <c r="A1405" s="6" t="s">
        <v>2719</v>
      </c>
      <c r="B1405" s="27" t="s">
        <v>3842</v>
      </c>
      <c r="C1405" s="10">
        <v>3.0</v>
      </c>
      <c r="D1405" s="10">
        <v>1.0</v>
      </c>
      <c r="E1405" s="10">
        <v>3.0</v>
      </c>
      <c r="F1405" s="10">
        <v>2.0</v>
      </c>
      <c r="G1405" s="10">
        <v>2.0</v>
      </c>
      <c r="H1405" s="12">
        <f t="shared" si="1"/>
        <v>2.444</v>
      </c>
      <c r="I1405" s="13">
        <v>1.0</v>
      </c>
      <c r="J1405" s="14">
        <f t="shared" si="2"/>
        <v>2.444</v>
      </c>
      <c r="K1405" s="15" t="str">
        <f t="shared" si="3"/>
        <v>Baja</v>
      </c>
    </row>
    <row r="1406" ht="14.25" customHeight="1">
      <c r="A1406" s="6" t="s">
        <v>2719</v>
      </c>
      <c r="B1406" s="27" t="s">
        <v>3843</v>
      </c>
      <c r="C1406" s="10">
        <v>2.0</v>
      </c>
      <c r="D1406" s="10">
        <v>1.0</v>
      </c>
      <c r="E1406" s="10">
        <v>2.0</v>
      </c>
      <c r="F1406" s="10">
        <v>1.0</v>
      </c>
      <c r="G1406" s="10">
        <v>1.0</v>
      </c>
      <c r="H1406" s="12">
        <f t="shared" si="1"/>
        <v>1.624</v>
      </c>
      <c r="I1406" s="13">
        <v>3.0</v>
      </c>
      <c r="J1406" s="14">
        <f t="shared" si="2"/>
        <v>4.872</v>
      </c>
      <c r="K1406" s="15" t="str">
        <f t="shared" si="3"/>
        <v>Media</v>
      </c>
    </row>
    <row r="1407" ht="14.25" customHeight="1">
      <c r="A1407" s="6" t="s">
        <v>2719</v>
      </c>
      <c r="B1407" s="27" t="s">
        <v>3844</v>
      </c>
      <c r="C1407" s="10">
        <v>2.0</v>
      </c>
      <c r="D1407" s="10">
        <v>1.0</v>
      </c>
      <c r="E1407" s="10">
        <v>2.0</v>
      </c>
      <c r="F1407" s="10">
        <v>1.0</v>
      </c>
      <c r="G1407" s="10">
        <v>1.0</v>
      </c>
      <c r="H1407" s="12">
        <f t="shared" si="1"/>
        <v>1.624</v>
      </c>
      <c r="I1407" s="13">
        <v>3.0</v>
      </c>
      <c r="J1407" s="14">
        <f t="shared" si="2"/>
        <v>4.872</v>
      </c>
      <c r="K1407" s="15" t="str">
        <f t="shared" si="3"/>
        <v>Media</v>
      </c>
    </row>
    <row r="1408" ht="14.25" customHeight="1">
      <c r="A1408" s="6" t="s">
        <v>2732</v>
      </c>
      <c r="B1408" s="9" t="s">
        <v>3845</v>
      </c>
      <c r="C1408" s="10">
        <v>3.0</v>
      </c>
      <c r="D1408" s="10">
        <v>1.0</v>
      </c>
      <c r="E1408" s="10">
        <v>2.0</v>
      </c>
      <c r="F1408" s="10">
        <v>1.0</v>
      </c>
      <c r="G1408" s="10">
        <v>2.0</v>
      </c>
      <c r="H1408" s="12">
        <f t="shared" si="1"/>
        <v>2.108</v>
      </c>
      <c r="I1408" s="13">
        <v>2.0</v>
      </c>
      <c r="J1408" s="14">
        <f t="shared" si="2"/>
        <v>4.216</v>
      </c>
      <c r="K1408" s="15" t="str">
        <f t="shared" si="3"/>
        <v>Media</v>
      </c>
    </row>
    <row r="1409" ht="14.25" customHeight="1">
      <c r="A1409" s="6" t="s">
        <v>2732</v>
      </c>
      <c r="B1409" s="9" t="s">
        <v>3846</v>
      </c>
      <c r="C1409" s="10">
        <v>2.0</v>
      </c>
      <c r="D1409" s="10">
        <v>1.0</v>
      </c>
      <c r="E1409" s="10">
        <v>2.0</v>
      </c>
      <c r="F1409" s="10">
        <v>1.0</v>
      </c>
      <c r="G1409" s="10">
        <v>1.0</v>
      </c>
      <c r="H1409" s="12">
        <f t="shared" si="1"/>
        <v>1.624</v>
      </c>
      <c r="I1409" s="13">
        <v>2.0</v>
      </c>
      <c r="J1409" s="14">
        <f t="shared" si="2"/>
        <v>3.248</v>
      </c>
      <c r="K1409" s="15" t="str">
        <f t="shared" si="3"/>
        <v>Baja</v>
      </c>
    </row>
    <row r="1410" ht="14.25" customHeight="1">
      <c r="A1410" s="6" t="s">
        <v>2732</v>
      </c>
      <c r="B1410" s="9" t="s">
        <v>3847</v>
      </c>
      <c r="C1410" s="10">
        <v>2.0</v>
      </c>
      <c r="D1410" s="10">
        <v>1.0</v>
      </c>
      <c r="E1410" s="10">
        <v>2.0</v>
      </c>
      <c r="F1410" s="10">
        <v>1.0</v>
      </c>
      <c r="G1410" s="10">
        <v>1.0</v>
      </c>
      <c r="H1410" s="12">
        <f t="shared" si="1"/>
        <v>1.624</v>
      </c>
      <c r="I1410" s="13">
        <v>2.0</v>
      </c>
      <c r="J1410" s="14">
        <f t="shared" si="2"/>
        <v>3.248</v>
      </c>
      <c r="K1410" s="15" t="str">
        <f t="shared" si="3"/>
        <v>Baja</v>
      </c>
    </row>
    <row r="1411" ht="14.25" customHeight="1">
      <c r="A1411" s="6" t="s">
        <v>2742</v>
      </c>
      <c r="B1411" s="27" t="s">
        <v>3848</v>
      </c>
      <c r="C1411" s="10">
        <v>1.0</v>
      </c>
      <c r="D1411" s="10">
        <v>2.0</v>
      </c>
      <c r="E1411" s="10">
        <v>3.0</v>
      </c>
      <c r="F1411" s="10">
        <v>2.0</v>
      </c>
      <c r="G1411" s="10">
        <v>1.0</v>
      </c>
      <c r="H1411" s="12">
        <f t="shared" si="1"/>
        <v>1.756</v>
      </c>
      <c r="I1411" s="13">
        <v>3.0</v>
      </c>
      <c r="J1411" s="14">
        <f t="shared" si="2"/>
        <v>5.268</v>
      </c>
      <c r="K1411" s="15" t="str">
        <f t="shared" si="3"/>
        <v>Media</v>
      </c>
    </row>
    <row r="1412" ht="14.25" customHeight="1">
      <c r="A1412" s="6" t="s">
        <v>2742</v>
      </c>
      <c r="B1412" s="27" t="s">
        <v>3849</v>
      </c>
      <c r="C1412" s="10">
        <v>1.0</v>
      </c>
      <c r="D1412" s="10">
        <v>2.0</v>
      </c>
      <c r="E1412" s="10">
        <v>2.0</v>
      </c>
      <c r="F1412" s="10">
        <v>1.0</v>
      </c>
      <c r="G1412" s="10">
        <v>1.0</v>
      </c>
      <c r="H1412" s="12">
        <f t="shared" si="1"/>
        <v>1.42</v>
      </c>
      <c r="I1412" s="13">
        <v>3.0</v>
      </c>
      <c r="J1412" s="14">
        <f t="shared" si="2"/>
        <v>4.26</v>
      </c>
      <c r="K1412" s="15" t="str">
        <f t="shared" si="3"/>
        <v>Media</v>
      </c>
    </row>
    <row r="1413" ht="14.25" customHeight="1">
      <c r="A1413" s="6" t="s">
        <v>2742</v>
      </c>
      <c r="B1413" s="27" t="s">
        <v>1289</v>
      </c>
      <c r="C1413" s="10">
        <v>1.0</v>
      </c>
      <c r="D1413" s="10">
        <v>2.0</v>
      </c>
      <c r="E1413" s="10">
        <v>2.0</v>
      </c>
      <c r="F1413" s="10">
        <v>1.0</v>
      </c>
      <c r="G1413" s="10">
        <v>1.0</v>
      </c>
      <c r="H1413" s="12">
        <f t="shared" si="1"/>
        <v>1.42</v>
      </c>
      <c r="I1413" s="13">
        <v>3.0</v>
      </c>
      <c r="J1413" s="14">
        <f t="shared" si="2"/>
        <v>4.26</v>
      </c>
      <c r="K1413" s="15" t="str">
        <f t="shared" si="3"/>
        <v>Media</v>
      </c>
    </row>
    <row r="1414" ht="14.25" customHeight="1">
      <c r="A1414" s="6" t="s">
        <v>2742</v>
      </c>
      <c r="B1414" s="27" t="s">
        <v>3850</v>
      </c>
      <c r="C1414" s="10">
        <v>1.0</v>
      </c>
      <c r="D1414" s="10">
        <v>1.0</v>
      </c>
      <c r="E1414" s="10">
        <v>3.0</v>
      </c>
      <c r="F1414" s="10">
        <v>2.0</v>
      </c>
      <c r="G1414" s="10">
        <v>1.0</v>
      </c>
      <c r="H1414" s="12">
        <f t="shared" si="1"/>
        <v>1.576</v>
      </c>
      <c r="I1414" s="13">
        <v>2.0</v>
      </c>
      <c r="J1414" s="14">
        <f t="shared" si="2"/>
        <v>3.152</v>
      </c>
      <c r="K1414" s="15" t="str">
        <f t="shared" si="3"/>
        <v>Baja</v>
      </c>
    </row>
    <row r="1415" ht="14.25" customHeight="1">
      <c r="A1415" s="6" t="s">
        <v>2742</v>
      </c>
      <c r="B1415" s="27" t="s">
        <v>3851</v>
      </c>
      <c r="C1415" s="10">
        <v>1.0</v>
      </c>
      <c r="D1415" s="10">
        <v>1.0</v>
      </c>
      <c r="E1415" s="10">
        <v>2.0</v>
      </c>
      <c r="F1415" s="10">
        <v>1.0</v>
      </c>
      <c r="G1415" s="10">
        <v>1.0</v>
      </c>
      <c r="H1415" s="12">
        <f t="shared" si="1"/>
        <v>1.24</v>
      </c>
      <c r="I1415" s="13">
        <v>3.0</v>
      </c>
      <c r="J1415" s="14">
        <f t="shared" si="2"/>
        <v>3.72</v>
      </c>
      <c r="K1415" s="15" t="str">
        <f t="shared" si="3"/>
        <v>Baja</v>
      </c>
    </row>
    <row r="1416" ht="14.25" customHeight="1">
      <c r="A1416" s="6" t="s">
        <v>2742</v>
      </c>
      <c r="B1416" s="27" t="s">
        <v>3852</v>
      </c>
      <c r="C1416" s="10">
        <v>1.0</v>
      </c>
      <c r="D1416" s="10">
        <v>1.0</v>
      </c>
      <c r="E1416" s="10">
        <v>2.0</v>
      </c>
      <c r="F1416" s="10">
        <v>1.0</v>
      </c>
      <c r="G1416" s="10">
        <v>1.0</v>
      </c>
      <c r="H1416" s="12">
        <f t="shared" si="1"/>
        <v>1.24</v>
      </c>
      <c r="I1416" s="13">
        <v>2.0</v>
      </c>
      <c r="J1416" s="14">
        <f t="shared" si="2"/>
        <v>2.48</v>
      </c>
      <c r="K1416" s="15" t="str">
        <f t="shared" si="3"/>
        <v>Baja</v>
      </c>
    </row>
    <row r="1417" ht="14.25" customHeight="1">
      <c r="A1417" s="6" t="s">
        <v>2757</v>
      </c>
      <c r="B1417" s="9" t="s">
        <v>3853</v>
      </c>
      <c r="C1417" s="10">
        <v>1.0</v>
      </c>
      <c r="D1417" s="10">
        <v>1.0</v>
      </c>
      <c r="E1417" s="10">
        <v>2.0</v>
      </c>
      <c r="F1417" s="10">
        <v>2.0</v>
      </c>
      <c r="G1417" s="10">
        <v>2.0</v>
      </c>
      <c r="H1417" s="12">
        <f t="shared" si="1"/>
        <v>1.436</v>
      </c>
      <c r="I1417" s="13">
        <v>1.0</v>
      </c>
      <c r="J1417" s="14">
        <f t="shared" si="2"/>
        <v>1.436</v>
      </c>
      <c r="K1417" s="15" t="str">
        <f t="shared" si="3"/>
        <v>Baja</v>
      </c>
    </row>
    <row r="1418" ht="14.25" customHeight="1">
      <c r="A1418" s="6" t="s">
        <v>2757</v>
      </c>
      <c r="B1418" s="9" t="s">
        <v>3855</v>
      </c>
      <c r="C1418" s="10">
        <v>1.0</v>
      </c>
      <c r="D1418" s="10">
        <v>1.0</v>
      </c>
      <c r="E1418" s="10">
        <v>2.0</v>
      </c>
      <c r="F1418" s="10">
        <v>2.0</v>
      </c>
      <c r="G1418" s="10">
        <v>2.0</v>
      </c>
      <c r="H1418" s="12">
        <f t="shared" si="1"/>
        <v>1.436</v>
      </c>
      <c r="I1418" s="13">
        <v>3.0</v>
      </c>
      <c r="J1418" s="14">
        <f t="shared" si="2"/>
        <v>4.308</v>
      </c>
      <c r="K1418" s="15" t="str">
        <f t="shared" si="3"/>
        <v>Media</v>
      </c>
    </row>
    <row r="1419" ht="14.25" customHeight="1">
      <c r="A1419" s="6" t="s">
        <v>2757</v>
      </c>
      <c r="B1419" s="9" t="s">
        <v>3856</v>
      </c>
      <c r="C1419" s="10">
        <v>1.0</v>
      </c>
      <c r="D1419" s="10">
        <v>1.0</v>
      </c>
      <c r="E1419" s="10">
        <v>2.0</v>
      </c>
      <c r="F1419" s="10">
        <v>1.0</v>
      </c>
      <c r="G1419" s="10">
        <v>1.0</v>
      </c>
      <c r="H1419" s="12">
        <f t="shared" si="1"/>
        <v>1.24</v>
      </c>
      <c r="I1419" s="13">
        <v>3.0</v>
      </c>
      <c r="J1419" s="14">
        <f t="shared" si="2"/>
        <v>3.72</v>
      </c>
      <c r="K1419" s="15" t="str">
        <f t="shared" si="3"/>
        <v>Baja</v>
      </c>
    </row>
    <row r="1420" ht="14.25" customHeight="1">
      <c r="A1420" s="6" t="s">
        <v>2757</v>
      </c>
      <c r="B1420" s="9" t="s">
        <v>3857</v>
      </c>
      <c r="C1420" s="10">
        <v>1.0</v>
      </c>
      <c r="D1420" s="10">
        <v>1.0</v>
      </c>
      <c r="E1420" s="10">
        <v>2.0</v>
      </c>
      <c r="F1420" s="10">
        <v>1.0</v>
      </c>
      <c r="G1420" s="10">
        <v>1.0</v>
      </c>
      <c r="H1420" s="12">
        <f t="shared" si="1"/>
        <v>1.24</v>
      </c>
      <c r="I1420" s="13">
        <v>3.0</v>
      </c>
      <c r="J1420" s="14">
        <f t="shared" si="2"/>
        <v>3.72</v>
      </c>
      <c r="K1420" s="15" t="str">
        <f t="shared" si="3"/>
        <v>Baja</v>
      </c>
    </row>
    <row r="1421" ht="14.25" customHeight="1">
      <c r="A1421" s="6" t="s">
        <v>2770</v>
      </c>
      <c r="B1421" s="27" t="s">
        <v>3475</v>
      </c>
      <c r="C1421" s="10">
        <v>1.0</v>
      </c>
      <c r="D1421" s="10">
        <v>1.0</v>
      </c>
      <c r="E1421" s="10">
        <v>3.0</v>
      </c>
      <c r="F1421" s="10">
        <v>3.0</v>
      </c>
      <c r="G1421" s="10">
        <v>1.0</v>
      </c>
      <c r="H1421" s="12">
        <f t="shared" si="1"/>
        <v>1.672</v>
      </c>
      <c r="I1421" s="13">
        <v>2.0</v>
      </c>
      <c r="J1421" s="14">
        <f t="shared" si="2"/>
        <v>3.344</v>
      </c>
      <c r="K1421" s="15" t="str">
        <f t="shared" si="3"/>
        <v>Baja</v>
      </c>
    </row>
    <row r="1422" ht="14.25" customHeight="1">
      <c r="A1422" s="6" t="s">
        <v>2770</v>
      </c>
      <c r="B1422" s="27" t="s">
        <v>3476</v>
      </c>
      <c r="C1422" s="10">
        <v>1.0</v>
      </c>
      <c r="D1422" s="10">
        <v>1.0</v>
      </c>
      <c r="E1422" s="10">
        <v>2.0</v>
      </c>
      <c r="F1422" s="10">
        <v>1.0</v>
      </c>
      <c r="G1422" s="10">
        <v>1.0</v>
      </c>
      <c r="H1422" s="12">
        <f t="shared" si="1"/>
        <v>1.24</v>
      </c>
      <c r="I1422" s="13">
        <v>1.0</v>
      </c>
      <c r="J1422" s="14">
        <f t="shared" si="2"/>
        <v>1.24</v>
      </c>
      <c r="K1422" s="15" t="str">
        <f t="shared" si="3"/>
        <v>Baja</v>
      </c>
    </row>
    <row r="1423" ht="14.25" customHeight="1">
      <c r="A1423" s="6" t="s">
        <v>2770</v>
      </c>
      <c r="B1423" s="27" t="s">
        <v>3478</v>
      </c>
      <c r="C1423" s="10">
        <v>1.0</v>
      </c>
      <c r="D1423" s="10">
        <v>1.0</v>
      </c>
      <c r="E1423" s="10">
        <v>2.0</v>
      </c>
      <c r="F1423" s="10">
        <v>1.0</v>
      </c>
      <c r="G1423" s="10">
        <v>1.0</v>
      </c>
      <c r="H1423" s="12">
        <f t="shared" si="1"/>
        <v>1.24</v>
      </c>
      <c r="I1423" s="13">
        <v>3.0</v>
      </c>
      <c r="J1423" s="14">
        <f t="shared" si="2"/>
        <v>3.72</v>
      </c>
      <c r="K1423" s="15" t="str">
        <f t="shared" si="3"/>
        <v>Baja</v>
      </c>
    </row>
    <row r="1424" ht="14.25" customHeight="1">
      <c r="A1424" s="6" t="s">
        <v>2770</v>
      </c>
      <c r="B1424" s="27" t="s">
        <v>3480</v>
      </c>
      <c r="C1424" s="10">
        <v>1.0</v>
      </c>
      <c r="D1424" s="10">
        <v>1.0</v>
      </c>
      <c r="E1424" s="10">
        <v>2.0</v>
      </c>
      <c r="F1424" s="10">
        <v>1.0</v>
      </c>
      <c r="G1424" s="10">
        <v>1.0</v>
      </c>
      <c r="H1424" s="12">
        <f t="shared" si="1"/>
        <v>1.24</v>
      </c>
      <c r="I1424" s="13">
        <v>3.0</v>
      </c>
      <c r="J1424" s="14">
        <f t="shared" si="2"/>
        <v>3.72</v>
      </c>
      <c r="K1424" s="15" t="str">
        <f t="shared" si="3"/>
        <v>Baja</v>
      </c>
    </row>
    <row r="1425" ht="14.25" customHeight="1">
      <c r="A1425" s="6" t="s">
        <v>2770</v>
      </c>
      <c r="B1425" s="27" t="s">
        <v>3481</v>
      </c>
      <c r="C1425" s="10">
        <v>1.0</v>
      </c>
      <c r="D1425" s="10">
        <v>1.0</v>
      </c>
      <c r="E1425" s="10">
        <v>3.0</v>
      </c>
      <c r="F1425" s="10">
        <v>1.0</v>
      </c>
      <c r="G1425" s="10">
        <v>1.0</v>
      </c>
      <c r="H1425" s="12">
        <f t="shared" si="1"/>
        <v>1.48</v>
      </c>
      <c r="I1425" s="13">
        <v>3.0</v>
      </c>
      <c r="J1425" s="14">
        <f t="shared" si="2"/>
        <v>4.44</v>
      </c>
      <c r="K1425" s="15" t="str">
        <f t="shared" si="3"/>
        <v>Media</v>
      </c>
    </row>
    <row r="1426" ht="14.25" customHeight="1">
      <c r="A1426" s="6" t="s">
        <v>2770</v>
      </c>
      <c r="B1426" s="27" t="s">
        <v>3482</v>
      </c>
      <c r="C1426" s="10">
        <v>1.0</v>
      </c>
      <c r="D1426" s="10">
        <v>1.0</v>
      </c>
      <c r="E1426" s="10">
        <v>2.0</v>
      </c>
      <c r="F1426" s="10">
        <v>1.0</v>
      </c>
      <c r="G1426" s="10">
        <v>1.0</v>
      </c>
      <c r="H1426" s="12">
        <f t="shared" si="1"/>
        <v>1.24</v>
      </c>
      <c r="I1426" s="13">
        <v>3.0</v>
      </c>
      <c r="J1426" s="14">
        <f t="shared" si="2"/>
        <v>3.72</v>
      </c>
      <c r="K1426" s="15" t="str">
        <f t="shared" si="3"/>
        <v>Baja</v>
      </c>
    </row>
    <row r="1427" ht="14.25" customHeight="1">
      <c r="A1427" s="6" t="s">
        <v>2779</v>
      </c>
      <c r="B1427" s="9" t="s">
        <v>3858</v>
      </c>
      <c r="C1427" s="10">
        <v>3.0</v>
      </c>
      <c r="D1427" s="10">
        <v>4.0</v>
      </c>
      <c r="E1427" s="10">
        <v>3.0</v>
      </c>
      <c r="F1427" s="10">
        <v>2.0</v>
      </c>
      <c r="G1427" s="10">
        <v>1.0</v>
      </c>
      <c r="H1427" s="12">
        <f t="shared" si="1"/>
        <v>2.884</v>
      </c>
      <c r="I1427" s="13">
        <v>3.0</v>
      </c>
      <c r="J1427" s="14">
        <f t="shared" si="2"/>
        <v>8.652</v>
      </c>
      <c r="K1427" s="15" t="str">
        <f t="shared" si="3"/>
        <v>Media</v>
      </c>
    </row>
    <row r="1428" ht="14.25" customHeight="1">
      <c r="A1428" s="6" t="s">
        <v>2779</v>
      </c>
      <c r="B1428" s="9" t="s">
        <v>3859</v>
      </c>
      <c r="C1428" s="10">
        <v>2.0</v>
      </c>
      <c r="D1428" s="10">
        <v>2.0</v>
      </c>
      <c r="E1428" s="10">
        <v>2.0</v>
      </c>
      <c r="F1428" s="10">
        <v>2.0</v>
      </c>
      <c r="G1428" s="10">
        <v>1.0</v>
      </c>
      <c r="H1428" s="12">
        <f t="shared" si="1"/>
        <v>1.9</v>
      </c>
      <c r="I1428" s="13">
        <v>2.0</v>
      </c>
      <c r="J1428" s="14">
        <f t="shared" si="2"/>
        <v>3.8</v>
      </c>
      <c r="K1428" s="15" t="str">
        <f t="shared" si="3"/>
        <v>Baja</v>
      </c>
    </row>
    <row r="1429" ht="14.25" customHeight="1">
      <c r="A1429" s="6" t="s">
        <v>2791</v>
      </c>
      <c r="B1429" s="27" t="s">
        <v>3860</v>
      </c>
      <c r="C1429" s="10">
        <v>1.0</v>
      </c>
      <c r="D1429" s="10">
        <v>4.0</v>
      </c>
      <c r="E1429" s="10">
        <v>3.0</v>
      </c>
      <c r="F1429" s="10">
        <v>1.0</v>
      </c>
      <c r="G1429" s="10">
        <v>1.0</v>
      </c>
      <c r="H1429" s="12">
        <f t="shared" si="1"/>
        <v>2.02</v>
      </c>
      <c r="I1429" s="13">
        <v>2.0</v>
      </c>
      <c r="J1429" s="14">
        <f t="shared" si="2"/>
        <v>4.04</v>
      </c>
      <c r="K1429" s="15" t="str">
        <f t="shared" si="3"/>
        <v>Media</v>
      </c>
    </row>
    <row r="1430" ht="14.25" customHeight="1">
      <c r="A1430" s="6" t="s">
        <v>2791</v>
      </c>
      <c r="B1430" s="27" t="s">
        <v>3861</v>
      </c>
      <c r="C1430" s="10">
        <v>1.0</v>
      </c>
      <c r="D1430" s="10">
        <v>2.0</v>
      </c>
      <c r="E1430" s="10">
        <v>3.0</v>
      </c>
      <c r="F1430" s="10">
        <v>1.0</v>
      </c>
      <c r="G1430" s="10">
        <v>1.0</v>
      </c>
      <c r="H1430" s="12">
        <f t="shared" si="1"/>
        <v>1.66</v>
      </c>
      <c r="I1430" s="13">
        <v>2.0</v>
      </c>
      <c r="J1430" s="14">
        <f t="shared" si="2"/>
        <v>3.32</v>
      </c>
      <c r="K1430" s="15" t="str">
        <f t="shared" si="3"/>
        <v>Baja</v>
      </c>
    </row>
    <row r="1431" ht="14.25" customHeight="1">
      <c r="A1431" s="6" t="s">
        <v>2805</v>
      </c>
      <c r="B1431" s="9" t="s">
        <v>3863</v>
      </c>
      <c r="C1431" s="10">
        <v>1.0</v>
      </c>
      <c r="D1431" s="10">
        <v>4.0</v>
      </c>
      <c r="E1431" s="10">
        <v>3.0</v>
      </c>
      <c r="F1431" s="10">
        <v>3.0</v>
      </c>
      <c r="G1431" s="10">
        <v>1.0</v>
      </c>
      <c r="H1431" s="12">
        <f t="shared" si="1"/>
        <v>2.212</v>
      </c>
      <c r="I1431" s="13">
        <v>2.0</v>
      </c>
      <c r="J1431" s="14">
        <f t="shared" si="2"/>
        <v>4.424</v>
      </c>
      <c r="K1431" s="15" t="str">
        <f t="shared" si="3"/>
        <v>Media</v>
      </c>
    </row>
    <row r="1432" ht="14.25" customHeight="1">
      <c r="A1432" s="6" t="s">
        <v>2805</v>
      </c>
      <c r="B1432" s="9" t="s">
        <v>3781</v>
      </c>
      <c r="C1432" s="10">
        <v>1.0</v>
      </c>
      <c r="D1432" s="10">
        <v>2.0</v>
      </c>
      <c r="E1432" s="10">
        <v>3.0</v>
      </c>
      <c r="F1432" s="10">
        <v>1.0</v>
      </c>
      <c r="G1432" s="10">
        <v>1.0</v>
      </c>
      <c r="H1432" s="12">
        <f t="shared" si="1"/>
        <v>1.66</v>
      </c>
      <c r="I1432" s="13">
        <v>2.0</v>
      </c>
      <c r="J1432" s="14">
        <f t="shared" si="2"/>
        <v>3.32</v>
      </c>
      <c r="K1432" s="15" t="str">
        <f t="shared" si="3"/>
        <v>Baja</v>
      </c>
    </row>
    <row r="1433" ht="14.25" customHeight="1">
      <c r="A1433" s="6" t="s">
        <v>2805</v>
      </c>
      <c r="B1433" s="9" t="s">
        <v>3864</v>
      </c>
      <c r="C1433" s="10">
        <v>1.0</v>
      </c>
      <c r="D1433" s="10">
        <v>2.0</v>
      </c>
      <c r="E1433" s="10">
        <v>3.0</v>
      </c>
      <c r="F1433" s="10">
        <v>3.0</v>
      </c>
      <c r="G1433" s="10">
        <v>1.0</v>
      </c>
      <c r="H1433" s="12">
        <f t="shared" si="1"/>
        <v>1.852</v>
      </c>
      <c r="I1433" s="13">
        <v>1.0</v>
      </c>
      <c r="J1433" s="14">
        <f t="shared" si="2"/>
        <v>1.852</v>
      </c>
      <c r="K1433" s="15" t="str">
        <f t="shared" si="3"/>
        <v>Baja</v>
      </c>
    </row>
    <row r="1434" ht="14.25" customHeight="1">
      <c r="A1434" s="6" t="s">
        <v>2805</v>
      </c>
      <c r="B1434" s="9" t="s">
        <v>3865</v>
      </c>
      <c r="C1434" s="10">
        <v>1.0</v>
      </c>
      <c r="D1434" s="10">
        <v>2.0</v>
      </c>
      <c r="E1434" s="10">
        <v>3.0</v>
      </c>
      <c r="F1434" s="10">
        <v>3.0</v>
      </c>
      <c r="G1434" s="10">
        <v>1.0</v>
      </c>
      <c r="H1434" s="12">
        <f t="shared" si="1"/>
        <v>1.852</v>
      </c>
      <c r="I1434" s="13">
        <v>2.0</v>
      </c>
      <c r="J1434" s="14">
        <f t="shared" si="2"/>
        <v>3.704</v>
      </c>
      <c r="K1434" s="15" t="str">
        <f t="shared" si="3"/>
        <v>Baja</v>
      </c>
    </row>
    <row r="1435" ht="14.25" customHeight="1">
      <c r="A1435" s="6" t="s">
        <v>2817</v>
      </c>
      <c r="B1435" s="27" t="s">
        <v>3863</v>
      </c>
      <c r="C1435" s="10">
        <v>1.0</v>
      </c>
      <c r="D1435" s="10">
        <v>4.0</v>
      </c>
      <c r="E1435" s="10">
        <v>3.0</v>
      </c>
      <c r="F1435" s="10">
        <v>3.0</v>
      </c>
      <c r="G1435" s="10">
        <v>1.0</v>
      </c>
      <c r="H1435" s="12">
        <f t="shared" si="1"/>
        <v>2.212</v>
      </c>
      <c r="I1435" s="13">
        <v>2.0</v>
      </c>
      <c r="J1435" s="14">
        <f t="shared" si="2"/>
        <v>4.424</v>
      </c>
      <c r="K1435" s="15" t="str">
        <f t="shared" si="3"/>
        <v>Media</v>
      </c>
    </row>
    <row r="1436" ht="14.25" customHeight="1">
      <c r="A1436" s="6" t="s">
        <v>2817</v>
      </c>
      <c r="B1436" s="27" t="s">
        <v>3781</v>
      </c>
      <c r="C1436" s="10">
        <v>1.0</v>
      </c>
      <c r="D1436" s="10">
        <v>2.0</v>
      </c>
      <c r="E1436" s="10">
        <v>3.0</v>
      </c>
      <c r="F1436" s="10">
        <v>1.0</v>
      </c>
      <c r="G1436" s="10">
        <v>1.0</v>
      </c>
      <c r="H1436" s="12">
        <f t="shared" si="1"/>
        <v>1.66</v>
      </c>
      <c r="I1436" s="13">
        <v>2.0</v>
      </c>
      <c r="J1436" s="14">
        <f t="shared" si="2"/>
        <v>3.32</v>
      </c>
      <c r="K1436" s="15" t="str">
        <f t="shared" si="3"/>
        <v>Baja</v>
      </c>
    </row>
    <row r="1437" ht="14.25" customHeight="1">
      <c r="A1437" s="6" t="s">
        <v>2817</v>
      </c>
      <c r="B1437" s="27" t="s">
        <v>3864</v>
      </c>
      <c r="C1437" s="10">
        <v>1.0</v>
      </c>
      <c r="D1437" s="10">
        <v>2.0</v>
      </c>
      <c r="E1437" s="10">
        <v>3.0</v>
      </c>
      <c r="F1437" s="10">
        <v>3.0</v>
      </c>
      <c r="G1437" s="10">
        <v>1.0</v>
      </c>
      <c r="H1437" s="12">
        <f t="shared" si="1"/>
        <v>1.852</v>
      </c>
      <c r="I1437" s="13">
        <v>1.0</v>
      </c>
      <c r="J1437" s="14">
        <f t="shared" si="2"/>
        <v>1.852</v>
      </c>
      <c r="K1437" s="15" t="str">
        <f t="shared" si="3"/>
        <v>Baja</v>
      </c>
    </row>
    <row r="1438" ht="14.25" customHeight="1">
      <c r="A1438" s="6" t="s">
        <v>2817</v>
      </c>
      <c r="B1438" s="27" t="s">
        <v>3865</v>
      </c>
      <c r="C1438" s="10">
        <v>1.0</v>
      </c>
      <c r="D1438" s="10">
        <v>2.0</v>
      </c>
      <c r="E1438" s="10">
        <v>3.0</v>
      </c>
      <c r="F1438" s="10">
        <v>3.0</v>
      </c>
      <c r="G1438" s="10">
        <v>1.0</v>
      </c>
      <c r="H1438" s="12">
        <f t="shared" si="1"/>
        <v>1.852</v>
      </c>
      <c r="I1438" s="13">
        <v>2.0</v>
      </c>
      <c r="J1438" s="14">
        <f t="shared" si="2"/>
        <v>3.704</v>
      </c>
      <c r="K1438" s="15" t="str">
        <f t="shared" si="3"/>
        <v>Baja</v>
      </c>
    </row>
    <row r="1439" ht="14.25" customHeight="1">
      <c r="A1439" s="6" t="s">
        <v>2824</v>
      </c>
      <c r="B1439" s="9" t="s">
        <v>3866</v>
      </c>
      <c r="C1439" s="10">
        <v>1.0</v>
      </c>
      <c r="D1439" s="10">
        <v>4.0</v>
      </c>
      <c r="E1439" s="10">
        <v>3.0</v>
      </c>
      <c r="F1439" s="10">
        <v>1.0</v>
      </c>
      <c r="G1439" s="10">
        <v>1.0</v>
      </c>
      <c r="H1439" s="12">
        <f t="shared" si="1"/>
        <v>2.02</v>
      </c>
      <c r="I1439" s="13">
        <v>2.0</v>
      </c>
      <c r="J1439" s="14">
        <f t="shared" si="2"/>
        <v>4.04</v>
      </c>
      <c r="K1439" s="15" t="str">
        <f t="shared" si="3"/>
        <v>Media</v>
      </c>
    </row>
    <row r="1440" ht="14.25" customHeight="1">
      <c r="A1440" s="6" t="s">
        <v>2824</v>
      </c>
      <c r="B1440" s="9" t="s">
        <v>3867</v>
      </c>
      <c r="C1440" s="10">
        <v>1.0</v>
      </c>
      <c r="D1440" s="10">
        <v>2.0</v>
      </c>
      <c r="E1440" s="10">
        <v>3.0</v>
      </c>
      <c r="F1440" s="10">
        <v>1.0</v>
      </c>
      <c r="G1440" s="10">
        <v>1.0</v>
      </c>
      <c r="H1440" s="12">
        <f t="shared" si="1"/>
        <v>1.66</v>
      </c>
      <c r="I1440" s="13">
        <v>2.0</v>
      </c>
      <c r="J1440" s="14">
        <f t="shared" si="2"/>
        <v>3.32</v>
      </c>
      <c r="K1440" s="15" t="str">
        <f t="shared" si="3"/>
        <v>Baja</v>
      </c>
    </row>
    <row r="1441" ht="14.25" customHeight="1">
      <c r="A1441" s="6" t="s">
        <v>2837</v>
      </c>
      <c r="B1441" s="27" t="s">
        <v>3868</v>
      </c>
      <c r="C1441" s="10">
        <v>4.0</v>
      </c>
      <c r="D1441" s="10">
        <v>1.0</v>
      </c>
      <c r="E1441" s="10">
        <v>2.0</v>
      </c>
      <c r="F1441" s="10">
        <v>1.0</v>
      </c>
      <c r="G1441" s="10">
        <v>1.0</v>
      </c>
      <c r="H1441" s="12">
        <f t="shared" si="1"/>
        <v>2.392</v>
      </c>
      <c r="I1441" s="13">
        <v>2.0</v>
      </c>
      <c r="J1441" s="14">
        <f t="shared" si="2"/>
        <v>4.784</v>
      </c>
      <c r="K1441" s="15" t="str">
        <f t="shared" si="3"/>
        <v>Media</v>
      </c>
    </row>
    <row r="1442" ht="14.25" customHeight="1">
      <c r="A1442" s="6" t="s">
        <v>2837</v>
      </c>
      <c r="B1442" s="27" t="s">
        <v>3869</v>
      </c>
      <c r="C1442" s="10">
        <v>3.0</v>
      </c>
      <c r="D1442" s="10">
        <v>1.0</v>
      </c>
      <c r="E1442" s="10">
        <v>2.0</v>
      </c>
      <c r="F1442" s="10">
        <v>1.0</v>
      </c>
      <c r="G1442" s="10">
        <v>1.0</v>
      </c>
      <c r="H1442" s="12">
        <f t="shared" si="1"/>
        <v>2.008</v>
      </c>
      <c r="I1442" s="13">
        <v>3.0</v>
      </c>
      <c r="J1442" s="14">
        <f t="shared" si="2"/>
        <v>6.024</v>
      </c>
      <c r="K1442" s="15" t="str">
        <f t="shared" si="3"/>
        <v>Media</v>
      </c>
    </row>
    <row r="1443" ht="14.25" customHeight="1">
      <c r="A1443" s="6" t="s">
        <v>2855</v>
      </c>
      <c r="B1443" s="9" t="s">
        <v>3778</v>
      </c>
      <c r="C1443" s="10">
        <v>1.0</v>
      </c>
      <c r="D1443" s="10">
        <v>4.0</v>
      </c>
      <c r="E1443" s="10">
        <v>3.0</v>
      </c>
      <c r="F1443" s="10">
        <v>2.0</v>
      </c>
      <c r="G1443" s="10">
        <v>1.0</v>
      </c>
      <c r="H1443" s="12">
        <f t="shared" si="1"/>
        <v>2.116</v>
      </c>
      <c r="I1443" s="13">
        <v>2.0</v>
      </c>
      <c r="J1443" s="14">
        <f t="shared" si="2"/>
        <v>4.232</v>
      </c>
      <c r="K1443" s="15" t="str">
        <f t="shared" si="3"/>
        <v>Media</v>
      </c>
    </row>
    <row r="1444" ht="14.25" customHeight="1">
      <c r="A1444" s="6" t="s">
        <v>2855</v>
      </c>
      <c r="B1444" s="9" t="s">
        <v>3870</v>
      </c>
      <c r="C1444" s="10">
        <v>1.0</v>
      </c>
      <c r="D1444" s="10">
        <v>4.0</v>
      </c>
      <c r="E1444" s="10">
        <v>3.0</v>
      </c>
      <c r="F1444" s="10">
        <v>3.0</v>
      </c>
      <c r="G1444" s="10">
        <v>1.0</v>
      </c>
      <c r="H1444" s="12">
        <f t="shared" si="1"/>
        <v>2.212</v>
      </c>
      <c r="I1444" s="13">
        <v>1.0</v>
      </c>
      <c r="J1444" s="14">
        <f t="shared" si="2"/>
        <v>2.212</v>
      </c>
      <c r="K1444" s="15" t="str">
        <f t="shared" si="3"/>
        <v>Baja</v>
      </c>
    </row>
    <row r="1445" ht="14.25" customHeight="1">
      <c r="A1445" s="6" t="s">
        <v>2855</v>
      </c>
      <c r="B1445" s="9" t="s">
        <v>3871</v>
      </c>
      <c r="C1445" s="10">
        <v>1.0</v>
      </c>
      <c r="D1445" s="10">
        <v>4.0</v>
      </c>
      <c r="E1445" s="10">
        <v>3.0</v>
      </c>
      <c r="F1445" s="10">
        <v>2.0</v>
      </c>
      <c r="G1445" s="10">
        <v>1.0</v>
      </c>
      <c r="H1445" s="12">
        <f t="shared" si="1"/>
        <v>2.116</v>
      </c>
      <c r="I1445" s="13">
        <v>1.0</v>
      </c>
      <c r="J1445" s="14">
        <f t="shared" si="2"/>
        <v>2.116</v>
      </c>
      <c r="K1445" s="15" t="str">
        <f t="shared" si="3"/>
        <v>Baja</v>
      </c>
    </row>
    <row r="1446" ht="14.25" customHeight="1">
      <c r="A1446" s="6" t="s">
        <v>2855</v>
      </c>
      <c r="B1446" s="9" t="s">
        <v>3872</v>
      </c>
      <c r="C1446" s="10">
        <v>1.0</v>
      </c>
      <c r="D1446" s="10">
        <v>2.0</v>
      </c>
      <c r="E1446" s="10">
        <v>3.0</v>
      </c>
      <c r="F1446" s="10">
        <v>1.0</v>
      </c>
      <c r="G1446" s="10">
        <v>1.0</v>
      </c>
      <c r="H1446" s="12">
        <f t="shared" si="1"/>
        <v>1.66</v>
      </c>
      <c r="I1446" s="13">
        <v>2.0</v>
      </c>
      <c r="J1446" s="14">
        <f t="shared" si="2"/>
        <v>3.32</v>
      </c>
      <c r="K1446" s="15" t="str">
        <f t="shared" si="3"/>
        <v>Baja</v>
      </c>
    </row>
    <row r="1447" ht="14.25" customHeight="1">
      <c r="A1447" s="6" t="s">
        <v>2869</v>
      </c>
      <c r="B1447" s="27" t="s">
        <v>3873</v>
      </c>
      <c r="C1447" s="10">
        <v>1.0</v>
      </c>
      <c r="D1447" s="10">
        <v>4.0</v>
      </c>
      <c r="E1447" s="10">
        <v>3.0</v>
      </c>
      <c r="F1447" s="10">
        <v>2.0</v>
      </c>
      <c r="G1447" s="10">
        <v>1.0</v>
      </c>
      <c r="H1447" s="12">
        <f t="shared" si="1"/>
        <v>2.116</v>
      </c>
      <c r="I1447" s="13">
        <v>1.0</v>
      </c>
      <c r="J1447" s="14">
        <f t="shared" si="2"/>
        <v>2.116</v>
      </c>
      <c r="K1447" s="15" t="str">
        <f t="shared" si="3"/>
        <v>Baja</v>
      </c>
    </row>
    <row r="1448" ht="14.25" customHeight="1">
      <c r="A1448" s="6" t="s">
        <v>2869</v>
      </c>
      <c r="B1448" s="27" t="s">
        <v>3874</v>
      </c>
      <c r="C1448" s="10">
        <v>1.0</v>
      </c>
      <c r="D1448" s="10">
        <v>2.0</v>
      </c>
      <c r="E1448" s="10">
        <v>2.0</v>
      </c>
      <c r="F1448" s="10">
        <v>2.0</v>
      </c>
      <c r="G1448" s="10">
        <v>1.0</v>
      </c>
      <c r="H1448" s="12">
        <f t="shared" si="1"/>
        <v>1.516</v>
      </c>
      <c r="I1448" s="13">
        <v>2.0</v>
      </c>
      <c r="J1448" s="14">
        <f t="shared" si="2"/>
        <v>3.032</v>
      </c>
      <c r="K1448" s="15" t="str">
        <f t="shared" si="3"/>
        <v>Baja</v>
      </c>
    </row>
    <row r="1449" ht="14.25" customHeight="1">
      <c r="A1449" s="6" t="s">
        <v>2869</v>
      </c>
      <c r="B1449" s="27" t="s">
        <v>3875</v>
      </c>
      <c r="C1449" s="10">
        <v>1.0</v>
      </c>
      <c r="D1449" s="10">
        <v>2.0</v>
      </c>
      <c r="E1449" s="10">
        <v>2.0</v>
      </c>
      <c r="F1449" s="10">
        <v>2.0</v>
      </c>
      <c r="G1449" s="10">
        <v>1.0</v>
      </c>
      <c r="H1449" s="12">
        <f t="shared" si="1"/>
        <v>1.516</v>
      </c>
      <c r="I1449" s="13">
        <v>3.0</v>
      </c>
      <c r="J1449" s="14">
        <f t="shared" si="2"/>
        <v>4.548</v>
      </c>
      <c r="K1449" s="15" t="str">
        <f t="shared" si="3"/>
        <v>Media</v>
      </c>
    </row>
    <row r="1450" ht="14.25" customHeight="1">
      <c r="A1450" s="6" t="s">
        <v>2880</v>
      </c>
      <c r="B1450" s="9" t="s">
        <v>3876</v>
      </c>
      <c r="C1450" s="10">
        <v>3.0</v>
      </c>
      <c r="D1450" s="10">
        <v>4.0</v>
      </c>
      <c r="E1450" s="10">
        <v>3.0</v>
      </c>
      <c r="F1450" s="10">
        <v>3.0</v>
      </c>
      <c r="G1450" s="10">
        <v>1.0</v>
      </c>
      <c r="H1450" s="12">
        <f t="shared" si="1"/>
        <v>2.98</v>
      </c>
      <c r="I1450" s="13">
        <v>2.0</v>
      </c>
      <c r="J1450" s="14">
        <f t="shared" si="2"/>
        <v>5.96</v>
      </c>
      <c r="K1450" s="15" t="str">
        <f t="shared" si="3"/>
        <v>Media</v>
      </c>
    </row>
    <row r="1451" ht="14.25" customHeight="1">
      <c r="A1451" s="6" t="s">
        <v>2880</v>
      </c>
      <c r="B1451" s="9" t="s">
        <v>3877</v>
      </c>
      <c r="C1451" s="10">
        <v>3.0</v>
      </c>
      <c r="D1451" s="10">
        <v>4.0</v>
      </c>
      <c r="E1451" s="10">
        <v>3.0</v>
      </c>
      <c r="F1451" s="10">
        <v>1.0</v>
      </c>
      <c r="G1451" s="10">
        <v>1.0</v>
      </c>
      <c r="H1451" s="12">
        <f t="shared" si="1"/>
        <v>2.788</v>
      </c>
      <c r="I1451" s="13">
        <v>2.0</v>
      </c>
      <c r="J1451" s="14">
        <f t="shared" si="2"/>
        <v>5.576</v>
      </c>
      <c r="K1451" s="15" t="str">
        <f t="shared" si="3"/>
        <v>Media</v>
      </c>
    </row>
    <row r="1452" ht="14.25" customHeight="1">
      <c r="A1452" s="6" t="s">
        <v>2880</v>
      </c>
      <c r="B1452" s="9" t="s">
        <v>3878</v>
      </c>
      <c r="C1452" s="10">
        <v>2.0</v>
      </c>
      <c r="D1452" s="10">
        <v>2.0</v>
      </c>
      <c r="E1452" s="10">
        <v>3.0</v>
      </c>
      <c r="F1452" s="10">
        <v>3.0</v>
      </c>
      <c r="G1452" s="10">
        <v>1.0</v>
      </c>
      <c r="H1452" s="12">
        <f t="shared" si="1"/>
        <v>2.236</v>
      </c>
      <c r="I1452" s="13">
        <v>2.0</v>
      </c>
      <c r="J1452" s="14">
        <f t="shared" si="2"/>
        <v>4.472</v>
      </c>
      <c r="K1452" s="15" t="str">
        <f t="shared" si="3"/>
        <v>Media</v>
      </c>
    </row>
    <row r="1453" ht="14.25" customHeight="1">
      <c r="A1453" s="6" t="s">
        <v>2880</v>
      </c>
      <c r="B1453" s="9" t="s">
        <v>3879</v>
      </c>
      <c r="C1453" s="10">
        <v>2.0</v>
      </c>
      <c r="D1453" s="10">
        <v>2.0</v>
      </c>
      <c r="E1453" s="10">
        <v>3.0</v>
      </c>
      <c r="F1453" s="10">
        <v>3.0</v>
      </c>
      <c r="G1453" s="10">
        <v>1.0</v>
      </c>
      <c r="H1453" s="12">
        <f t="shared" si="1"/>
        <v>2.236</v>
      </c>
      <c r="I1453" s="13">
        <v>3.0</v>
      </c>
      <c r="J1453" s="14">
        <f t="shared" si="2"/>
        <v>6.708</v>
      </c>
      <c r="K1453" s="15" t="str">
        <f t="shared" si="3"/>
        <v>Media</v>
      </c>
    </row>
    <row r="1454" ht="14.25" customHeight="1">
      <c r="A1454" s="6" t="s">
        <v>2893</v>
      </c>
      <c r="B1454" s="27" t="s">
        <v>3880</v>
      </c>
      <c r="C1454" s="10">
        <v>3.0</v>
      </c>
      <c r="D1454" s="10">
        <v>4.0</v>
      </c>
      <c r="E1454" s="10">
        <v>3.0</v>
      </c>
      <c r="F1454" s="10">
        <v>3.0</v>
      </c>
      <c r="G1454" s="10">
        <v>1.0</v>
      </c>
      <c r="H1454" s="12">
        <f t="shared" si="1"/>
        <v>2.98</v>
      </c>
      <c r="I1454" s="13">
        <v>2.0</v>
      </c>
      <c r="J1454" s="14">
        <f t="shared" si="2"/>
        <v>5.96</v>
      </c>
      <c r="K1454" s="15" t="str">
        <f t="shared" si="3"/>
        <v>Media</v>
      </c>
    </row>
    <row r="1455" ht="14.25" customHeight="1">
      <c r="A1455" s="6" t="s">
        <v>2893</v>
      </c>
      <c r="B1455" s="27" t="s">
        <v>3881</v>
      </c>
      <c r="C1455" s="10">
        <v>2.0</v>
      </c>
      <c r="D1455" s="10">
        <v>2.0</v>
      </c>
      <c r="E1455" s="10">
        <v>3.0</v>
      </c>
      <c r="F1455" s="10">
        <v>3.0</v>
      </c>
      <c r="G1455" s="10">
        <v>1.0</v>
      </c>
      <c r="H1455" s="12">
        <f t="shared" si="1"/>
        <v>2.236</v>
      </c>
      <c r="I1455" s="13">
        <v>1.0</v>
      </c>
      <c r="J1455" s="14">
        <f t="shared" si="2"/>
        <v>2.236</v>
      </c>
      <c r="K1455" s="15" t="str">
        <f t="shared" si="3"/>
        <v>Baja</v>
      </c>
    </row>
    <row r="1456" ht="14.25" customHeight="1">
      <c r="A1456" s="6" t="s">
        <v>2893</v>
      </c>
      <c r="B1456" s="27" t="s">
        <v>3882</v>
      </c>
      <c r="C1456" s="10">
        <v>2.0</v>
      </c>
      <c r="D1456" s="10">
        <v>2.0</v>
      </c>
      <c r="E1456" s="10">
        <v>3.0</v>
      </c>
      <c r="F1456" s="10">
        <v>1.0</v>
      </c>
      <c r="G1456" s="10">
        <v>1.0</v>
      </c>
      <c r="H1456" s="12">
        <f t="shared" si="1"/>
        <v>2.044</v>
      </c>
      <c r="I1456" s="13">
        <v>3.0</v>
      </c>
      <c r="J1456" s="14">
        <f t="shared" si="2"/>
        <v>6.132</v>
      </c>
      <c r="K1456" s="15" t="str">
        <f t="shared" si="3"/>
        <v>Media</v>
      </c>
    </row>
    <row r="1457" ht="14.25" customHeight="1">
      <c r="A1457" s="6" t="s">
        <v>2901</v>
      </c>
      <c r="B1457" s="9" t="s">
        <v>3883</v>
      </c>
      <c r="C1457" s="10">
        <v>1.0</v>
      </c>
      <c r="D1457" s="10">
        <v>4.0</v>
      </c>
      <c r="E1457" s="10">
        <v>3.0</v>
      </c>
      <c r="F1457" s="10">
        <v>3.0</v>
      </c>
      <c r="G1457" s="10">
        <v>1.0</v>
      </c>
      <c r="H1457" s="12">
        <f t="shared" si="1"/>
        <v>2.212</v>
      </c>
      <c r="I1457" s="13">
        <v>2.0</v>
      </c>
      <c r="J1457" s="14">
        <f t="shared" si="2"/>
        <v>4.424</v>
      </c>
      <c r="K1457" s="15" t="str">
        <f t="shared" si="3"/>
        <v>Media</v>
      </c>
    </row>
    <row r="1458" ht="14.25" customHeight="1">
      <c r="A1458" s="6" t="s">
        <v>2901</v>
      </c>
      <c r="B1458" s="9" t="s">
        <v>3880</v>
      </c>
      <c r="C1458" s="10">
        <v>1.0</v>
      </c>
      <c r="D1458" s="10">
        <v>4.0</v>
      </c>
      <c r="E1458" s="10">
        <v>3.0</v>
      </c>
      <c r="F1458" s="10">
        <v>3.0</v>
      </c>
      <c r="G1458" s="10">
        <v>1.0</v>
      </c>
      <c r="H1458" s="12">
        <f t="shared" si="1"/>
        <v>2.212</v>
      </c>
      <c r="I1458" s="13">
        <v>2.0</v>
      </c>
      <c r="J1458" s="14">
        <f t="shared" si="2"/>
        <v>4.424</v>
      </c>
      <c r="K1458" s="15" t="str">
        <f t="shared" si="3"/>
        <v>Media</v>
      </c>
    </row>
    <row r="1459" ht="14.25" customHeight="1">
      <c r="A1459" s="6" t="s">
        <v>2901</v>
      </c>
      <c r="B1459" s="9" t="s">
        <v>3884</v>
      </c>
      <c r="C1459" s="10">
        <v>1.0</v>
      </c>
      <c r="D1459" s="10">
        <v>4.0</v>
      </c>
      <c r="E1459" s="10">
        <v>3.0</v>
      </c>
      <c r="F1459" s="10">
        <v>3.0</v>
      </c>
      <c r="G1459" s="10">
        <v>1.0</v>
      </c>
      <c r="H1459" s="12">
        <f t="shared" si="1"/>
        <v>2.212</v>
      </c>
      <c r="I1459" s="13">
        <v>2.0</v>
      </c>
      <c r="J1459" s="14">
        <f t="shared" si="2"/>
        <v>4.424</v>
      </c>
      <c r="K1459" s="15" t="str">
        <f t="shared" si="3"/>
        <v>Media</v>
      </c>
    </row>
    <row r="1460" ht="14.25" customHeight="1">
      <c r="A1460" s="6" t="s">
        <v>2901</v>
      </c>
      <c r="B1460" s="9" t="s">
        <v>3882</v>
      </c>
      <c r="C1460" s="10">
        <v>1.0</v>
      </c>
      <c r="D1460" s="10">
        <v>2.0</v>
      </c>
      <c r="E1460" s="10">
        <v>3.0</v>
      </c>
      <c r="F1460" s="10">
        <v>1.0</v>
      </c>
      <c r="G1460" s="10">
        <v>1.0</v>
      </c>
      <c r="H1460" s="12">
        <f t="shared" si="1"/>
        <v>1.66</v>
      </c>
      <c r="I1460" s="13">
        <v>3.0</v>
      </c>
      <c r="J1460" s="14">
        <f t="shared" si="2"/>
        <v>4.98</v>
      </c>
      <c r="K1460" s="15" t="str">
        <f t="shared" si="3"/>
        <v>Media</v>
      </c>
    </row>
    <row r="1461" ht="14.25" customHeight="1">
      <c r="A1461" s="6" t="s">
        <v>2911</v>
      </c>
      <c r="B1461" s="27" t="s">
        <v>3885</v>
      </c>
      <c r="C1461" s="10">
        <v>1.0</v>
      </c>
      <c r="D1461" s="10">
        <v>4.0</v>
      </c>
      <c r="E1461" s="10">
        <v>3.0</v>
      </c>
      <c r="F1461" s="10">
        <v>4.0</v>
      </c>
      <c r="G1461" s="10">
        <v>1.0</v>
      </c>
      <c r="H1461" s="12">
        <f t="shared" si="1"/>
        <v>2.308</v>
      </c>
      <c r="I1461" s="13">
        <v>2.0</v>
      </c>
      <c r="J1461" s="14">
        <f t="shared" si="2"/>
        <v>4.616</v>
      </c>
      <c r="K1461" s="15" t="str">
        <f t="shared" si="3"/>
        <v>Media</v>
      </c>
    </row>
    <row r="1462" ht="14.25" customHeight="1">
      <c r="A1462" s="6" t="s">
        <v>2911</v>
      </c>
      <c r="B1462" s="27" t="s">
        <v>3886</v>
      </c>
      <c r="C1462" s="10">
        <v>1.0</v>
      </c>
      <c r="D1462" s="10">
        <v>2.0</v>
      </c>
      <c r="E1462" s="10">
        <v>3.0</v>
      </c>
      <c r="F1462" s="10">
        <v>4.0</v>
      </c>
      <c r="G1462" s="10">
        <v>1.0</v>
      </c>
      <c r="H1462" s="12">
        <f t="shared" si="1"/>
        <v>1.948</v>
      </c>
      <c r="I1462" s="13">
        <v>3.0</v>
      </c>
      <c r="J1462" s="14">
        <f t="shared" si="2"/>
        <v>5.844</v>
      </c>
      <c r="K1462" s="15" t="str">
        <f t="shared" si="3"/>
        <v>Media</v>
      </c>
    </row>
    <row r="1463" ht="14.25" customHeight="1">
      <c r="A1463" s="6" t="s">
        <v>2911</v>
      </c>
      <c r="B1463" s="27" t="s">
        <v>3887</v>
      </c>
      <c r="C1463" s="10">
        <v>1.0</v>
      </c>
      <c r="D1463" s="10">
        <v>2.0</v>
      </c>
      <c r="E1463" s="10">
        <v>3.0</v>
      </c>
      <c r="F1463" s="10">
        <v>2.0</v>
      </c>
      <c r="G1463" s="10">
        <v>1.0</v>
      </c>
      <c r="H1463" s="12">
        <f t="shared" si="1"/>
        <v>1.756</v>
      </c>
      <c r="I1463" s="13">
        <v>2.0</v>
      </c>
      <c r="J1463" s="14">
        <f t="shared" si="2"/>
        <v>3.512</v>
      </c>
      <c r="K1463" s="15" t="str">
        <f t="shared" si="3"/>
        <v>Baja</v>
      </c>
    </row>
    <row r="1464" ht="14.25" customHeight="1">
      <c r="A1464" s="6" t="s">
        <v>2924</v>
      </c>
      <c r="B1464" s="9" t="s">
        <v>1339</v>
      </c>
      <c r="C1464" s="10">
        <v>1.0</v>
      </c>
      <c r="D1464" s="10">
        <v>2.0</v>
      </c>
      <c r="E1464" s="10">
        <v>3.0</v>
      </c>
      <c r="F1464" s="10">
        <v>2.0</v>
      </c>
      <c r="G1464" s="10">
        <v>1.0</v>
      </c>
      <c r="H1464" s="12">
        <f t="shared" si="1"/>
        <v>1.756</v>
      </c>
      <c r="I1464" s="13">
        <v>3.0</v>
      </c>
      <c r="J1464" s="14">
        <f t="shared" si="2"/>
        <v>5.268</v>
      </c>
      <c r="K1464" s="15" t="str">
        <f t="shared" si="3"/>
        <v>Media</v>
      </c>
    </row>
    <row r="1465" ht="14.25" customHeight="1">
      <c r="A1465" s="6" t="s">
        <v>2924</v>
      </c>
      <c r="B1465" s="9" t="s">
        <v>1786</v>
      </c>
      <c r="C1465" s="10">
        <v>1.0</v>
      </c>
      <c r="D1465" s="10">
        <v>2.0</v>
      </c>
      <c r="E1465" s="10">
        <v>2.0</v>
      </c>
      <c r="F1465" s="10">
        <v>1.0</v>
      </c>
      <c r="G1465" s="10">
        <v>1.0</v>
      </c>
      <c r="H1465" s="12">
        <f t="shared" si="1"/>
        <v>1.42</v>
      </c>
      <c r="I1465" s="13">
        <v>3.0</v>
      </c>
      <c r="J1465" s="14">
        <f t="shared" si="2"/>
        <v>4.26</v>
      </c>
      <c r="K1465" s="15" t="str">
        <f t="shared" si="3"/>
        <v>Media</v>
      </c>
    </row>
    <row r="1466" ht="14.25" customHeight="1">
      <c r="A1466" s="6" t="s">
        <v>2924</v>
      </c>
      <c r="B1466" s="9" t="s">
        <v>1350</v>
      </c>
      <c r="C1466" s="10">
        <v>1.0</v>
      </c>
      <c r="D1466" s="10">
        <v>1.0</v>
      </c>
      <c r="E1466" s="10">
        <v>2.0</v>
      </c>
      <c r="F1466" s="10">
        <v>1.0</v>
      </c>
      <c r="G1466" s="10">
        <v>1.0</v>
      </c>
      <c r="H1466" s="12">
        <f t="shared" si="1"/>
        <v>1.24</v>
      </c>
      <c r="I1466" s="13">
        <v>3.0</v>
      </c>
      <c r="J1466" s="14">
        <f t="shared" si="2"/>
        <v>3.72</v>
      </c>
      <c r="K1466" s="15" t="str">
        <f t="shared" si="3"/>
        <v>Baja</v>
      </c>
    </row>
    <row r="1467" ht="14.25" customHeight="1">
      <c r="A1467" s="6" t="s">
        <v>2924</v>
      </c>
      <c r="B1467" s="9" t="s">
        <v>1794</v>
      </c>
      <c r="C1467" s="10">
        <v>1.0</v>
      </c>
      <c r="D1467" s="10">
        <v>1.0</v>
      </c>
      <c r="E1467" s="10">
        <v>3.0</v>
      </c>
      <c r="F1467" s="10">
        <v>3.0</v>
      </c>
      <c r="G1467" s="10">
        <v>1.0</v>
      </c>
      <c r="H1467" s="12">
        <f t="shared" si="1"/>
        <v>1.672</v>
      </c>
      <c r="I1467" s="13">
        <v>2.0</v>
      </c>
      <c r="J1467" s="14">
        <f t="shared" si="2"/>
        <v>3.344</v>
      </c>
      <c r="K1467" s="15" t="str">
        <f t="shared" si="3"/>
        <v>Baja</v>
      </c>
    </row>
    <row r="1468" ht="14.25" customHeight="1">
      <c r="A1468" s="6" t="s">
        <v>2924</v>
      </c>
      <c r="B1468" s="9" t="s">
        <v>2376</v>
      </c>
      <c r="C1468" s="10">
        <v>1.0</v>
      </c>
      <c r="D1468" s="10">
        <v>1.0</v>
      </c>
      <c r="E1468" s="10">
        <v>2.0</v>
      </c>
      <c r="F1468" s="10">
        <v>1.0</v>
      </c>
      <c r="G1468" s="10">
        <v>1.0</v>
      </c>
      <c r="H1468" s="12">
        <f t="shared" si="1"/>
        <v>1.24</v>
      </c>
      <c r="I1468" s="13">
        <v>3.0</v>
      </c>
      <c r="J1468" s="14">
        <f t="shared" si="2"/>
        <v>3.72</v>
      </c>
      <c r="K1468" s="15" t="str">
        <f t="shared" si="3"/>
        <v>Baja</v>
      </c>
    </row>
    <row r="1469" ht="14.25" customHeight="1">
      <c r="A1469" s="6" t="s">
        <v>2932</v>
      </c>
      <c r="B1469" s="27" t="s">
        <v>3888</v>
      </c>
      <c r="C1469" s="10">
        <v>1.0</v>
      </c>
      <c r="D1469" s="10">
        <v>4.0</v>
      </c>
      <c r="E1469" s="10">
        <v>3.0</v>
      </c>
      <c r="F1469" s="10">
        <v>3.0</v>
      </c>
      <c r="G1469" s="10">
        <v>1.0</v>
      </c>
      <c r="H1469" s="12">
        <f t="shared" si="1"/>
        <v>2.212</v>
      </c>
      <c r="I1469" s="13">
        <v>2.0</v>
      </c>
      <c r="J1469" s="14">
        <f t="shared" si="2"/>
        <v>4.424</v>
      </c>
      <c r="K1469" s="15" t="str">
        <f t="shared" si="3"/>
        <v>Media</v>
      </c>
    </row>
    <row r="1470" ht="14.25" customHeight="1">
      <c r="A1470" s="6" t="s">
        <v>2932</v>
      </c>
      <c r="B1470" s="27" t="s">
        <v>3889</v>
      </c>
      <c r="C1470" s="10">
        <v>1.0</v>
      </c>
      <c r="D1470" s="10">
        <v>4.0</v>
      </c>
      <c r="E1470" s="10">
        <v>3.0</v>
      </c>
      <c r="F1470" s="10">
        <v>3.0</v>
      </c>
      <c r="G1470" s="10">
        <v>1.0</v>
      </c>
      <c r="H1470" s="12">
        <f t="shared" si="1"/>
        <v>2.212</v>
      </c>
      <c r="I1470" s="13">
        <v>1.0</v>
      </c>
      <c r="J1470" s="14">
        <f t="shared" si="2"/>
        <v>2.212</v>
      </c>
      <c r="K1470" s="15" t="str">
        <f t="shared" si="3"/>
        <v>Baja</v>
      </c>
    </row>
    <row r="1471" ht="14.25" customHeight="1">
      <c r="A1471" s="6" t="s">
        <v>2932</v>
      </c>
      <c r="B1471" s="27" t="s">
        <v>3872</v>
      </c>
      <c r="C1471" s="10">
        <v>1.0</v>
      </c>
      <c r="D1471" s="10">
        <v>2.0</v>
      </c>
      <c r="E1471" s="10">
        <v>3.0</v>
      </c>
      <c r="F1471" s="10">
        <v>1.0</v>
      </c>
      <c r="G1471" s="10">
        <v>1.0</v>
      </c>
      <c r="H1471" s="12">
        <f t="shared" si="1"/>
        <v>1.66</v>
      </c>
      <c r="I1471" s="13">
        <v>2.0</v>
      </c>
      <c r="J1471" s="14">
        <f t="shared" si="2"/>
        <v>3.32</v>
      </c>
      <c r="K1471" s="15" t="str">
        <f t="shared" si="3"/>
        <v>Baja</v>
      </c>
    </row>
    <row r="1472" ht="14.25" customHeight="1">
      <c r="A1472" s="6" t="s">
        <v>2943</v>
      </c>
      <c r="B1472" s="9" t="s">
        <v>3891</v>
      </c>
      <c r="C1472" s="10">
        <v>1.0</v>
      </c>
      <c r="D1472" s="10">
        <v>4.0</v>
      </c>
      <c r="E1472" s="10">
        <v>3.0</v>
      </c>
      <c r="F1472" s="10">
        <v>3.0</v>
      </c>
      <c r="G1472" s="10">
        <v>1.0</v>
      </c>
      <c r="H1472" s="12">
        <f t="shared" si="1"/>
        <v>2.212</v>
      </c>
      <c r="I1472" s="13">
        <v>1.0</v>
      </c>
      <c r="J1472" s="14">
        <f t="shared" si="2"/>
        <v>2.212</v>
      </c>
      <c r="K1472" s="15" t="str">
        <f t="shared" si="3"/>
        <v>Baja</v>
      </c>
    </row>
    <row r="1473" ht="14.25" customHeight="1">
      <c r="A1473" s="6" t="s">
        <v>2943</v>
      </c>
      <c r="B1473" s="9" t="s">
        <v>3874</v>
      </c>
      <c r="C1473" s="10">
        <v>1.0</v>
      </c>
      <c r="D1473" s="10">
        <v>2.0</v>
      </c>
      <c r="E1473" s="10">
        <v>2.0</v>
      </c>
      <c r="F1473" s="10">
        <v>2.0</v>
      </c>
      <c r="G1473" s="10">
        <v>1.0</v>
      </c>
      <c r="H1473" s="12">
        <f t="shared" si="1"/>
        <v>1.516</v>
      </c>
      <c r="I1473" s="13">
        <v>2.0</v>
      </c>
      <c r="J1473" s="14">
        <f t="shared" si="2"/>
        <v>3.032</v>
      </c>
      <c r="K1473" s="15" t="str">
        <f t="shared" si="3"/>
        <v>Baja</v>
      </c>
    </row>
    <row r="1474" ht="14.25" customHeight="1">
      <c r="A1474" s="6" t="s">
        <v>2943</v>
      </c>
      <c r="B1474" s="9" t="s">
        <v>3875</v>
      </c>
      <c r="C1474" s="10">
        <v>1.0</v>
      </c>
      <c r="D1474" s="10">
        <v>2.0</v>
      </c>
      <c r="E1474" s="10">
        <v>2.0</v>
      </c>
      <c r="F1474" s="10">
        <v>2.0</v>
      </c>
      <c r="G1474" s="10">
        <v>1.0</v>
      </c>
      <c r="H1474" s="12">
        <f t="shared" si="1"/>
        <v>1.516</v>
      </c>
      <c r="I1474" s="13">
        <v>3.0</v>
      </c>
      <c r="J1474" s="14">
        <f t="shared" si="2"/>
        <v>4.548</v>
      </c>
      <c r="K1474" s="15" t="str">
        <f t="shared" si="3"/>
        <v>Media</v>
      </c>
    </row>
    <row r="1475" ht="14.25" customHeight="1">
      <c r="A1475" s="6" t="s">
        <v>2947</v>
      </c>
      <c r="B1475" s="27" t="s">
        <v>3894</v>
      </c>
      <c r="C1475" s="10">
        <v>3.0</v>
      </c>
      <c r="D1475" s="10">
        <v>4.0</v>
      </c>
      <c r="E1475" s="10">
        <v>3.0</v>
      </c>
      <c r="F1475" s="10">
        <v>2.0</v>
      </c>
      <c r="G1475" s="10">
        <v>1.0</v>
      </c>
      <c r="H1475" s="12">
        <f t="shared" si="1"/>
        <v>2.884</v>
      </c>
      <c r="I1475" s="13">
        <v>2.0</v>
      </c>
      <c r="J1475" s="14">
        <f t="shared" si="2"/>
        <v>5.768</v>
      </c>
      <c r="K1475" s="15" t="str">
        <f t="shared" si="3"/>
        <v>Media</v>
      </c>
    </row>
    <row r="1476" ht="14.25" customHeight="1">
      <c r="A1476" s="6" t="s">
        <v>2947</v>
      </c>
      <c r="B1476" s="27" t="s">
        <v>3895</v>
      </c>
      <c r="C1476" s="10">
        <v>3.0</v>
      </c>
      <c r="D1476" s="10">
        <v>4.0</v>
      </c>
      <c r="E1476" s="10">
        <v>3.0</v>
      </c>
      <c r="F1476" s="10">
        <v>2.0</v>
      </c>
      <c r="G1476" s="10">
        <v>1.0</v>
      </c>
      <c r="H1476" s="12">
        <f t="shared" si="1"/>
        <v>2.884</v>
      </c>
      <c r="I1476" s="13">
        <v>1.0</v>
      </c>
      <c r="J1476" s="14">
        <f t="shared" si="2"/>
        <v>2.884</v>
      </c>
      <c r="K1476" s="15" t="str">
        <f t="shared" si="3"/>
        <v>Baja</v>
      </c>
    </row>
    <row r="1477" ht="14.25" customHeight="1">
      <c r="A1477" s="6" t="s">
        <v>2947</v>
      </c>
      <c r="B1477" s="27" t="s">
        <v>3896</v>
      </c>
      <c r="C1477" s="10">
        <v>2.0</v>
      </c>
      <c r="D1477" s="10">
        <v>2.0</v>
      </c>
      <c r="E1477" s="10">
        <v>2.0</v>
      </c>
      <c r="F1477" s="10">
        <v>1.0</v>
      </c>
      <c r="G1477" s="10">
        <v>1.0</v>
      </c>
      <c r="H1477" s="12">
        <f t="shared" si="1"/>
        <v>1.804</v>
      </c>
      <c r="I1477" s="13">
        <v>3.0</v>
      </c>
      <c r="J1477" s="14">
        <f t="shared" si="2"/>
        <v>5.412</v>
      </c>
      <c r="K1477" s="15" t="str">
        <f t="shared" si="3"/>
        <v>Media</v>
      </c>
    </row>
    <row r="1478" ht="14.25" customHeight="1">
      <c r="A1478" s="6" t="s">
        <v>2947</v>
      </c>
      <c r="B1478" s="27" t="s">
        <v>3897</v>
      </c>
      <c r="C1478" s="10">
        <v>2.0</v>
      </c>
      <c r="D1478" s="10">
        <v>2.0</v>
      </c>
      <c r="E1478" s="10">
        <v>3.0</v>
      </c>
      <c r="F1478" s="10">
        <v>2.0</v>
      </c>
      <c r="G1478" s="10">
        <v>1.0</v>
      </c>
      <c r="H1478" s="12">
        <f t="shared" si="1"/>
        <v>2.14</v>
      </c>
      <c r="I1478" s="13">
        <v>3.0</v>
      </c>
      <c r="J1478" s="14">
        <f t="shared" si="2"/>
        <v>6.42</v>
      </c>
      <c r="K1478" s="15" t="str">
        <f t="shared" si="3"/>
        <v>Media</v>
      </c>
    </row>
    <row r="1479" ht="14.25" customHeight="1">
      <c r="A1479" s="6" t="s">
        <v>2965</v>
      </c>
      <c r="B1479" s="9" t="s">
        <v>3900</v>
      </c>
      <c r="C1479" s="10">
        <v>1.0</v>
      </c>
      <c r="D1479" s="10">
        <v>1.0</v>
      </c>
      <c r="E1479" s="10">
        <v>3.0</v>
      </c>
      <c r="F1479" s="10">
        <v>2.0</v>
      </c>
      <c r="G1479" s="10">
        <v>1.0</v>
      </c>
      <c r="H1479" s="12">
        <f t="shared" si="1"/>
        <v>1.576</v>
      </c>
      <c r="I1479" s="13">
        <v>2.0</v>
      </c>
      <c r="J1479" s="14">
        <f t="shared" si="2"/>
        <v>3.152</v>
      </c>
      <c r="K1479" s="15" t="str">
        <f t="shared" si="3"/>
        <v>Baja</v>
      </c>
    </row>
    <row r="1480" ht="14.25" customHeight="1">
      <c r="A1480" s="6" t="s">
        <v>2965</v>
      </c>
      <c r="B1480" s="9" t="s">
        <v>3901</v>
      </c>
      <c r="C1480" s="10">
        <v>1.0</v>
      </c>
      <c r="D1480" s="10">
        <v>1.0</v>
      </c>
      <c r="E1480" s="10">
        <v>2.0</v>
      </c>
      <c r="F1480" s="10">
        <v>1.0</v>
      </c>
      <c r="G1480" s="10">
        <v>1.0</v>
      </c>
      <c r="H1480" s="12">
        <f t="shared" si="1"/>
        <v>1.24</v>
      </c>
      <c r="I1480" s="13">
        <v>3.0</v>
      </c>
      <c r="J1480" s="14">
        <f t="shared" si="2"/>
        <v>3.72</v>
      </c>
      <c r="K1480" s="15" t="str">
        <f t="shared" si="3"/>
        <v>Baja</v>
      </c>
    </row>
    <row r="1481" ht="14.25" customHeight="1">
      <c r="A1481" s="6" t="s">
        <v>2965</v>
      </c>
      <c r="B1481" s="9" t="s">
        <v>3903</v>
      </c>
      <c r="C1481" s="10">
        <v>1.0</v>
      </c>
      <c r="D1481" s="10">
        <v>1.0</v>
      </c>
      <c r="E1481" s="10">
        <v>2.0</v>
      </c>
      <c r="F1481" s="10">
        <v>2.0</v>
      </c>
      <c r="G1481" s="10">
        <v>1.0</v>
      </c>
      <c r="H1481" s="12">
        <f t="shared" si="1"/>
        <v>1.336</v>
      </c>
      <c r="I1481" s="13">
        <v>3.0</v>
      </c>
      <c r="J1481" s="14">
        <f t="shared" si="2"/>
        <v>4.008</v>
      </c>
      <c r="K1481" s="15" t="str">
        <f t="shared" si="3"/>
        <v>Media</v>
      </c>
    </row>
    <row r="1482" ht="14.25" customHeight="1">
      <c r="A1482" s="6" t="s">
        <v>2977</v>
      </c>
      <c r="B1482" s="27" t="s">
        <v>3904</v>
      </c>
      <c r="C1482" s="10">
        <v>4.0</v>
      </c>
      <c r="D1482" s="10">
        <v>2.0</v>
      </c>
      <c r="E1482" s="10">
        <v>3.0</v>
      </c>
      <c r="F1482" s="10">
        <v>2.0</v>
      </c>
      <c r="G1482" s="10">
        <v>1.0</v>
      </c>
      <c r="H1482" s="12">
        <f t="shared" si="1"/>
        <v>2.908</v>
      </c>
      <c r="I1482" s="13">
        <v>1.0</v>
      </c>
      <c r="J1482" s="14">
        <f t="shared" si="2"/>
        <v>2.908</v>
      </c>
      <c r="K1482" s="15" t="str">
        <f t="shared" si="3"/>
        <v>Baja</v>
      </c>
    </row>
    <row r="1483" ht="14.25" customHeight="1">
      <c r="A1483" s="6" t="s">
        <v>2977</v>
      </c>
      <c r="B1483" s="27" t="s">
        <v>3905</v>
      </c>
      <c r="C1483" s="10">
        <v>3.0</v>
      </c>
      <c r="D1483" s="10">
        <v>1.0</v>
      </c>
      <c r="E1483" s="10">
        <v>3.0</v>
      </c>
      <c r="F1483" s="10">
        <v>1.0</v>
      </c>
      <c r="G1483" s="10">
        <v>1.0</v>
      </c>
      <c r="H1483" s="12">
        <f t="shared" si="1"/>
        <v>2.248</v>
      </c>
      <c r="I1483" s="13">
        <v>1.0</v>
      </c>
      <c r="J1483" s="14">
        <f t="shared" si="2"/>
        <v>2.248</v>
      </c>
      <c r="K1483" s="15" t="str">
        <f t="shared" si="3"/>
        <v>Baja</v>
      </c>
    </row>
    <row r="1484" ht="14.25" customHeight="1">
      <c r="A1484" s="6" t="s">
        <v>2987</v>
      </c>
      <c r="B1484" s="9" t="s">
        <v>3908</v>
      </c>
      <c r="C1484" s="10">
        <v>4.0</v>
      </c>
      <c r="D1484" s="10">
        <v>2.0</v>
      </c>
      <c r="E1484" s="10">
        <v>3.0</v>
      </c>
      <c r="F1484" s="10">
        <v>2.0</v>
      </c>
      <c r="G1484" s="10">
        <v>1.0</v>
      </c>
      <c r="H1484" s="12">
        <f t="shared" si="1"/>
        <v>2.908</v>
      </c>
      <c r="I1484" s="13">
        <v>2.0</v>
      </c>
      <c r="J1484" s="14">
        <f t="shared" si="2"/>
        <v>5.816</v>
      </c>
      <c r="K1484" s="15" t="str">
        <f t="shared" si="3"/>
        <v>Media</v>
      </c>
    </row>
    <row r="1485" ht="14.25" customHeight="1">
      <c r="A1485" s="6" t="s">
        <v>2987</v>
      </c>
      <c r="B1485" s="9" t="s">
        <v>3910</v>
      </c>
      <c r="C1485" s="10">
        <v>4.0</v>
      </c>
      <c r="D1485" s="10">
        <v>2.0</v>
      </c>
      <c r="E1485" s="10">
        <v>3.0</v>
      </c>
      <c r="F1485" s="10">
        <v>1.0</v>
      </c>
      <c r="G1485" s="10">
        <v>1.0</v>
      </c>
      <c r="H1485" s="12">
        <f t="shared" si="1"/>
        <v>2.812</v>
      </c>
      <c r="I1485" s="13">
        <v>2.0</v>
      </c>
      <c r="J1485" s="14">
        <f t="shared" si="2"/>
        <v>5.624</v>
      </c>
      <c r="K1485" s="15" t="str">
        <f t="shared" si="3"/>
        <v>Media</v>
      </c>
    </row>
    <row r="1486" ht="14.25" customHeight="1">
      <c r="A1486" s="6" t="s">
        <v>2987</v>
      </c>
      <c r="B1486" s="9" t="s">
        <v>3911</v>
      </c>
      <c r="C1486" s="10">
        <v>3.0</v>
      </c>
      <c r="D1486" s="10">
        <v>1.0</v>
      </c>
      <c r="E1486" s="10">
        <v>3.0</v>
      </c>
      <c r="F1486" s="10">
        <v>1.0</v>
      </c>
      <c r="G1486" s="10">
        <v>1.0</v>
      </c>
      <c r="H1486" s="12">
        <f t="shared" si="1"/>
        <v>2.248</v>
      </c>
      <c r="I1486" s="13">
        <v>2.0</v>
      </c>
      <c r="J1486" s="14">
        <f t="shared" si="2"/>
        <v>4.496</v>
      </c>
      <c r="K1486" s="15" t="str">
        <f t="shared" si="3"/>
        <v>Media</v>
      </c>
    </row>
    <row r="1487" ht="14.25" customHeight="1">
      <c r="A1487" s="6" t="s">
        <v>3000</v>
      </c>
      <c r="B1487" s="27" t="s">
        <v>3912</v>
      </c>
      <c r="C1487" s="10">
        <v>4.0</v>
      </c>
      <c r="D1487" s="10">
        <v>2.0</v>
      </c>
      <c r="E1487" s="10">
        <v>3.0</v>
      </c>
      <c r="F1487" s="10">
        <v>1.0</v>
      </c>
      <c r="G1487" s="10">
        <v>1.0</v>
      </c>
      <c r="H1487" s="12">
        <f t="shared" si="1"/>
        <v>2.812</v>
      </c>
      <c r="I1487" s="13">
        <v>1.0</v>
      </c>
      <c r="J1487" s="14">
        <f t="shared" si="2"/>
        <v>2.812</v>
      </c>
      <c r="K1487" s="15" t="str">
        <f t="shared" si="3"/>
        <v>Baja</v>
      </c>
    </row>
    <row r="1488" ht="14.25" customHeight="1">
      <c r="A1488" s="6" t="s">
        <v>3000</v>
      </c>
      <c r="B1488" s="27" t="s">
        <v>3913</v>
      </c>
      <c r="C1488" s="10">
        <v>3.0</v>
      </c>
      <c r="D1488" s="10">
        <v>1.0</v>
      </c>
      <c r="E1488" s="10">
        <v>2.0</v>
      </c>
      <c r="F1488" s="10">
        <v>2.0</v>
      </c>
      <c r="G1488" s="10">
        <v>1.0</v>
      </c>
      <c r="H1488" s="12">
        <f t="shared" si="1"/>
        <v>2.104</v>
      </c>
      <c r="I1488" s="13">
        <v>2.0</v>
      </c>
      <c r="J1488" s="14">
        <f t="shared" si="2"/>
        <v>4.208</v>
      </c>
      <c r="K1488" s="15" t="str">
        <f t="shared" si="3"/>
        <v>Media</v>
      </c>
    </row>
    <row r="1489" ht="14.25" customHeight="1">
      <c r="A1489" s="6" t="s">
        <v>3007</v>
      </c>
      <c r="B1489" s="9" t="s">
        <v>3914</v>
      </c>
      <c r="C1489" s="10">
        <v>4.0</v>
      </c>
      <c r="D1489" s="10">
        <v>2.0</v>
      </c>
      <c r="E1489" s="10">
        <v>3.0</v>
      </c>
      <c r="F1489" s="10">
        <v>1.0</v>
      </c>
      <c r="G1489" s="10">
        <v>1.0</v>
      </c>
      <c r="H1489" s="12">
        <f t="shared" si="1"/>
        <v>2.812</v>
      </c>
      <c r="I1489" s="13">
        <v>3.0</v>
      </c>
      <c r="J1489" s="14">
        <f t="shared" si="2"/>
        <v>8.436</v>
      </c>
      <c r="K1489" s="15" t="str">
        <f t="shared" si="3"/>
        <v>Media</v>
      </c>
    </row>
    <row r="1490" ht="14.25" customHeight="1">
      <c r="A1490" s="6" t="s">
        <v>3007</v>
      </c>
      <c r="B1490" s="9" t="s">
        <v>3916</v>
      </c>
      <c r="C1490" s="10">
        <v>3.0</v>
      </c>
      <c r="D1490" s="10">
        <v>1.0</v>
      </c>
      <c r="E1490" s="10">
        <v>3.0</v>
      </c>
      <c r="F1490" s="10">
        <v>2.0</v>
      </c>
      <c r="G1490" s="10">
        <v>1.0</v>
      </c>
      <c r="H1490" s="12">
        <f t="shared" si="1"/>
        <v>2.344</v>
      </c>
      <c r="I1490" s="13">
        <v>2.0</v>
      </c>
      <c r="J1490" s="14">
        <f t="shared" si="2"/>
        <v>4.688</v>
      </c>
      <c r="K1490" s="15" t="str">
        <f t="shared" si="3"/>
        <v>Media</v>
      </c>
    </row>
    <row r="1491" ht="14.25" customHeight="1">
      <c r="A1491" s="6" t="s">
        <v>3014</v>
      </c>
      <c r="B1491" s="27" t="s">
        <v>3918</v>
      </c>
      <c r="C1491" s="10">
        <v>1.0</v>
      </c>
      <c r="D1491" s="10">
        <v>2.0</v>
      </c>
      <c r="E1491" s="10">
        <v>3.0</v>
      </c>
      <c r="F1491" s="10">
        <v>1.0</v>
      </c>
      <c r="G1491" s="10">
        <v>1.0</v>
      </c>
      <c r="H1491" s="12">
        <f t="shared" si="1"/>
        <v>1.66</v>
      </c>
      <c r="I1491" s="13">
        <v>2.0</v>
      </c>
      <c r="J1491" s="14">
        <f t="shared" si="2"/>
        <v>3.32</v>
      </c>
      <c r="K1491" s="15" t="str">
        <f t="shared" si="3"/>
        <v>Baja</v>
      </c>
    </row>
    <row r="1492" ht="14.25" customHeight="1">
      <c r="A1492" s="6" t="s">
        <v>3014</v>
      </c>
      <c r="B1492" s="27" t="s">
        <v>3919</v>
      </c>
      <c r="C1492" s="10">
        <v>1.0</v>
      </c>
      <c r="D1492" s="10">
        <v>1.0</v>
      </c>
      <c r="E1492" s="10">
        <v>3.0</v>
      </c>
      <c r="F1492" s="10">
        <v>2.0</v>
      </c>
      <c r="G1492" s="10">
        <v>1.0</v>
      </c>
      <c r="H1492" s="12">
        <f t="shared" si="1"/>
        <v>1.576</v>
      </c>
      <c r="I1492" s="13">
        <v>3.0</v>
      </c>
      <c r="J1492" s="14">
        <f t="shared" si="2"/>
        <v>4.728</v>
      </c>
      <c r="K1492" s="15" t="str">
        <f t="shared" si="3"/>
        <v>Media</v>
      </c>
    </row>
    <row r="1493" ht="14.25" customHeight="1">
      <c r="A1493" s="6" t="s">
        <v>3030</v>
      </c>
      <c r="B1493" s="9" t="s">
        <v>3920</v>
      </c>
      <c r="C1493" s="10">
        <v>1.0</v>
      </c>
      <c r="D1493" s="10">
        <v>2.0</v>
      </c>
      <c r="E1493" s="10">
        <v>3.0</v>
      </c>
      <c r="F1493" s="10">
        <v>2.0</v>
      </c>
      <c r="G1493" s="10">
        <v>1.0</v>
      </c>
      <c r="H1493" s="12">
        <f t="shared" si="1"/>
        <v>1.756</v>
      </c>
      <c r="I1493" s="13">
        <v>2.0</v>
      </c>
      <c r="J1493" s="14">
        <f t="shared" si="2"/>
        <v>3.512</v>
      </c>
      <c r="K1493" s="15" t="str">
        <f t="shared" si="3"/>
        <v>Baja</v>
      </c>
    </row>
    <row r="1494" ht="14.25" customHeight="1">
      <c r="A1494" s="6" t="s">
        <v>3030</v>
      </c>
      <c r="B1494" s="9" t="s">
        <v>3921</v>
      </c>
      <c r="C1494" s="10">
        <v>1.0</v>
      </c>
      <c r="D1494" s="10">
        <v>2.0</v>
      </c>
      <c r="E1494" s="10">
        <v>2.0</v>
      </c>
      <c r="F1494" s="10">
        <v>1.0</v>
      </c>
      <c r="G1494" s="10">
        <v>1.0</v>
      </c>
      <c r="H1494" s="12">
        <f t="shared" si="1"/>
        <v>1.42</v>
      </c>
      <c r="I1494" s="13">
        <v>1.0</v>
      </c>
      <c r="J1494" s="14">
        <f t="shared" si="2"/>
        <v>1.42</v>
      </c>
      <c r="K1494" s="15" t="str">
        <f t="shared" si="3"/>
        <v>Baja</v>
      </c>
    </row>
    <row r="1495" ht="14.25" customHeight="1">
      <c r="A1495" s="6" t="s">
        <v>3030</v>
      </c>
      <c r="B1495" s="9" t="s">
        <v>3922</v>
      </c>
      <c r="C1495" s="10">
        <v>1.0</v>
      </c>
      <c r="D1495" s="10">
        <v>1.0</v>
      </c>
      <c r="E1495" s="10">
        <v>2.0</v>
      </c>
      <c r="F1495" s="10">
        <v>1.0</v>
      </c>
      <c r="G1495" s="10">
        <v>1.0</v>
      </c>
      <c r="H1495" s="12">
        <f t="shared" si="1"/>
        <v>1.24</v>
      </c>
      <c r="I1495" s="13">
        <v>2.0</v>
      </c>
      <c r="J1495" s="14">
        <f t="shared" si="2"/>
        <v>2.48</v>
      </c>
      <c r="K1495" s="15" t="str">
        <f t="shared" si="3"/>
        <v>Baja</v>
      </c>
    </row>
    <row r="1496" ht="14.25" customHeight="1">
      <c r="A1496" s="6" t="s">
        <v>3042</v>
      </c>
      <c r="B1496" s="27" t="s">
        <v>3925</v>
      </c>
      <c r="C1496" s="10">
        <v>1.0</v>
      </c>
      <c r="D1496" s="10">
        <v>2.0</v>
      </c>
      <c r="E1496" s="10">
        <v>3.0</v>
      </c>
      <c r="F1496" s="10">
        <v>1.0</v>
      </c>
      <c r="G1496" s="10">
        <v>1.0</v>
      </c>
      <c r="H1496" s="12">
        <f t="shared" si="1"/>
        <v>1.66</v>
      </c>
      <c r="I1496" s="13">
        <v>3.0</v>
      </c>
      <c r="J1496" s="14">
        <f t="shared" si="2"/>
        <v>4.98</v>
      </c>
      <c r="K1496" s="15" t="str">
        <f t="shared" si="3"/>
        <v>Media</v>
      </c>
    </row>
    <row r="1497" ht="14.25" customHeight="1">
      <c r="A1497" s="6" t="s">
        <v>3042</v>
      </c>
      <c r="B1497" s="27" t="s">
        <v>3926</v>
      </c>
      <c r="C1497" s="10">
        <v>1.0</v>
      </c>
      <c r="D1497" s="10">
        <v>1.0</v>
      </c>
      <c r="E1497" s="10">
        <v>3.0</v>
      </c>
      <c r="F1497" s="10">
        <v>1.0</v>
      </c>
      <c r="G1497" s="10">
        <v>1.0</v>
      </c>
      <c r="H1497" s="12">
        <f t="shared" si="1"/>
        <v>1.48</v>
      </c>
      <c r="I1497" s="13">
        <v>3.0</v>
      </c>
      <c r="J1497" s="14">
        <f t="shared" si="2"/>
        <v>4.44</v>
      </c>
      <c r="K1497" s="15" t="str">
        <f t="shared" si="3"/>
        <v>Media</v>
      </c>
    </row>
    <row r="1498" ht="14.25" customHeight="1">
      <c r="A1498" s="6" t="s">
        <v>3042</v>
      </c>
      <c r="B1498" s="27" t="s">
        <v>3927</v>
      </c>
      <c r="C1498" s="10">
        <v>1.0</v>
      </c>
      <c r="D1498" s="10">
        <v>1.0</v>
      </c>
      <c r="E1498" s="10">
        <v>2.0</v>
      </c>
      <c r="F1498" s="10">
        <v>1.0</v>
      </c>
      <c r="G1498" s="10">
        <v>1.0</v>
      </c>
      <c r="H1498" s="12">
        <f t="shared" si="1"/>
        <v>1.24</v>
      </c>
      <c r="I1498" s="13">
        <v>2.0</v>
      </c>
      <c r="J1498" s="14">
        <f t="shared" si="2"/>
        <v>2.48</v>
      </c>
      <c r="K1498" s="15" t="str">
        <f t="shared" si="3"/>
        <v>Baja</v>
      </c>
    </row>
    <row r="1499" ht="14.25" customHeight="1">
      <c r="A1499" s="6" t="s">
        <v>3053</v>
      </c>
      <c r="B1499" s="9" t="s">
        <v>3928</v>
      </c>
      <c r="C1499" s="10">
        <v>1.0</v>
      </c>
      <c r="D1499" s="10">
        <v>2.0</v>
      </c>
      <c r="E1499" s="10">
        <v>3.0</v>
      </c>
      <c r="F1499" s="10">
        <v>1.0</v>
      </c>
      <c r="G1499" s="10">
        <v>1.0</v>
      </c>
      <c r="H1499" s="12">
        <f t="shared" si="1"/>
        <v>1.66</v>
      </c>
      <c r="I1499" s="13">
        <v>2.0</v>
      </c>
      <c r="J1499" s="14">
        <f t="shared" si="2"/>
        <v>3.32</v>
      </c>
      <c r="K1499" s="15" t="str">
        <f t="shared" si="3"/>
        <v>Baja</v>
      </c>
    </row>
    <row r="1500" ht="14.25" customHeight="1">
      <c r="A1500" s="6" t="s">
        <v>3053</v>
      </c>
      <c r="B1500" s="9" t="s">
        <v>3929</v>
      </c>
      <c r="C1500" s="10">
        <v>1.0</v>
      </c>
      <c r="D1500" s="10">
        <v>1.0</v>
      </c>
      <c r="E1500" s="10">
        <v>3.0</v>
      </c>
      <c r="F1500" s="10">
        <v>1.0</v>
      </c>
      <c r="G1500" s="10">
        <v>1.0</v>
      </c>
      <c r="H1500" s="12">
        <f t="shared" si="1"/>
        <v>1.48</v>
      </c>
      <c r="I1500" s="13">
        <v>3.0</v>
      </c>
      <c r="J1500" s="14">
        <f t="shared" si="2"/>
        <v>4.44</v>
      </c>
      <c r="K1500" s="15" t="str">
        <f t="shared" si="3"/>
        <v>Media</v>
      </c>
    </row>
    <row r="1501" ht="14.25" customHeight="1">
      <c r="A1501" s="6" t="s">
        <v>3067</v>
      </c>
      <c r="B1501" s="27" t="s">
        <v>3930</v>
      </c>
      <c r="C1501" s="10">
        <v>1.0</v>
      </c>
      <c r="D1501" s="10">
        <v>2.0</v>
      </c>
      <c r="E1501" s="10">
        <v>3.0</v>
      </c>
      <c r="F1501" s="10">
        <v>2.0</v>
      </c>
      <c r="G1501" s="10">
        <v>1.0</v>
      </c>
      <c r="H1501" s="12">
        <f t="shared" si="1"/>
        <v>1.756</v>
      </c>
      <c r="I1501" s="13">
        <v>2.0</v>
      </c>
      <c r="J1501" s="14">
        <f t="shared" si="2"/>
        <v>3.512</v>
      </c>
      <c r="K1501" s="15" t="str">
        <f t="shared" si="3"/>
        <v>Baja</v>
      </c>
    </row>
    <row r="1502" ht="14.25" customHeight="1">
      <c r="A1502" s="6" t="s">
        <v>3067</v>
      </c>
      <c r="B1502" s="27" t="s">
        <v>3931</v>
      </c>
      <c r="C1502" s="10">
        <v>1.0</v>
      </c>
      <c r="D1502" s="10">
        <v>1.0</v>
      </c>
      <c r="E1502" s="10">
        <v>2.0</v>
      </c>
      <c r="F1502" s="10">
        <v>1.0</v>
      </c>
      <c r="G1502" s="10">
        <v>1.0</v>
      </c>
      <c r="H1502" s="12">
        <f t="shared" si="1"/>
        <v>1.24</v>
      </c>
      <c r="I1502" s="13">
        <v>3.0</v>
      </c>
      <c r="J1502" s="14">
        <f t="shared" si="2"/>
        <v>3.72</v>
      </c>
      <c r="K1502" s="15" t="str">
        <f t="shared" si="3"/>
        <v>Baja</v>
      </c>
    </row>
    <row r="1503" ht="14.25" customHeight="1">
      <c r="A1503" s="6" t="s">
        <v>3078</v>
      </c>
      <c r="B1503" s="9" t="s">
        <v>3932</v>
      </c>
      <c r="C1503" s="10">
        <v>1.0</v>
      </c>
      <c r="D1503" s="10">
        <v>2.0</v>
      </c>
      <c r="E1503" s="10">
        <v>3.0</v>
      </c>
      <c r="F1503" s="10">
        <v>2.0</v>
      </c>
      <c r="G1503" s="10">
        <v>1.0</v>
      </c>
      <c r="H1503" s="12">
        <f t="shared" si="1"/>
        <v>1.756</v>
      </c>
      <c r="I1503" s="13">
        <v>2.0</v>
      </c>
      <c r="J1503" s="14">
        <f t="shared" si="2"/>
        <v>3.512</v>
      </c>
      <c r="K1503" s="15" t="str">
        <f t="shared" si="3"/>
        <v>Baja</v>
      </c>
    </row>
    <row r="1504" ht="14.25" customHeight="1">
      <c r="A1504" s="6" t="s">
        <v>3078</v>
      </c>
      <c r="B1504" s="9" t="s">
        <v>3933</v>
      </c>
      <c r="C1504" s="10">
        <v>1.0</v>
      </c>
      <c r="D1504" s="10">
        <v>1.0</v>
      </c>
      <c r="E1504" s="10">
        <v>3.0</v>
      </c>
      <c r="F1504" s="10">
        <v>1.0</v>
      </c>
      <c r="G1504" s="10">
        <v>1.0</v>
      </c>
      <c r="H1504" s="12">
        <f t="shared" si="1"/>
        <v>1.48</v>
      </c>
      <c r="I1504" s="13">
        <v>3.0</v>
      </c>
      <c r="J1504" s="14">
        <f t="shared" si="2"/>
        <v>4.44</v>
      </c>
      <c r="K1504" s="15" t="str">
        <f t="shared" si="3"/>
        <v>Media</v>
      </c>
    </row>
    <row r="1505" ht="14.25" customHeight="1">
      <c r="A1505" s="6" t="s">
        <v>3078</v>
      </c>
      <c r="B1505" s="9" t="s">
        <v>3934</v>
      </c>
      <c r="C1505" s="10">
        <v>1.0</v>
      </c>
      <c r="D1505" s="10">
        <v>1.0</v>
      </c>
      <c r="E1505" s="10">
        <v>3.0</v>
      </c>
      <c r="F1505" s="10">
        <v>1.0</v>
      </c>
      <c r="G1505" s="10">
        <v>1.0</v>
      </c>
      <c r="H1505" s="12">
        <f t="shared" si="1"/>
        <v>1.48</v>
      </c>
      <c r="I1505" s="13">
        <v>1.0</v>
      </c>
      <c r="J1505" s="14">
        <f t="shared" si="2"/>
        <v>1.48</v>
      </c>
      <c r="K1505" s="15" t="str">
        <f t="shared" si="3"/>
        <v>Baja</v>
      </c>
    </row>
    <row r="1506" ht="14.25" customHeight="1">
      <c r="A1506" s="6" t="s">
        <v>3088</v>
      </c>
      <c r="B1506" s="27" t="s">
        <v>3935</v>
      </c>
      <c r="C1506" s="10">
        <v>4.0</v>
      </c>
      <c r="D1506" s="10">
        <v>2.0</v>
      </c>
      <c r="E1506" s="10">
        <v>3.0</v>
      </c>
      <c r="F1506" s="10">
        <v>1.0</v>
      </c>
      <c r="G1506" s="10">
        <v>1.0</v>
      </c>
      <c r="H1506" s="12">
        <f t="shared" si="1"/>
        <v>2.812</v>
      </c>
      <c r="I1506" s="13">
        <v>1.0</v>
      </c>
      <c r="J1506" s="14">
        <f t="shared" si="2"/>
        <v>2.812</v>
      </c>
      <c r="K1506" s="15" t="str">
        <f t="shared" si="3"/>
        <v>Baja</v>
      </c>
    </row>
    <row r="1507" ht="14.25" customHeight="1">
      <c r="A1507" s="6" t="s">
        <v>3088</v>
      </c>
      <c r="B1507" s="27" t="s">
        <v>3936</v>
      </c>
      <c r="C1507" s="10">
        <v>3.0</v>
      </c>
      <c r="D1507" s="10">
        <v>1.0</v>
      </c>
      <c r="E1507" s="10">
        <v>3.0</v>
      </c>
      <c r="F1507" s="10">
        <v>2.0</v>
      </c>
      <c r="G1507" s="10">
        <v>1.0</v>
      </c>
      <c r="H1507" s="12">
        <f t="shared" si="1"/>
        <v>2.344</v>
      </c>
      <c r="I1507" s="13">
        <v>2.0</v>
      </c>
      <c r="J1507" s="14">
        <f t="shared" si="2"/>
        <v>4.688</v>
      </c>
      <c r="K1507" s="15" t="str">
        <f t="shared" si="3"/>
        <v>Media</v>
      </c>
    </row>
    <row r="1508" ht="14.25" customHeight="1">
      <c r="A1508" s="6" t="s">
        <v>3100</v>
      </c>
      <c r="B1508" s="9" t="s">
        <v>3937</v>
      </c>
      <c r="C1508" s="10">
        <v>1.0</v>
      </c>
      <c r="D1508" s="10">
        <v>2.0</v>
      </c>
      <c r="E1508" s="10">
        <v>2.0</v>
      </c>
      <c r="F1508" s="10">
        <v>1.0</v>
      </c>
      <c r="G1508" s="10">
        <v>1.0</v>
      </c>
      <c r="H1508" s="12">
        <f t="shared" si="1"/>
        <v>1.42</v>
      </c>
      <c r="I1508" s="13">
        <v>1.0</v>
      </c>
      <c r="J1508" s="14">
        <f t="shared" si="2"/>
        <v>1.42</v>
      </c>
      <c r="K1508" s="15" t="str">
        <f t="shared" si="3"/>
        <v>Baja</v>
      </c>
    </row>
    <row r="1509" ht="14.25" customHeight="1">
      <c r="A1509" s="6" t="s">
        <v>3100</v>
      </c>
      <c r="B1509" s="9" t="s">
        <v>3938</v>
      </c>
      <c r="C1509" s="10">
        <v>1.0</v>
      </c>
      <c r="D1509" s="10">
        <v>1.0</v>
      </c>
      <c r="E1509" s="10">
        <v>2.0</v>
      </c>
      <c r="F1509" s="10">
        <v>1.0</v>
      </c>
      <c r="G1509" s="10">
        <v>1.0</v>
      </c>
      <c r="H1509" s="12">
        <f t="shared" si="1"/>
        <v>1.24</v>
      </c>
      <c r="I1509" s="13">
        <v>2.0</v>
      </c>
      <c r="J1509" s="14">
        <f t="shared" si="2"/>
        <v>2.48</v>
      </c>
      <c r="K1509" s="15" t="str">
        <f t="shared" si="3"/>
        <v>Baja</v>
      </c>
    </row>
    <row r="1510" ht="14.25" customHeight="1">
      <c r="A1510" s="6" t="s">
        <v>3100</v>
      </c>
      <c r="B1510" s="9" t="s">
        <v>3939</v>
      </c>
      <c r="C1510" s="10">
        <v>1.0</v>
      </c>
      <c r="D1510" s="10">
        <v>1.0</v>
      </c>
      <c r="E1510" s="10">
        <v>2.0</v>
      </c>
      <c r="F1510" s="10">
        <v>1.0</v>
      </c>
      <c r="G1510" s="10">
        <v>1.0</v>
      </c>
      <c r="H1510" s="12">
        <f t="shared" si="1"/>
        <v>1.24</v>
      </c>
      <c r="I1510" s="13">
        <v>3.0</v>
      </c>
      <c r="J1510" s="14">
        <f t="shared" si="2"/>
        <v>3.72</v>
      </c>
      <c r="K1510" s="15" t="str">
        <f t="shared" si="3"/>
        <v>Baja</v>
      </c>
    </row>
    <row r="1511" ht="14.25" customHeight="1">
      <c r="A1511" s="6" t="s">
        <v>3109</v>
      </c>
      <c r="B1511" s="27" t="s">
        <v>3940</v>
      </c>
      <c r="C1511" s="10">
        <v>2.0</v>
      </c>
      <c r="D1511" s="10">
        <v>2.0</v>
      </c>
      <c r="E1511" s="10">
        <v>3.0</v>
      </c>
      <c r="F1511" s="10">
        <v>2.0</v>
      </c>
      <c r="G1511" s="10">
        <v>2.0</v>
      </c>
      <c r="H1511" s="12">
        <f t="shared" si="1"/>
        <v>2.24</v>
      </c>
      <c r="I1511" s="13">
        <v>2.0</v>
      </c>
      <c r="J1511" s="14">
        <f t="shared" si="2"/>
        <v>4.48</v>
      </c>
      <c r="K1511" s="15" t="str">
        <f t="shared" si="3"/>
        <v>Media</v>
      </c>
    </row>
    <row r="1512" ht="14.25" customHeight="1">
      <c r="A1512" s="6" t="s">
        <v>3109</v>
      </c>
      <c r="B1512" s="27" t="s">
        <v>3941</v>
      </c>
      <c r="C1512" s="10">
        <v>2.0</v>
      </c>
      <c r="D1512" s="10">
        <v>2.0</v>
      </c>
      <c r="E1512" s="10">
        <v>3.0</v>
      </c>
      <c r="F1512" s="10">
        <v>1.0</v>
      </c>
      <c r="G1512" s="10">
        <v>2.0</v>
      </c>
      <c r="H1512" s="12">
        <f t="shared" si="1"/>
        <v>2.144</v>
      </c>
      <c r="I1512" s="13">
        <v>1.0</v>
      </c>
      <c r="J1512" s="14">
        <f t="shared" si="2"/>
        <v>2.144</v>
      </c>
      <c r="K1512" s="15" t="str">
        <f t="shared" si="3"/>
        <v>Baja</v>
      </c>
    </row>
    <row r="1513" ht="14.25" customHeight="1">
      <c r="A1513" s="6" t="s">
        <v>3109</v>
      </c>
      <c r="B1513" s="27" t="s">
        <v>3942</v>
      </c>
      <c r="C1513" s="10">
        <v>1.0</v>
      </c>
      <c r="D1513" s="10">
        <v>1.0</v>
      </c>
      <c r="E1513" s="10">
        <v>2.0</v>
      </c>
      <c r="F1513" s="10">
        <v>1.0</v>
      </c>
      <c r="G1513" s="10">
        <v>1.0</v>
      </c>
      <c r="H1513" s="12">
        <f t="shared" si="1"/>
        <v>1.24</v>
      </c>
      <c r="I1513" s="13">
        <v>2.0</v>
      </c>
      <c r="J1513" s="14">
        <f t="shared" si="2"/>
        <v>2.48</v>
      </c>
      <c r="K1513" s="15" t="str">
        <f t="shared" si="3"/>
        <v>Baja</v>
      </c>
    </row>
    <row r="1514" ht="14.25" customHeight="1">
      <c r="A1514" s="6" t="s">
        <v>3124</v>
      </c>
      <c r="B1514" s="9" t="s">
        <v>3943</v>
      </c>
      <c r="C1514" s="10">
        <v>3.0</v>
      </c>
      <c r="D1514" s="10">
        <v>2.0</v>
      </c>
      <c r="E1514" s="10">
        <v>3.0</v>
      </c>
      <c r="F1514" s="10">
        <v>2.0</v>
      </c>
      <c r="G1514" s="10">
        <v>1.0</v>
      </c>
      <c r="H1514" s="12">
        <f t="shared" si="1"/>
        <v>2.524</v>
      </c>
      <c r="I1514" s="13">
        <v>3.0</v>
      </c>
      <c r="J1514" s="14">
        <f t="shared" si="2"/>
        <v>7.572</v>
      </c>
      <c r="K1514" s="15" t="str">
        <f t="shared" si="3"/>
        <v>Media</v>
      </c>
    </row>
    <row r="1515" ht="14.25" customHeight="1">
      <c r="A1515" s="6" t="s">
        <v>3124</v>
      </c>
      <c r="B1515" s="9" t="s">
        <v>3944</v>
      </c>
      <c r="C1515" s="10">
        <v>3.0</v>
      </c>
      <c r="D1515" s="10">
        <v>2.0</v>
      </c>
      <c r="E1515" s="10">
        <v>2.0</v>
      </c>
      <c r="F1515" s="10">
        <v>2.0</v>
      </c>
      <c r="G1515" s="10">
        <v>1.0</v>
      </c>
      <c r="H1515" s="12">
        <f t="shared" si="1"/>
        <v>2.284</v>
      </c>
      <c r="I1515" s="13">
        <v>3.0</v>
      </c>
      <c r="J1515" s="14">
        <f t="shared" si="2"/>
        <v>6.852</v>
      </c>
      <c r="K1515" s="15" t="str">
        <f t="shared" si="3"/>
        <v>Media</v>
      </c>
    </row>
    <row r="1516" ht="14.25" customHeight="1">
      <c r="A1516" s="6" t="s">
        <v>3124</v>
      </c>
      <c r="B1516" s="9" t="s">
        <v>3945</v>
      </c>
      <c r="C1516" s="10">
        <v>2.0</v>
      </c>
      <c r="D1516" s="10">
        <v>1.0</v>
      </c>
      <c r="E1516" s="10">
        <v>3.0</v>
      </c>
      <c r="F1516" s="10">
        <v>2.0</v>
      </c>
      <c r="G1516" s="10">
        <v>1.0</v>
      </c>
      <c r="H1516" s="12">
        <f t="shared" si="1"/>
        <v>1.96</v>
      </c>
      <c r="I1516" s="13">
        <v>2.0</v>
      </c>
      <c r="J1516" s="14">
        <f t="shared" si="2"/>
        <v>3.92</v>
      </c>
      <c r="K1516" s="15" t="str">
        <f t="shared" si="3"/>
        <v>Baja</v>
      </c>
    </row>
    <row r="1517" ht="14.25" customHeight="1">
      <c r="A1517" s="6" t="s">
        <v>3124</v>
      </c>
      <c r="B1517" s="9" t="s">
        <v>3946</v>
      </c>
      <c r="C1517" s="10">
        <v>2.0</v>
      </c>
      <c r="D1517" s="10">
        <v>1.0</v>
      </c>
      <c r="E1517" s="10">
        <v>2.0</v>
      </c>
      <c r="F1517" s="10">
        <v>2.0</v>
      </c>
      <c r="G1517" s="10">
        <v>1.0</v>
      </c>
      <c r="H1517" s="12">
        <f t="shared" si="1"/>
        <v>1.72</v>
      </c>
      <c r="I1517" s="13">
        <v>1.0</v>
      </c>
      <c r="J1517" s="14">
        <f t="shared" si="2"/>
        <v>1.72</v>
      </c>
      <c r="K1517" s="15" t="str">
        <f t="shared" si="3"/>
        <v>Baja</v>
      </c>
    </row>
    <row r="1518" ht="14.25" customHeight="1">
      <c r="A1518" s="6" t="s">
        <v>3124</v>
      </c>
      <c r="B1518" s="9" t="s">
        <v>3947</v>
      </c>
      <c r="C1518" s="10">
        <v>2.0</v>
      </c>
      <c r="D1518" s="10">
        <v>1.0</v>
      </c>
      <c r="E1518" s="10">
        <v>2.0</v>
      </c>
      <c r="F1518" s="10">
        <v>2.0</v>
      </c>
      <c r="G1518" s="10">
        <v>1.0</v>
      </c>
      <c r="H1518" s="12">
        <f t="shared" si="1"/>
        <v>1.72</v>
      </c>
      <c r="I1518" s="13">
        <v>2.0</v>
      </c>
      <c r="J1518" s="14">
        <f t="shared" si="2"/>
        <v>3.44</v>
      </c>
      <c r="K1518" s="15" t="str">
        <f t="shared" si="3"/>
        <v>Baja</v>
      </c>
    </row>
    <row r="1519" ht="14.25" customHeight="1">
      <c r="A1519" s="6" t="s">
        <v>3132</v>
      </c>
      <c r="B1519" s="27" t="s">
        <v>3943</v>
      </c>
      <c r="C1519" s="10">
        <v>3.0</v>
      </c>
      <c r="D1519" s="10">
        <v>2.0</v>
      </c>
      <c r="E1519" s="10">
        <v>3.0</v>
      </c>
      <c r="F1519" s="10">
        <v>2.0</v>
      </c>
      <c r="G1519" s="10">
        <v>1.0</v>
      </c>
      <c r="H1519" s="12">
        <f t="shared" si="1"/>
        <v>2.524</v>
      </c>
      <c r="I1519" s="13">
        <v>3.0</v>
      </c>
      <c r="J1519" s="14">
        <f t="shared" si="2"/>
        <v>7.572</v>
      </c>
      <c r="K1519" s="15" t="str">
        <f t="shared" si="3"/>
        <v>Media</v>
      </c>
    </row>
    <row r="1520" ht="14.25" customHeight="1">
      <c r="A1520" s="6" t="s">
        <v>3132</v>
      </c>
      <c r="B1520" s="27" t="s">
        <v>3948</v>
      </c>
      <c r="C1520" s="10">
        <v>2.0</v>
      </c>
      <c r="D1520" s="10">
        <v>1.0</v>
      </c>
      <c r="E1520" s="10">
        <v>2.0</v>
      </c>
      <c r="F1520" s="10">
        <v>2.0</v>
      </c>
      <c r="G1520" s="10">
        <v>1.0</v>
      </c>
      <c r="H1520" s="12">
        <f t="shared" si="1"/>
        <v>1.72</v>
      </c>
      <c r="I1520" s="13">
        <v>2.0</v>
      </c>
      <c r="J1520" s="14">
        <f t="shared" si="2"/>
        <v>3.44</v>
      </c>
      <c r="K1520" s="15" t="str">
        <f t="shared" si="3"/>
        <v>Baja</v>
      </c>
    </row>
    <row r="1521" ht="14.25" customHeight="1">
      <c r="A1521" s="6" t="s">
        <v>3132</v>
      </c>
      <c r="B1521" s="27" t="s">
        <v>3949</v>
      </c>
      <c r="C1521" s="10">
        <v>2.0</v>
      </c>
      <c r="D1521" s="10">
        <v>1.0</v>
      </c>
      <c r="E1521" s="10">
        <v>2.0</v>
      </c>
      <c r="F1521" s="10">
        <v>2.0</v>
      </c>
      <c r="G1521" s="10">
        <v>1.0</v>
      </c>
      <c r="H1521" s="12">
        <f t="shared" si="1"/>
        <v>1.72</v>
      </c>
      <c r="I1521" s="13">
        <v>3.0</v>
      </c>
      <c r="J1521" s="14">
        <f t="shared" si="2"/>
        <v>5.16</v>
      </c>
      <c r="K1521" s="15" t="str">
        <f t="shared" si="3"/>
        <v>Media</v>
      </c>
    </row>
    <row r="1522" ht="14.25" customHeight="1">
      <c r="A1522" s="6" t="s">
        <v>3138</v>
      </c>
      <c r="B1522" s="9" t="s">
        <v>3943</v>
      </c>
      <c r="C1522" s="10">
        <v>3.0</v>
      </c>
      <c r="D1522" s="10">
        <v>2.0</v>
      </c>
      <c r="E1522" s="10">
        <v>3.0</v>
      </c>
      <c r="F1522" s="10">
        <v>2.0</v>
      </c>
      <c r="G1522" s="10">
        <v>1.0</v>
      </c>
      <c r="H1522" s="12">
        <f t="shared" si="1"/>
        <v>2.524</v>
      </c>
      <c r="I1522" s="13">
        <v>3.0</v>
      </c>
      <c r="J1522" s="14">
        <f t="shared" si="2"/>
        <v>7.572</v>
      </c>
      <c r="K1522" s="15" t="str">
        <f t="shared" si="3"/>
        <v>Media</v>
      </c>
    </row>
    <row r="1523" ht="14.25" customHeight="1">
      <c r="A1523" s="6" t="s">
        <v>3138</v>
      </c>
      <c r="B1523" s="9" t="s">
        <v>3950</v>
      </c>
      <c r="C1523" s="10">
        <v>1.0</v>
      </c>
      <c r="D1523" s="10">
        <v>1.0</v>
      </c>
      <c r="E1523" s="10">
        <v>2.0</v>
      </c>
      <c r="F1523" s="10">
        <v>2.0</v>
      </c>
      <c r="G1523" s="10">
        <v>1.0</v>
      </c>
      <c r="H1523" s="12">
        <f t="shared" si="1"/>
        <v>1.336</v>
      </c>
      <c r="I1523" s="13">
        <v>2.0</v>
      </c>
      <c r="J1523" s="14">
        <f t="shared" si="2"/>
        <v>2.672</v>
      </c>
      <c r="K1523" s="15" t="str">
        <f t="shared" si="3"/>
        <v>Baja</v>
      </c>
    </row>
    <row r="1524" ht="14.25" customHeight="1">
      <c r="A1524" s="6" t="s">
        <v>3138</v>
      </c>
      <c r="B1524" s="9" t="s">
        <v>3951</v>
      </c>
      <c r="C1524" s="10">
        <v>1.0</v>
      </c>
      <c r="D1524" s="10">
        <v>1.0</v>
      </c>
      <c r="E1524" s="10">
        <v>2.0</v>
      </c>
      <c r="F1524" s="10">
        <v>2.0</v>
      </c>
      <c r="G1524" s="10">
        <v>1.0</v>
      </c>
      <c r="H1524" s="12">
        <f t="shared" si="1"/>
        <v>1.336</v>
      </c>
      <c r="I1524" s="13">
        <v>3.0</v>
      </c>
      <c r="J1524" s="14">
        <f t="shared" si="2"/>
        <v>4.008</v>
      </c>
      <c r="K1524" s="15" t="str">
        <f t="shared" si="3"/>
        <v>Media</v>
      </c>
    </row>
    <row r="1525" ht="14.25" customHeight="1">
      <c r="A1525" s="6" t="s">
        <v>3144</v>
      </c>
      <c r="B1525" s="27" t="s">
        <v>3943</v>
      </c>
      <c r="C1525" s="10">
        <v>3.0</v>
      </c>
      <c r="D1525" s="10">
        <v>2.0</v>
      </c>
      <c r="E1525" s="10">
        <v>3.0</v>
      </c>
      <c r="F1525" s="10">
        <v>2.0</v>
      </c>
      <c r="G1525" s="10">
        <v>1.0</v>
      </c>
      <c r="H1525" s="12">
        <f t="shared" si="1"/>
        <v>2.524</v>
      </c>
      <c r="I1525" s="13">
        <v>3.0</v>
      </c>
      <c r="J1525" s="14">
        <f t="shared" si="2"/>
        <v>7.572</v>
      </c>
      <c r="K1525" s="15" t="str">
        <f t="shared" si="3"/>
        <v>Media</v>
      </c>
    </row>
    <row r="1526" ht="14.25" customHeight="1">
      <c r="A1526" s="6" t="s">
        <v>3144</v>
      </c>
      <c r="B1526" s="27" t="s">
        <v>3944</v>
      </c>
      <c r="C1526" s="10">
        <v>3.0</v>
      </c>
      <c r="D1526" s="10">
        <v>2.0</v>
      </c>
      <c r="E1526" s="10">
        <v>2.0</v>
      </c>
      <c r="F1526" s="10">
        <v>2.0</v>
      </c>
      <c r="G1526" s="10">
        <v>1.0</v>
      </c>
      <c r="H1526" s="12">
        <f t="shared" si="1"/>
        <v>2.284</v>
      </c>
      <c r="I1526" s="13">
        <v>3.0</v>
      </c>
      <c r="J1526" s="14">
        <f t="shared" si="2"/>
        <v>6.852</v>
      </c>
      <c r="K1526" s="15" t="str">
        <f t="shared" si="3"/>
        <v>Media</v>
      </c>
    </row>
    <row r="1527" ht="14.25" customHeight="1">
      <c r="A1527" s="6" t="s">
        <v>3144</v>
      </c>
      <c r="B1527" s="27" t="s">
        <v>3945</v>
      </c>
      <c r="C1527" s="10">
        <v>2.0</v>
      </c>
      <c r="D1527" s="10">
        <v>1.0</v>
      </c>
      <c r="E1527" s="10">
        <v>3.0</v>
      </c>
      <c r="F1527" s="10">
        <v>2.0</v>
      </c>
      <c r="G1527" s="10">
        <v>1.0</v>
      </c>
      <c r="H1527" s="12">
        <f t="shared" si="1"/>
        <v>1.96</v>
      </c>
      <c r="I1527" s="13">
        <v>2.0</v>
      </c>
      <c r="J1527" s="14">
        <f t="shared" si="2"/>
        <v>3.92</v>
      </c>
      <c r="K1527" s="15" t="str">
        <f t="shared" si="3"/>
        <v>Baja</v>
      </c>
    </row>
    <row r="1528" ht="14.25" customHeight="1">
      <c r="A1528" s="6" t="s">
        <v>3144</v>
      </c>
      <c r="B1528" s="27" t="s">
        <v>3946</v>
      </c>
      <c r="C1528" s="10">
        <v>2.0</v>
      </c>
      <c r="D1528" s="10">
        <v>1.0</v>
      </c>
      <c r="E1528" s="10">
        <v>2.0</v>
      </c>
      <c r="F1528" s="10">
        <v>2.0</v>
      </c>
      <c r="G1528" s="10">
        <v>1.0</v>
      </c>
      <c r="H1528" s="12">
        <f t="shared" si="1"/>
        <v>1.72</v>
      </c>
      <c r="I1528" s="13">
        <v>1.0</v>
      </c>
      <c r="J1528" s="14">
        <f t="shared" si="2"/>
        <v>1.72</v>
      </c>
      <c r="K1528" s="15" t="str">
        <f t="shared" si="3"/>
        <v>Baja</v>
      </c>
    </row>
    <row r="1529" ht="14.25" customHeight="1">
      <c r="A1529" s="6" t="s">
        <v>3144</v>
      </c>
      <c r="B1529" s="27" t="s">
        <v>3947</v>
      </c>
      <c r="C1529" s="10">
        <v>2.0</v>
      </c>
      <c r="D1529" s="10">
        <v>1.0</v>
      </c>
      <c r="E1529" s="10">
        <v>2.0</v>
      </c>
      <c r="F1529" s="10">
        <v>2.0</v>
      </c>
      <c r="G1529" s="10">
        <v>1.0</v>
      </c>
      <c r="H1529" s="12">
        <f t="shared" si="1"/>
        <v>1.72</v>
      </c>
      <c r="I1529" s="13">
        <v>2.0</v>
      </c>
      <c r="J1529" s="14">
        <f t="shared" si="2"/>
        <v>3.44</v>
      </c>
      <c r="K1529" s="15" t="str">
        <f t="shared" si="3"/>
        <v>Baja</v>
      </c>
    </row>
    <row r="1530" ht="14.25" customHeight="1">
      <c r="A1530" s="6" t="s">
        <v>3150</v>
      </c>
      <c r="B1530" s="9" t="s">
        <v>3943</v>
      </c>
      <c r="C1530" s="10">
        <v>3.0</v>
      </c>
      <c r="D1530" s="10">
        <v>2.0</v>
      </c>
      <c r="E1530" s="10">
        <v>3.0</v>
      </c>
      <c r="F1530" s="10">
        <v>2.0</v>
      </c>
      <c r="G1530" s="10">
        <v>1.0</v>
      </c>
      <c r="H1530" s="12">
        <f t="shared" si="1"/>
        <v>2.524</v>
      </c>
      <c r="I1530" s="13">
        <v>3.0</v>
      </c>
      <c r="J1530" s="14">
        <f t="shared" si="2"/>
        <v>7.572</v>
      </c>
      <c r="K1530" s="15" t="str">
        <f t="shared" si="3"/>
        <v>Media</v>
      </c>
    </row>
    <row r="1531" ht="14.25" customHeight="1">
      <c r="A1531" s="6" t="s">
        <v>3150</v>
      </c>
      <c r="B1531" s="9" t="s">
        <v>3948</v>
      </c>
      <c r="C1531" s="10">
        <v>2.0</v>
      </c>
      <c r="D1531" s="10">
        <v>1.0</v>
      </c>
      <c r="E1531" s="10">
        <v>2.0</v>
      </c>
      <c r="F1531" s="10">
        <v>2.0</v>
      </c>
      <c r="G1531" s="10">
        <v>1.0</v>
      </c>
      <c r="H1531" s="12">
        <f t="shared" si="1"/>
        <v>1.72</v>
      </c>
      <c r="I1531" s="13">
        <v>2.0</v>
      </c>
      <c r="J1531" s="14">
        <f t="shared" si="2"/>
        <v>3.44</v>
      </c>
      <c r="K1531" s="15" t="str">
        <f t="shared" si="3"/>
        <v>Baja</v>
      </c>
    </row>
    <row r="1532" ht="14.25" customHeight="1">
      <c r="A1532" s="6" t="s">
        <v>3150</v>
      </c>
      <c r="B1532" s="9" t="s">
        <v>3949</v>
      </c>
      <c r="C1532" s="10">
        <v>2.0</v>
      </c>
      <c r="D1532" s="10">
        <v>1.0</v>
      </c>
      <c r="E1532" s="10">
        <v>2.0</v>
      </c>
      <c r="F1532" s="10">
        <v>2.0</v>
      </c>
      <c r="G1532" s="10">
        <v>1.0</v>
      </c>
      <c r="H1532" s="12">
        <f t="shared" si="1"/>
        <v>1.72</v>
      </c>
      <c r="I1532" s="13">
        <v>3.0</v>
      </c>
      <c r="J1532" s="14">
        <f t="shared" si="2"/>
        <v>5.16</v>
      </c>
      <c r="K1532" s="15" t="str">
        <f t="shared" si="3"/>
        <v>Media</v>
      </c>
    </row>
    <row r="1533" ht="14.25" customHeight="1">
      <c r="A1533" s="6" t="s">
        <v>3151</v>
      </c>
      <c r="B1533" s="27" t="s">
        <v>3943</v>
      </c>
      <c r="C1533" s="10">
        <v>3.0</v>
      </c>
      <c r="D1533" s="10">
        <v>2.0</v>
      </c>
      <c r="E1533" s="10">
        <v>3.0</v>
      </c>
      <c r="F1533" s="10">
        <v>2.0</v>
      </c>
      <c r="G1533" s="10">
        <v>1.0</v>
      </c>
      <c r="H1533" s="12">
        <f t="shared" si="1"/>
        <v>2.524</v>
      </c>
      <c r="I1533" s="13">
        <v>3.0</v>
      </c>
      <c r="J1533" s="14">
        <f t="shared" si="2"/>
        <v>7.572</v>
      </c>
      <c r="K1533" s="15" t="str">
        <f t="shared" si="3"/>
        <v>Media</v>
      </c>
    </row>
    <row r="1534" ht="14.25" customHeight="1">
      <c r="A1534" s="6" t="s">
        <v>3151</v>
      </c>
      <c r="B1534" s="27" t="s">
        <v>3950</v>
      </c>
      <c r="C1534" s="10">
        <v>1.0</v>
      </c>
      <c r="D1534" s="10">
        <v>1.0</v>
      </c>
      <c r="E1534" s="10">
        <v>2.0</v>
      </c>
      <c r="F1534" s="10">
        <v>2.0</v>
      </c>
      <c r="G1534" s="10">
        <v>1.0</v>
      </c>
      <c r="H1534" s="12">
        <f t="shared" si="1"/>
        <v>1.336</v>
      </c>
      <c r="I1534" s="13">
        <v>2.0</v>
      </c>
      <c r="J1534" s="14">
        <f t="shared" si="2"/>
        <v>2.672</v>
      </c>
      <c r="K1534" s="15" t="str">
        <f t="shared" si="3"/>
        <v>Baja</v>
      </c>
    </row>
    <row r="1535" ht="14.25" customHeight="1">
      <c r="A1535" s="6" t="s">
        <v>3151</v>
      </c>
      <c r="B1535" s="27" t="s">
        <v>3951</v>
      </c>
      <c r="C1535" s="10">
        <v>1.0</v>
      </c>
      <c r="D1535" s="10">
        <v>1.0</v>
      </c>
      <c r="E1535" s="10">
        <v>2.0</v>
      </c>
      <c r="F1535" s="10">
        <v>2.0</v>
      </c>
      <c r="G1535" s="10">
        <v>1.0</v>
      </c>
      <c r="H1535" s="12">
        <f t="shared" si="1"/>
        <v>1.336</v>
      </c>
      <c r="I1535" s="13">
        <v>3.0</v>
      </c>
      <c r="J1535" s="14">
        <f t="shared" si="2"/>
        <v>4.008</v>
      </c>
      <c r="K1535" s="15" t="str">
        <f t="shared" si="3"/>
        <v>Media</v>
      </c>
    </row>
    <row r="1536" ht="14.25" customHeight="1">
      <c r="A1536" s="6" t="s">
        <v>3153</v>
      </c>
      <c r="B1536" s="9" t="s">
        <v>3943</v>
      </c>
      <c r="C1536" s="10">
        <v>3.0</v>
      </c>
      <c r="D1536" s="10">
        <v>2.0</v>
      </c>
      <c r="E1536" s="10">
        <v>3.0</v>
      </c>
      <c r="F1536" s="10">
        <v>2.0</v>
      </c>
      <c r="G1536" s="10">
        <v>1.0</v>
      </c>
      <c r="H1536" s="12">
        <f t="shared" si="1"/>
        <v>2.524</v>
      </c>
      <c r="I1536" s="13">
        <v>3.0</v>
      </c>
      <c r="J1536" s="14">
        <f t="shared" si="2"/>
        <v>7.572</v>
      </c>
      <c r="K1536" s="15" t="str">
        <f t="shared" si="3"/>
        <v>Media</v>
      </c>
    </row>
    <row r="1537" ht="14.25" customHeight="1">
      <c r="A1537" s="6" t="s">
        <v>3153</v>
      </c>
      <c r="B1537" s="9" t="s">
        <v>3944</v>
      </c>
      <c r="C1537" s="10">
        <v>3.0</v>
      </c>
      <c r="D1537" s="10">
        <v>2.0</v>
      </c>
      <c r="E1537" s="10">
        <v>2.0</v>
      </c>
      <c r="F1537" s="10">
        <v>2.0</v>
      </c>
      <c r="G1537" s="10">
        <v>1.0</v>
      </c>
      <c r="H1537" s="12">
        <f t="shared" si="1"/>
        <v>2.284</v>
      </c>
      <c r="I1537" s="13">
        <v>3.0</v>
      </c>
      <c r="J1537" s="14">
        <f t="shared" si="2"/>
        <v>6.852</v>
      </c>
      <c r="K1537" s="15" t="str">
        <f t="shared" si="3"/>
        <v>Media</v>
      </c>
    </row>
    <row r="1538" ht="14.25" customHeight="1">
      <c r="A1538" s="6" t="s">
        <v>3153</v>
      </c>
      <c r="B1538" s="9" t="s">
        <v>3945</v>
      </c>
      <c r="C1538" s="10">
        <v>2.0</v>
      </c>
      <c r="D1538" s="10">
        <v>1.0</v>
      </c>
      <c r="E1538" s="10">
        <v>3.0</v>
      </c>
      <c r="F1538" s="10">
        <v>2.0</v>
      </c>
      <c r="G1538" s="10">
        <v>1.0</v>
      </c>
      <c r="H1538" s="12">
        <f t="shared" si="1"/>
        <v>1.96</v>
      </c>
      <c r="I1538" s="13">
        <v>2.0</v>
      </c>
      <c r="J1538" s="14">
        <f t="shared" si="2"/>
        <v>3.92</v>
      </c>
      <c r="K1538" s="15" t="str">
        <f t="shared" si="3"/>
        <v>Baja</v>
      </c>
    </row>
    <row r="1539" ht="14.25" customHeight="1">
      <c r="A1539" s="6" t="s">
        <v>3153</v>
      </c>
      <c r="B1539" s="9" t="s">
        <v>3946</v>
      </c>
      <c r="C1539" s="10">
        <v>2.0</v>
      </c>
      <c r="D1539" s="10">
        <v>1.0</v>
      </c>
      <c r="E1539" s="10">
        <v>2.0</v>
      </c>
      <c r="F1539" s="10">
        <v>2.0</v>
      </c>
      <c r="G1539" s="10">
        <v>1.0</v>
      </c>
      <c r="H1539" s="12">
        <f t="shared" si="1"/>
        <v>1.72</v>
      </c>
      <c r="I1539" s="13">
        <v>1.0</v>
      </c>
      <c r="J1539" s="14">
        <f t="shared" si="2"/>
        <v>1.72</v>
      </c>
      <c r="K1539" s="15" t="str">
        <f t="shared" si="3"/>
        <v>Baja</v>
      </c>
    </row>
    <row r="1540" ht="14.25" customHeight="1">
      <c r="A1540" s="6" t="s">
        <v>3153</v>
      </c>
      <c r="B1540" s="9" t="s">
        <v>3947</v>
      </c>
      <c r="C1540" s="10">
        <v>2.0</v>
      </c>
      <c r="D1540" s="10">
        <v>1.0</v>
      </c>
      <c r="E1540" s="10">
        <v>2.0</v>
      </c>
      <c r="F1540" s="10">
        <v>2.0</v>
      </c>
      <c r="G1540" s="10">
        <v>1.0</v>
      </c>
      <c r="H1540" s="12">
        <f t="shared" si="1"/>
        <v>1.72</v>
      </c>
      <c r="I1540" s="13">
        <v>2.0</v>
      </c>
      <c r="J1540" s="14">
        <f t="shared" si="2"/>
        <v>3.44</v>
      </c>
      <c r="K1540" s="15" t="str">
        <f t="shared" si="3"/>
        <v>Baja</v>
      </c>
    </row>
    <row r="1541" ht="14.25" customHeight="1">
      <c r="A1541" s="6" t="s">
        <v>3158</v>
      </c>
      <c r="B1541" s="27" t="s">
        <v>3943</v>
      </c>
      <c r="C1541" s="10">
        <v>3.0</v>
      </c>
      <c r="D1541" s="10">
        <v>2.0</v>
      </c>
      <c r="E1541" s="10">
        <v>3.0</v>
      </c>
      <c r="F1541" s="10">
        <v>2.0</v>
      </c>
      <c r="G1541" s="10">
        <v>1.0</v>
      </c>
      <c r="H1541" s="12">
        <f t="shared" si="1"/>
        <v>2.524</v>
      </c>
      <c r="I1541" s="13">
        <v>3.0</v>
      </c>
      <c r="J1541" s="14">
        <f t="shared" si="2"/>
        <v>7.572</v>
      </c>
      <c r="K1541" s="15" t="str">
        <f t="shared" si="3"/>
        <v>Media</v>
      </c>
    </row>
    <row r="1542" ht="14.25" customHeight="1">
      <c r="A1542" s="6" t="s">
        <v>3158</v>
      </c>
      <c r="B1542" s="27" t="s">
        <v>3948</v>
      </c>
      <c r="C1542" s="10">
        <v>2.0</v>
      </c>
      <c r="D1542" s="10">
        <v>1.0</v>
      </c>
      <c r="E1542" s="10">
        <v>2.0</v>
      </c>
      <c r="F1542" s="10">
        <v>2.0</v>
      </c>
      <c r="G1542" s="10">
        <v>1.0</v>
      </c>
      <c r="H1542" s="12">
        <f t="shared" si="1"/>
        <v>1.72</v>
      </c>
      <c r="I1542" s="13">
        <v>2.0</v>
      </c>
      <c r="J1542" s="14">
        <f t="shared" si="2"/>
        <v>3.44</v>
      </c>
      <c r="K1542" s="15" t="str">
        <f t="shared" si="3"/>
        <v>Baja</v>
      </c>
    </row>
    <row r="1543" ht="14.25" customHeight="1">
      <c r="A1543" s="6" t="s">
        <v>3158</v>
      </c>
      <c r="B1543" s="27" t="s">
        <v>3949</v>
      </c>
      <c r="C1543" s="10">
        <v>2.0</v>
      </c>
      <c r="D1543" s="10">
        <v>1.0</v>
      </c>
      <c r="E1543" s="10">
        <v>2.0</v>
      </c>
      <c r="F1543" s="10">
        <v>2.0</v>
      </c>
      <c r="G1543" s="10">
        <v>1.0</v>
      </c>
      <c r="H1543" s="12">
        <f t="shared" si="1"/>
        <v>1.72</v>
      </c>
      <c r="I1543" s="13">
        <v>3.0</v>
      </c>
      <c r="J1543" s="14">
        <f t="shared" si="2"/>
        <v>5.16</v>
      </c>
      <c r="K1543" s="15" t="str">
        <f t="shared" si="3"/>
        <v>Media</v>
      </c>
    </row>
    <row r="1544" ht="14.25" customHeight="1">
      <c r="A1544" s="6" t="s">
        <v>3159</v>
      </c>
      <c r="B1544" s="9" t="s">
        <v>3943</v>
      </c>
      <c r="C1544" s="10">
        <v>3.0</v>
      </c>
      <c r="D1544" s="10">
        <v>2.0</v>
      </c>
      <c r="E1544" s="10">
        <v>3.0</v>
      </c>
      <c r="F1544" s="10">
        <v>2.0</v>
      </c>
      <c r="G1544" s="10">
        <v>1.0</v>
      </c>
      <c r="H1544" s="12">
        <f t="shared" si="1"/>
        <v>2.524</v>
      </c>
      <c r="I1544" s="13">
        <v>3.0</v>
      </c>
      <c r="J1544" s="14">
        <f t="shared" si="2"/>
        <v>7.572</v>
      </c>
      <c r="K1544" s="15" t="str">
        <f t="shared" si="3"/>
        <v>Media</v>
      </c>
    </row>
    <row r="1545" ht="14.25" customHeight="1">
      <c r="A1545" s="6" t="s">
        <v>3159</v>
      </c>
      <c r="B1545" s="9" t="s">
        <v>3950</v>
      </c>
      <c r="C1545" s="10">
        <v>1.0</v>
      </c>
      <c r="D1545" s="10">
        <v>1.0</v>
      </c>
      <c r="E1545" s="10">
        <v>2.0</v>
      </c>
      <c r="F1545" s="10">
        <v>2.0</v>
      </c>
      <c r="G1545" s="10">
        <v>1.0</v>
      </c>
      <c r="H1545" s="12">
        <f t="shared" si="1"/>
        <v>1.336</v>
      </c>
      <c r="I1545" s="13">
        <v>2.0</v>
      </c>
      <c r="J1545" s="14">
        <f t="shared" si="2"/>
        <v>2.672</v>
      </c>
      <c r="K1545" s="15" t="str">
        <f t="shared" si="3"/>
        <v>Baja</v>
      </c>
    </row>
    <row r="1546" ht="14.25" customHeight="1">
      <c r="A1546" s="6" t="s">
        <v>3159</v>
      </c>
      <c r="B1546" s="9" t="s">
        <v>3951</v>
      </c>
      <c r="C1546" s="10">
        <v>1.0</v>
      </c>
      <c r="D1546" s="10">
        <v>1.0</v>
      </c>
      <c r="E1546" s="10">
        <v>2.0</v>
      </c>
      <c r="F1546" s="10">
        <v>2.0</v>
      </c>
      <c r="G1546" s="10">
        <v>1.0</v>
      </c>
      <c r="H1546" s="12">
        <f t="shared" si="1"/>
        <v>1.336</v>
      </c>
      <c r="I1546" s="13">
        <v>3.0</v>
      </c>
      <c r="J1546" s="14">
        <f t="shared" si="2"/>
        <v>4.008</v>
      </c>
      <c r="K1546" s="15" t="str">
        <f t="shared" si="3"/>
        <v>Media</v>
      </c>
    </row>
    <row r="1547" ht="14.25" customHeight="1">
      <c r="A1547" s="6" t="s">
        <v>3162</v>
      </c>
      <c r="B1547" s="27" t="s">
        <v>2780</v>
      </c>
      <c r="C1547" s="10">
        <v>3.0</v>
      </c>
      <c r="D1547" s="10">
        <v>1.0</v>
      </c>
      <c r="E1547" s="10">
        <v>3.0</v>
      </c>
      <c r="F1547" s="10">
        <v>2.0</v>
      </c>
      <c r="G1547" s="10">
        <v>1.0</v>
      </c>
      <c r="H1547" s="12">
        <f t="shared" si="1"/>
        <v>2.344</v>
      </c>
      <c r="I1547" s="13">
        <v>1.0</v>
      </c>
      <c r="J1547" s="14">
        <f t="shared" si="2"/>
        <v>2.344</v>
      </c>
      <c r="K1547" s="15" t="str">
        <f t="shared" si="3"/>
        <v>Baja</v>
      </c>
    </row>
    <row r="1548" ht="14.25" customHeight="1">
      <c r="A1548" s="6" t="s">
        <v>3162</v>
      </c>
      <c r="B1548" s="27" t="s">
        <v>3427</v>
      </c>
      <c r="C1548" s="10">
        <v>3.0</v>
      </c>
      <c r="D1548" s="10">
        <v>1.0</v>
      </c>
      <c r="E1548" s="10">
        <v>3.0</v>
      </c>
      <c r="F1548" s="10">
        <v>1.0</v>
      </c>
      <c r="G1548" s="10">
        <v>1.0</v>
      </c>
      <c r="H1548" s="12">
        <f t="shared" si="1"/>
        <v>2.248</v>
      </c>
      <c r="I1548" s="13">
        <v>2.0</v>
      </c>
      <c r="J1548" s="14">
        <f t="shared" si="2"/>
        <v>4.496</v>
      </c>
      <c r="K1548" s="15" t="str">
        <f t="shared" si="3"/>
        <v>Media</v>
      </c>
    </row>
    <row r="1549" ht="14.25" customHeight="1">
      <c r="A1549" s="6" t="s">
        <v>3162</v>
      </c>
      <c r="B1549" s="27" t="s">
        <v>3428</v>
      </c>
      <c r="C1549" s="10">
        <v>2.0</v>
      </c>
      <c r="D1549" s="10">
        <v>1.0</v>
      </c>
      <c r="E1549" s="10">
        <v>3.0</v>
      </c>
      <c r="F1549" s="10">
        <v>2.0</v>
      </c>
      <c r="G1549" s="10">
        <v>1.0</v>
      </c>
      <c r="H1549" s="12">
        <f t="shared" si="1"/>
        <v>1.96</v>
      </c>
      <c r="I1549" s="13">
        <v>2.0</v>
      </c>
      <c r="J1549" s="14">
        <f t="shared" si="2"/>
        <v>3.92</v>
      </c>
      <c r="K1549" s="15" t="str">
        <f t="shared" si="3"/>
        <v>Baja</v>
      </c>
    </row>
    <row r="1550" ht="14.25" customHeight="1">
      <c r="A1550" s="6" t="s">
        <v>3167</v>
      </c>
      <c r="B1550" s="9" t="s">
        <v>1246</v>
      </c>
      <c r="C1550" s="10">
        <v>3.0</v>
      </c>
      <c r="D1550" s="10">
        <v>2.0</v>
      </c>
      <c r="E1550" s="10">
        <v>3.0</v>
      </c>
      <c r="F1550" s="10">
        <v>1.0</v>
      </c>
      <c r="G1550" s="10">
        <v>1.0</v>
      </c>
      <c r="H1550" s="12">
        <f t="shared" si="1"/>
        <v>2.428</v>
      </c>
      <c r="I1550" s="13">
        <v>3.0</v>
      </c>
      <c r="J1550" s="14">
        <f t="shared" si="2"/>
        <v>7.284</v>
      </c>
      <c r="K1550" s="15" t="str">
        <f t="shared" si="3"/>
        <v>Media</v>
      </c>
    </row>
    <row r="1551" ht="14.25" customHeight="1">
      <c r="A1551" s="6" t="s">
        <v>3167</v>
      </c>
      <c r="B1551" s="9" t="s">
        <v>1248</v>
      </c>
      <c r="C1551" s="10">
        <v>3.0</v>
      </c>
      <c r="D1551" s="10">
        <v>2.0</v>
      </c>
      <c r="E1551" s="10">
        <v>2.0</v>
      </c>
      <c r="F1551" s="10">
        <v>2.0</v>
      </c>
      <c r="G1551" s="10">
        <v>1.0</v>
      </c>
      <c r="H1551" s="12">
        <f t="shared" si="1"/>
        <v>2.284</v>
      </c>
      <c r="I1551" s="13">
        <v>2.0</v>
      </c>
      <c r="J1551" s="14">
        <f t="shared" si="2"/>
        <v>4.568</v>
      </c>
      <c r="K1551" s="15" t="str">
        <f t="shared" si="3"/>
        <v>Media</v>
      </c>
    </row>
    <row r="1552" ht="14.25" customHeight="1">
      <c r="A1552" s="6" t="s">
        <v>3167</v>
      </c>
      <c r="B1552" s="9" t="s">
        <v>1255</v>
      </c>
      <c r="C1552" s="10">
        <v>2.0</v>
      </c>
      <c r="D1552" s="10">
        <v>1.0</v>
      </c>
      <c r="E1552" s="10">
        <v>2.0</v>
      </c>
      <c r="F1552" s="10">
        <v>1.0</v>
      </c>
      <c r="G1552" s="10">
        <v>1.0</v>
      </c>
      <c r="H1552" s="12">
        <f t="shared" si="1"/>
        <v>1.624</v>
      </c>
      <c r="I1552" s="13">
        <v>2.0</v>
      </c>
      <c r="J1552" s="14">
        <f t="shared" si="2"/>
        <v>3.248</v>
      </c>
      <c r="K1552" s="15" t="str">
        <f t="shared" si="3"/>
        <v>Baja</v>
      </c>
    </row>
    <row r="1553" ht="14.25" customHeight="1">
      <c r="A1553" s="6" t="s">
        <v>3167</v>
      </c>
      <c r="B1553" s="9" t="s">
        <v>1259</v>
      </c>
      <c r="C1553" s="10">
        <v>2.0</v>
      </c>
      <c r="D1553" s="10">
        <v>1.0</v>
      </c>
      <c r="E1553" s="10">
        <v>2.0</v>
      </c>
      <c r="F1553" s="10">
        <v>2.0</v>
      </c>
      <c r="G1553" s="10">
        <v>1.0</v>
      </c>
      <c r="H1553" s="12">
        <f t="shared" si="1"/>
        <v>1.72</v>
      </c>
      <c r="I1553" s="13">
        <v>2.0</v>
      </c>
      <c r="J1553" s="14">
        <f t="shared" si="2"/>
        <v>3.44</v>
      </c>
      <c r="K1553" s="15" t="str">
        <f t="shared" si="3"/>
        <v>Baja</v>
      </c>
    </row>
    <row r="1554" ht="14.25" customHeight="1">
      <c r="A1554" s="6" t="s">
        <v>3167</v>
      </c>
      <c r="B1554" s="9" t="s">
        <v>1265</v>
      </c>
      <c r="C1554" s="10">
        <v>2.0</v>
      </c>
      <c r="D1554" s="10">
        <v>1.0</v>
      </c>
      <c r="E1554" s="10">
        <v>2.0</v>
      </c>
      <c r="F1554" s="10">
        <v>1.0</v>
      </c>
      <c r="G1554" s="10">
        <v>1.0</v>
      </c>
      <c r="H1554" s="12">
        <f t="shared" si="1"/>
        <v>1.624</v>
      </c>
      <c r="I1554" s="13">
        <v>3.0</v>
      </c>
      <c r="J1554" s="14">
        <f t="shared" si="2"/>
        <v>4.872</v>
      </c>
      <c r="K1554" s="15" t="str">
        <f t="shared" si="3"/>
        <v>Media</v>
      </c>
    </row>
    <row r="1555" ht="14.25" customHeight="1">
      <c r="A1555" s="6" t="s">
        <v>3167</v>
      </c>
      <c r="B1555" s="9" t="s">
        <v>1275</v>
      </c>
      <c r="C1555" s="10">
        <v>2.0</v>
      </c>
      <c r="D1555" s="10">
        <v>1.0</v>
      </c>
      <c r="E1555" s="10">
        <v>2.0</v>
      </c>
      <c r="F1555" s="10">
        <v>1.0</v>
      </c>
      <c r="G1555" s="10">
        <v>1.0</v>
      </c>
      <c r="H1555" s="12">
        <f t="shared" si="1"/>
        <v>1.624</v>
      </c>
      <c r="I1555" s="13">
        <v>2.0</v>
      </c>
      <c r="J1555" s="14">
        <f t="shared" si="2"/>
        <v>3.248</v>
      </c>
      <c r="K1555" s="15" t="str">
        <f t="shared" si="3"/>
        <v>Baja</v>
      </c>
    </row>
    <row r="1556" ht="14.25" customHeight="1">
      <c r="A1556" s="6" t="s">
        <v>3172</v>
      </c>
      <c r="B1556" s="27" t="s">
        <v>3443</v>
      </c>
      <c r="C1556" s="10">
        <v>3.0</v>
      </c>
      <c r="D1556" s="10">
        <v>1.0</v>
      </c>
      <c r="E1556" s="10">
        <v>3.0</v>
      </c>
      <c r="F1556" s="10">
        <v>2.0</v>
      </c>
      <c r="G1556" s="10">
        <v>1.0</v>
      </c>
      <c r="H1556" s="12">
        <f t="shared" si="1"/>
        <v>2.344</v>
      </c>
      <c r="I1556" s="13">
        <v>3.0</v>
      </c>
      <c r="J1556" s="14">
        <f t="shared" si="2"/>
        <v>7.032</v>
      </c>
      <c r="K1556" s="15" t="str">
        <f t="shared" si="3"/>
        <v>Media</v>
      </c>
    </row>
    <row r="1557" ht="14.25" customHeight="1">
      <c r="A1557" s="6" t="s">
        <v>3172</v>
      </c>
      <c r="B1557" s="27" t="s">
        <v>3444</v>
      </c>
      <c r="C1557" s="10">
        <v>3.0</v>
      </c>
      <c r="D1557" s="10">
        <v>1.0</v>
      </c>
      <c r="E1557" s="10">
        <v>2.0</v>
      </c>
      <c r="F1557" s="10">
        <v>1.0</v>
      </c>
      <c r="G1557" s="10">
        <v>1.0</v>
      </c>
      <c r="H1557" s="12">
        <f t="shared" si="1"/>
        <v>2.008</v>
      </c>
      <c r="I1557" s="13">
        <v>2.0</v>
      </c>
      <c r="J1557" s="14">
        <f t="shared" si="2"/>
        <v>4.016</v>
      </c>
      <c r="K1557" s="15" t="str">
        <f t="shared" si="3"/>
        <v>Media</v>
      </c>
    </row>
    <row r="1558" ht="14.25" customHeight="1">
      <c r="A1558" s="6" t="s">
        <v>3172</v>
      </c>
      <c r="B1558" s="27" t="s">
        <v>3445</v>
      </c>
      <c r="C1558" s="10">
        <v>2.0</v>
      </c>
      <c r="D1558" s="10">
        <v>1.0</v>
      </c>
      <c r="E1558" s="10">
        <v>2.0</v>
      </c>
      <c r="F1558" s="10">
        <v>1.0</v>
      </c>
      <c r="G1558" s="10">
        <v>1.0</v>
      </c>
      <c r="H1558" s="12">
        <f t="shared" si="1"/>
        <v>1.624</v>
      </c>
      <c r="I1558" s="13">
        <v>2.0</v>
      </c>
      <c r="J1558" s="14">
        <f t="shared" si="2"/>
        <v>3.248</v>
      </c>
      <c r="K1558" s="15" t="str">
        <f t="shared" si="3"/>
        <v>Baja</v>
      </c>
    </row>
    <row r="1559" ht="14.25" customHeight="1">
      <c r="A1559" s="6" t="s">
        <v>3172</v>
      </c>
      <c r="B1559" s="27" t="s">
        <v>3448</v>
      </c>
      <c r="C1559" s="10">
        <v>2.0</v>
      </c>
      <c r="D1559" s="10">
        <v>1.0</v>
      </c>
      <c r="E1559" s="10">
        <v>3.0</v>
      </c>
      <c r="F1559" s="10">
        <v>2.0</v>
      </c>
      <c r="G1559" s="10">
        <v>1.0</v>
      </c>
      <c r="H1559" s="12">
        <f t="shared" si="1"/>
        <v>1.96</v>
      </c>
      <c r="I1559" s="13">
        <v>2.0</v>
      </c>
      <c r="J1559" s="14">
        <f t="shared" si="2"/>
        <v>3.92</v>
      </c>
      <c r="K1559" s="15" t="str">
        <f t="shared" si="3"/>
        <v>Baja</v>
      </c>
    </row>
    <row r="1560" ht="14.25" customHeight="1">
      <c r="A1560" s="6" t="s">
        <v>3179</v>
      </c>
      <c r="B1560" s="9" t="s">
        <v>1127</v>
      </c>
      <c r="C1560" s="10">
        <v>3.0</v>
      </c>
      <c r="D1560" s="10">
        <v>3.0</v>
      </c>
      <c r="E1560" s="10">
        <v>3.0</v>
      </c>
      <c r="F1560" s="10">
        <v>3.0</v>
      </c>
      <c r="G1560" s="10">
        <v>2.0</v>
      </c>
      <c r="H1560" s="12">
        <f t="shared" si="1"/>
        <v>2.9</v>
      </c>
      <c r="I1560" s="13">
        <v>1.0</v>
      </c>
      <c r="J1560" s="14">
        <f t="shared" si="2"/>
        <v>2.9</v>
      </c>
      <c r="K1560" s="15" t="str">
        <f t="shared" si="3"/>
        <v>Baja</v>
      </c>
    </row>
    <row r="1561" ht="14.25" customHeight="1">
      <c r="A1561" s="6" t="s">
        <v>3179</v>
      </c>
      <c r="B1561" s="9" t="s">
        <v>1134</v>
      </c>
      <c r="C1561" s="10">
        <v>2.0</v>
      </c>
      <c r="D1561" s="10">
        <v>2.0</v>
      </c>
      <c r="E1561" s="10">
        <v>3.0</v>
      </c>
      <c r="F1561" s="10">
        <v>3.0</v>
      </c>
      <c r="G1561" s="10">
        <v>1.0</v>
      </c>
      <c r="H1561" s="12">
        <f t="shared" si="1"/>
        <v>2.236</v>
      </c>
      <c r="I1561" s="13">
        <v>3.0</v>
      </c>
      <c r="J1561" s="14">
        <f t="shared" si="2"/>
        <v>6.708</v>
      </c>
      <c r="K1561" s="15" t="str">
        <f t="shared" si="3"/>
        <v>Media</v>
      </c>
    </row>
    <row r="1562" ht="14.25" customHeight="1">
      <c r="A1562" s="6" t="s">
        <v>3179</v>
      </c>
      <c r="B1562" s="9" t="s">
        <v>1141</v>
      </c>
      <c r="C1562" s="10">
        <v>2.0</v>
      </c>
      <c r="D1562" s="10">
        <v>2.0</v>
      </c>
      <c r="E1562" s="10">
        <v>2.0</v>
      </c>
      <c r="F1562" s="10">
        <v>1.0</v>
      </c>
      <c r="G1562" s="10">
        <v>1.0</v>
      </c>
      <c r="H1562" s="12">
        <f t="shared" si="1"/>
        <v>1.804</v>
      </c>
      <c r="I1562" s="13">
        <v>3.0</v>
      </c>
      <c r="J1562" s="14">
        <f t="shared" si="2"/>
        <v>5.412</v>
      </c>
      <c r="K1562" s="15" t="str">
        <f t="shared" si="3"/>
        <v>Media</v>
      </c>
    </row>
    <row r="1563" ht="14.25" customHeight="1">
      <c r="A1563" s="6" t="s">
        <v>3179</v>
      </c>
      <c r="B1563" s="9" t="s">
        <v>1147</v>
      </c>
      <c r="C1563" s="10">
        <v>2.0</v>
      </c>
      <c r="D1563" s="10">
        <v>2.0</v>
      </c>
      <c r="E1563" s="10">
        <v>3.0</v>
      </c>
      <c r="F1563" s="10">
        <v>3.0</v>
      </c>
      <c r="G1563" s="10">
        <v>1.0</v>
      </c>
      <c r="H1563" s="12">
        <f t="shared" si="1"/>
        <v>2.236</v>
      </c>
      <c r="I1563" s="13">
        <v>3.0</v>
      </c>
      <c r="J1563" s="14">
        <f t="shared" si="2"/>
        <v>6.708</v>
      </c>
      <c r="K1563" s="15" t="str">
        <f t="shared" si="3"/>
        <v>Media</v>
      </c>
    </row>
    <row r="1564" ht="14.25" customHeight="1">
      <c r="A1564" s="6" t="s">
        <v>3189</v>
      </c>
      <c r="B1564" s="27" t="s">
        <v>3491</v>
      </c>
      <c r="C1564" s="10">
        <v>2.0</v>
      </c>
      <c r="D1564" s="10">
        <v>1.0</v>
      </c>
      <c r="E1564" s="10">
        <v>3.0</v>
      </c>
      <c r="F1564" s="10">
        <v>2.0</v>
      </c>
      <c r="G1564" s="10">
        <v>1.0</v>
      </c>
      <c r="H1564" s="12">
        <f t="shared" si="1"/>
        <v>1.96</v>
      </c>
      <c r="I1564" s="13">
        <v>2.0</v>
      </c>
      <c r="J1564" s="14">
        <f t="shared" si="2"/>
        <v>3.92</v>
      </c>
      <c r="K1564" s="15" t="str">
        <f t="shared" si="3"/>
        <v>Baja</v>
      </c>
    </row>
    <row r="1565" ht="14.25" customHeight="1">
      <c r="A1565" s="6" t="s">
        <v>3189</v>
      </c>
      <c r="B1565" s="27" t="s">
        <v>3492</v>
      </c>
      <c r="C1565" s="10">
        <v>2.0</v>
      </c>
      <c r="D1565" s="10">
        <v>1.0</v>
      </c>
      <c r="E1565" s="10">
        <v>2.0</v>
      </c>
      <c r="F1565" s="10">
        <v>1.0</v>
      </c>
      <c r="G1565" s="10">
        <v>1.0</v>
      </c>
      <c r="H1565" s="12">
        <f t="shared" si="1"/>
        <v>1.624</v>
      </c>
      <c r="I1565" s="13">
        <v>3.0</v>
      </c>
      <c r="J1565" s="14">
        <f t="shared" si="2"/>
        <v>4.872</v>
      </c>
      <c r="K1565" s="15" t="str">
        <f t="shared" si="3"/>
        <v>Media</v>
      </c>
    </row>
    <row r="1566" ht="14.25" customHeight="1">
      <c r="A1566" s="6" t="s">
        <v>3189</v>
      </c>
      <c r="B1566" s="27" t="s">
        <v>3493</v>
      </c>
      <c r="C1566" s="10">
        <v>1.0</v>
      </c>
      <c r="D1566" s="10">
        <v>1.0</v>
      </c>
      <c r="E1566" s="10">
        <v>2.0</v>
      </c>
      <c r="F1566" s="10">
        <v>1.0</v>
      </c>
      <c r="G1566" s="10">
        <v>1.0</v>
      </c>
      <c r="H1566" s="12">
        <f t="shared" si="1"/>
        <v>1.24</v>
      </c>
      <c r="I1566" s="13">
        <v>2.0</v>
      </c>
      <c r="J1566" s="14">
        <f t="shared" si="2"/>
        <v>2.48</v>
      </c>
      <c r="K1566" s="15" t="str">
        <f t="shared" si="3"/>
        <v>Baja</v>
      </c>
    </row>
    <row r="1567" ht="14.25" customHeight="1">
      <c r="A1567" s="6" t="s">
        <v>3189</v>
      </c>
      <c r="B1567" s="27" t="s">
        <v>3495</v>
      </c>
      <c r="C1567" s="10">
        <v>1.0</v>
      </c>
      <c r="D1567" s="10">
        <v>1.0</v>
      </c>
      <c r="E1567" s="10">
        <v>2.0</v>
      </c>
      <c r="F1567" s="10">
        <v>1.0</v>
      </c>
      <c r="G1567" s="10">
        <v>1.0</v>
      </c>
      <c r="H1567" s="12">
        <f t="shared" si="1"/>
        <v>1.24</v>
      </c>
      <c r="I1567" s="13">
        <v>2.0</v>
      </c>
      <c r="J1567" s="14">
        <f t="shared" si="2"/>
        <v>2.48</v>
      </c>
      <c r="K1567" s="15" t="str">
        <f t="shared" si="3"/>
        <v>Baja</v>
      </c>
    </row>
    <row r="1568" ht="14.25" customHeight="1">
      <c r="A1568" s="6" t="s">
        <v>3195</v>
      </c>
      <c r="B1568" s="9" t="s">
        <v>1246</v>
      </c>
      <c r="C1568" s="10">
        <v>3.0</v>
      </c>
      <c r="D1568" s="10">
        <v>2.0</v>
      </c>
      <c r="E1568" s="10">
        <v>3.0</v>
      </c>
      <c r="F1568" s="10">
        <v>1.0</v>
      </c>
      <c r="G1568" s="10">
        <v>1.0</v>
      </c>
      <c r="H1568" s="12">
        <f t="shared" si="1"/>
        <v>2.428</v>
      </c>
      <c r="I1568" s="13">
        <v>3.0</v>
      </c>
      <c r="J1568" s="14">
        <f t="shared" si="2"/>
        <v>7.284</v>
      </c>
      <c r="K1568" s="15" t="str">
        <f t="shared" si="3"/>
        <v>Media</v>
      </c>
    </row>
    <row r="1569" ht="14.25" customHeight="1">
      <c r="A1569" s="6" t="s">
        <v>3195</v>
      </c>
      <c r="B1569" s="9" t="s">
        <v>1248</v>
      </c>
      <c r="C1569" s="10">
        <v>3.0</v>
      </c>
      <c r="D1569" s="10">
        <v>2.0</v>
      </c>
      <c r="E1569" s="10">
        <v>2.0</v>
      </c>
      <c r="F1569" s="10">
        <v>2.0</v>
      </c>
      <c r="G1569" s="10">
        <v>1.0</v>
      </c>
      <c r="H1569" s="12">
        <f t="shared" si="1"/>
        <v>2.284</v>
      </c>
      <c r="I1569" s="13">
        <v>2.0</v>
      </c>
      <c r="J1569" s="14">
        <f t="shared" si="2"/>
        <v>4.568</v>
      </c>
      <c r="K1569" s="15" t="str">
        <f t="shared" si="3"/>
        <v>Media</v>
      </c>
    </row>
    <row r="1570" ht="14.25" customHeight="1">
      <c r="A1570" s="6" t="s">
        <v>3195</v>
      </c>
      <c r="B1570" s="9" t="s">
        <v>1255</v>
      </c>
      <c r="C1570" s="10">
        <v>2.0</v>
      </c>
      <c r="D1570" s="10">
        <v>1.0</v>
      </c>
      <c r="E1570" s="10">
        <v>2.0</v>
      </c>
      <c r="F1570" s="10">
        <v>1.0</v>
      </c>
      <c r="G1570" s="10">
        <v>1.0</v>
      </c>
      <c r="H1570" s="12">
        <f t="shared" si="1"/>
        <v>1.624</v>
      </c>
      <c r="I1570" s="13">
        <v>2.0</v>
      </c>
      <c r="J1570" s="14">
        <f t="shared" si="2"/>
        <v>3.248</v>
      </c>
      <c r="K1570" s="15" t="str">
        <f t="shared" si="3"/>
        <v>Baja</v>
      </c>
    </row>
    <row r="1571" ht="14.25" customHeight="1">
      <c r="A1571" s="6" t="s">
        <v>3195</v>
      </c>
      <c r="B1571" s="9" t="s">
        <v>1259</v>
      </c>
      <c r="C1571" s="10">
        <v>2.0</v>
      </c>
      <c r="D1571" s="10">
        <v>1.0</v>
      </c>
      <c r="E1571" s="10">
        <v>2.0</v>
      </c>
      <c r="F1571" s="10">
        <v>2.0</v>
      </c>
      <c r="G1571" s="10">
        <v>1.0</v>
      </c>
      <c r="H1571" s="12">
        <f t="shared" si="1"/>
        <v>1.72</v>
      </c>
      <c r="I1571" s="13">
        <v>2.0</v>
      </c>
      <c r="J1571" s="14">
        <f t="shared" si="2"/>
        <v>3.44</v>
      </c>
      <c r="K1571" s="15" t="str">
        <f t="shared" si="3"/>
        <v>Baja</v>
      </c>
    </row>
    <row r="1572" ht="14.25" customHeight="1">
      <c r="A1572" s="6" t="s">
        <v>3195</v>
      </c>
      <c r="B1572" s="9" t="s">
        <v>1265</v>
      </c>
      <c r="C1572" s="10">
        <v>2.0</v>
      </c>
      <c r="D1572" s="10">
        <v>1.0</v>
      </c>
      <c r="E1572" s="10">
        <v>2.0</v>
      </c>
      <c r="F1572" s="10">
        <v>1.0</v>
      </c>
      <c r="G1572" s="10">
        <v>1.0</v>
      </c>
      <c r="H1572" s="12">
        <f t="shared" si="1"/>
        <v>1.624</v>
      </c>
      <c r="I1572" s="13">
        <v>3.0</v>
      </c>
      <c r="J1572" s="14">
        <f t="shared" si="2"/>
        <v>4.872</v>
      </c>
      <c r="K1572" s="15" t="str">
        <f t="shared" si="3"/>
        <v>Media</v>
      </c>
    </row>
    <row r="1573" ht="14.25" customHeight="1">
      <c r="A1573" s="6" t="s">
        <v>3195</v>
      </c>
      <c r="B1573" s="9" t="s">
        <v>1275</v>
      </c>
      <c r="C1573" s="10">
        <v>2.0</v>
      </c>
      <c r="D1573" s="10">
        <v>1.0</v>
      </c>
      <c r="E1573" s="10">
        <v>2.0</v>
      </c>
      <c r="F1573" s="10">
        <v>1.0</v>
      </c>
      <c r="G1573" s="10">
        <v>1.0</v>
      </c>
      <c r="H1573" s="12">
        <f t="shared" si="1"/>
        <v>1.624</v>
      </c>
      <c r="I1573" s="13">
        <v>2.0</v>
      </c>
      <c r="J1573" s="14">
        <f t="shared" si="2"/>
        <v>3.248</v>
      </c>
      <c r="K1573" s="15" t="str">
        <f t="shared" si="3"/>
        <v>Baja</v>
      </c>
    </row>
    <row r="1574" ht="14.25" customHeight="1">
      <c r="A1574" s="6" t="s">
        <v>3203</v>
      </c>
      <c r="B1574" s="27" t="s">
        <v>3960</v>
      </c>
      <c r="C1574" s="10">
        <v>1.0</v>
      </c>
      <c r="D1574" s="10">
        <v>2.0</v>
      </c>
      <c r="E1574" s="10">
        <v>3.0</v>
      </c>
      <c r="F1574" s="10">
        <v>2.0</v>
      </c>
      <c r="G1574" s="10">
        <v>1.0</v>
      </c>
      <c r="H1574" s="12">
        <f t="shared" si="1"/>
        <v>1.756</v>
      </c>
      <c r="I1574" s="13">
        <v>2.0</v>
      </c>
      <c r="J1574" s="14">
        <f t="shared" si="2"/>
        <v>3.512</v>
      </c>
      <c r="K1574" s="15" t="str">
        <f t="shared" si="3"/>
        <v>Baja</v>
      </c>
    </row>
    <row r="1575" ht="14.25" customHeight="1">
      <c r="A1575" s="6" t="s">
        <v>3203</v>
      </c>
      <c r="B1575" s="27" t="s">
        <v>3961</v>
      </c>
      <c r="C1575" s="10">
        <v>1.0</v>
      </c>
      <c r="D1575" s="10">
        <v>1.0</v>
      </c>
      <c r="E1575" s="10">
        <v>2.0</v>
      </c>
      <c r="F1575" s="10">
        <v>1.0</v>
      </c>
      <c r="G1575" s="10">
        <v>1.0</v>
      </c>
      <c r="H1575" s="12">
        <f t="shared" si="1"/>
        <v>1.24</v>
      </c>
      <c r="I1575" s="13">
        <v>2.0</v>
      </c>
      <c r="J1575" s="14">
        <f t="shared" si="2"/>
        <v>2.48</v>
      </c>
      <c r="K1575" s="15" t="str">
        <f t="shared" si="3"/>
        <v>Baja</v>
      </c>
    </row>
    <row r="1576" ht="14.25" customHeight="1">
      <c r="A1576" s="6" t="s">
        <v>3203</v>
      </c>
      <c r="B1576" s="27" t="s">
        <v>3962</v>
      </c>
      <c r="C1576" s="10">
        <v>1.0</v>
      </c>
      <c r="D1576" s="10">
        <v>1.0</v>
      </c>
      <c r="E1576" s="10">
        <v>2.0</v>
      </c>
      <c r="F1576" s="10">
        <v>1.0</v>
      </c>
      <c r="G1576" s="10">
        <v>1.0</v>
      </c>
      <c r="H1576" s="12">
        <f t="shared" si="1"/>
        <v>1.24</v>
      </c>
      <c r="I1576" s="13">
        <v>1.0</v>
      </c>
      <c r="J1576" s="14">
        <f t="shared" si="2"/>
        <v>1.24</v>
      </c>
      <c r="K1576" s="15" t="str">
        <f t="shared" si="3"/>
        <v>Baja</v>
      </c>
    </row>
    <row r="1577" ht="14.25" customHeight="1">
      <c r="A1577" s="6" t="s">
        <v>3214</v>
      </c>
      <c r="B1577" s="9" t="s">
        <v>1339</v>
      </c>
      <c r="C1577" s="10">
        <v>1.0</v>
      </c>
      <c r="D1577" s="10">
        <v>1.0</v>
      </c>
      <c r="E1577" s="10">
        <v>3.0</v>
      </c>
      <c r="F1577" s="10">
        <v>2.0</v>
      </c>
      <c r="G1577" s="10">
        <v>1.0</v>
      </c>
      <c r="H1577" s="12">
        <f t="shared" si="1"/>
        <v>1.576</v>
      </c>
      <c r="I1577" s="13">
        <v>3.0</v>
      </c>
      <c r="J1577" s="14">
        <f t="shared" si="2"/>
        <v>4.728</v>
      </c>
      <c r="K1577" s="15" t="str">
        <f t="shared" si="3"/>
        <v>Media</v>
      </c>
    </row>
    <row r="1578" ht="14.25" customHeight="1">
      <c r="A1578" s="6" t="s">
        <v>3214</v>
      </c>
      <c r="B1578" s="9" t="s">
        <v>1786</v>
      </c>
      <c r="C1578" s="10">
        <v>1.0</v>
      </c>
      <c r="D1578" s="10">
        <v>1.0</v>
      </c>
      <c r="E1578" s="10">
        <v>2.0</v>
      </c>
      <c r="F1578" s="10">
        <v>1.0</v>
      </c>
      <c r="G1578" s="10">
        <v>1.0</v>
      </c>
      <c r="H1578" s="12">
        <f t="shared" si="1"/>
        <v>1.24</v>
      </c>
      <c r="I1578" s="13">
        <v>3.0</v>
      </c>
      <c r="J1578" s="14">
        <f t="shared" si="2"/>
        <v>3.72</v>
      </c>
      <c r="K1578" s="15" t="str">
        <f t="shared" si="3"/>
        <v>Baja</v>
      </c>
    </row>
    <row r="1579" ht="14.25" customHeight="1">
      <c r="A1579" s="6" t="s">
        <v>3214</v>
      </c>
      <c r="B1579" s="9" t="s">
        <v>1350</v>
      </c>
      <c r="C1579" s="10">
        <v>1.0</v>
      </c>
      <c r="D1579" s="10">
        <v>1.0</v>
      </c>
      <c r="E1579" s="10">
        <v>2.0</v>
      </c>
      <c r="F1579" s="10">
        <v>1.0</v>
      </c>
      <c r="G1579" s="10">
        <v>1.0</v>
      </c>
      <c r="H1579" s="12">
        <f t="shared" si="1"/>
        <v>1.24</v>
      </c>
      <c r="I1579" s="13">
        <v>3.0</v>
      </c>
      <c r="J1579" s="14">
        <f t="shared" si="2"/>
        <v>3.72</v>
      </c>
      <c r="K1579" s="15" t="str">
        <f t="shared" si="3"/>
        <v>Baja</v>
      </c>
    </row>
    <row r="1580" ht="14.25" customHeight="1">
      <c r="A1580" s="6" t="s">
        <v>3214</v>
      </c>
      <c r="B1580" s="9" t="s">
        <v>1794</v>
      </c>
      <c r="C1580" s="10">
        <v>1.0</v>
      </c>
      <c r="D1580" s="10">
        <v>1.0</v>
      </c>
      <c r="E1580" s="10">
        <v>3.0</v>
      </c>
      <c r="F1580" s="10">
        <v>3.0</v>
      </c>
      <c r="G1580" s="10">
        <v>1.0</v>
      </c>
      <c r="H1580" s="12">
        <f t="shared" si="1"/>
        <v>1.672</v>
      </c>
      <c r="I1580" s="13">
        <v>2.0</v>
      </c>
      <c r="J1580" s="14">
        <f t="shared" si="2"/>
        <v>3.344</v>
      </c>
      <c r="K1580" s="15" t="str">
        <f t="shared" si="3"/>
        <v>Baja</v>
      </c>
    </row>
    <row r="1581" ht="14.25" customHeight="1">
      <c r="A1581" s="6" t="s">
        <v>3214</v>
      </c>
      <c r="B1581" s="9" t="s">
        <v>2376</v>
      </c>
      <c r="C1581" s="10">
        <v>1.0</v>
      </c>
      <c r="D1581" s="10">
        <v>1.0</v>
      </c>
      <c r="E1581" s="10">
        <v>2.0</v>
      </c>
      <c r="F1581" s="10">
        <v>1.0</v>
      </c>
      <c r="G1581" s="10">
        <v>1.0</v>
      </c>
      <c r="H1581" s="12">
        <f t="shared" si="1"/>
        <v>1.24</v>
      </c>
      <c r="I1581" s="13">
        <v>3.0</v>
      </c>
      <c r="J1581" s="14">
        <f t="shared" si="2"/>
        <v>3.72</v>
      </c>
      <c r="K1581" s="15" t="str">
        <f t="shared" si="3"/>
        <v>Baja</v>
      </c>
    </row>
    <row r="1582" ht="14.25" customHeight="1">
      <c r="A1582" s="6" t="s">
        <v>3224</v>
      </c>
      <c r="B1582" s="27" t="s">
        <v>3943</v>
      </c>
      <c r="C1582" s="10">
        <v>3.0</v>
      </c>
      <c r="D1582" s="10">
        <v>2.0</v>
      </c>
      <c r="E1582" s="10">
        <v>3.0</v>
      </c>
      <c r="F1582" s="10">
        <v>2.0</v>
      </c>
      <c r="G1582" s="10">
        <v>1.0</v>
      </c>
      <c r="H1582" s="12">
        <f t="shared" si="1"/>
        <v>2.524</v>
      </c>
      <c r="I1582" s="13">
        <v>3.0</v>
      </c>
      <c r="J1582" s="14">
        <f t="shared" si="2"/>
        <v>7.572</v>
      </c>
      <c r="K1582" s="15" t="str">
        <f t="shared" si="3"/>
        <v>Media</v>
      </c>
    </row>
    <row r="1583" ht="14.25" customHeight="1">
      <c r="A1583" s="6" t="s">
        <v>3224</v>
      </c>
      <c r="B1583" s="27" t="s">
        <v>3944</v>
      </c>
      <c r="C1583" s="10">
        <v>3.0</v>
      </c>
      <c r="D1583" s="10">
        <v>2.0</v>
      </c>
      <c r="E1583" s="10">
        <v>2.0</v>
      </c>
      <c r="F1583" s="10">
        <v>2.0</v>
      </c>
      <c r="G1583" s="10">
        <v>1.0</v>
      </c>
      <c r="H1583" s="12">
        <f t="shared" si="1"/>
        <v>2.284</v>
      </c>
      <c r="I1583" s="13">
        <v>3.0</v>
      </c>
      <c r="J1583" s="14">
        <f t="shared" si="2"/>
        <v>6.852</v>
      </c>
      <c r="K1583" s="15" t="str">
        <f t="shared" si="3"/>
        <v>Media</v>
      </c>
    </row>
    <row r="1584" ht="14.25" customHeight="1">
      <c r="A1584" s="6" t="s">
        <v>3224</v>
      </c>
      <c r="B1584" s="27" t="s">
        <v>3945</v>
      </c>
      <c r="C1584" s="10">
        <v>2.0</v>
      </c>
      <c r="D1584" s="10">
        <v>1.0</v>
      </c>
      <c r="E1584" s="10">
        <v>3.0</v>
      </c>
      <c r="F1584" s="10">
        <v>2.0</v>
      </c>
      <c r="G1584" s="10">
        <v>1.0</v>
      </c>
      <c r="H1584" s="12">
        <f t="shared" si="1"/>
        <v>1.96</v>
      </c>
      <c r="I1584" s="13">
        <v>2.0</v>
      </c>
      <c r="J1584" s="14">
        <f t="shared" si="2"/>
        <v>3.92</v>
      </c>
      <c r="K1584" s="15" t="str">
        <f t="shared" si="3"/>
        <v>Baja</v>
      </c>
    </row>
    <row r="1585" ht="14.25" customHeight="1">
      <c r="A1585" s="6" t="s">
        <v>3224</v>
      </c>
      <c r="B1585" s="27" t="s">
        <v>3946</v>
      </c>
      <c r="C1585" s="10">
        <v>2.0</v>
      </c>
      <c r="D1585" s="10">
        <v>1.0</v>
      </c>
      <c r="E1585" s="10">
        <v>2.0</v>
      </c>
      <c r="F1585" s="10">
        <v>2.0</v>
      </c>
      <c r="G1585" s="10">
        <v>1.0</v>
      </c>
      <c r="H1585" s="12">
        <f t="shared" si="1"/>
        <v>1.72</v>
      </c>
      <c r="I1585" s="13">
        <v>1.0</v>
      </c>
      <c r="J1585" s="14">
        <f t="shared" si="2"/>
        <v>1.72</v>
      </c>
      <c r="K1585" s="15" t="str">
        <f t="shared" si="3"/>
        <v>Baja</v>
      </c>
    </row>
    <row r="1586" ht="14.25" customHeight="1">
      <c r="A1586" s="6" t="s">
        <v>3224</v>
      </c>
      <c r="B1586" s="27" t="s">
        <v>3947</v>
      </c>
      <c r="C1586" s="10">
        <v>2.0</v>
      </c>
      <c r="D1586" s="10">
        <v>1.0</v>
      </c>
      <c r="E1586" s="10">
        <v>2.0</v>
      </c>
      <c r="F1586" s="10">
        <v>2.0</v>
      </c>
      <c r="G1586" s="10">
        <v>1.0</v>
      </c>
      <c r="H1586" s="12">
        <f t="shared" si="1"/>
        <v>1.72</v>
      </c>
      <c r="I1586" s="13">
        <v>2.0</v>
      </c>
      <c r="J1586" s="14">
        <f t="shared" si="2"/>
        <v>3.44</v>
      </c>
      <c r="K1586" s="15" t="str">
        <f t="shared" si="3"/>
        <v>Baja</v>
      </c>
    </row>
    <row r="1587" ht="14.25" customHeight="1">
      <c r="A1587" s="6" t="s">
        <v>3228</v>
      </c>
      <c r="B1587" s="9" t="s">
        <v>3943</v>
      </c>
      <c r="C1587" s="10">
        <v>3.0</v>
      </c>
      <c r="D1587" s="10">
        <v>2.0</v>
      </c>
      <c r="E1587" s="10">
        <v>3.0</v>
      </c>
      <c r="F1587" s="10">
        <v>2.0</v>
      </c>
      <c r="G1587" s="10">
        <v>1.0</v>
      </c>
      <c r="H1587" s="12">
        <f t="shared" si="1"/>
        <v>2.524</v>
      </c>
      <c r="I1587" s="13">
        <v>3.0</v>
      </c>
      <c r="J1587" s="14">
        <f t="shared" si="2"/>
        <v>7.572</v>
      </c>
      <c r="K1587" s="15" t="str">
        <f t="shared" si="3"/>
        <v>Media</v>
      </c>
    </row>
    <row r="1588" ht="14.25" customHeight="1">
      <c r="A1588" s="6" t="s">
        <v>3228</v>
      </c>
      <c r="B1588" s="9" t="s">
        <v>3948</v>
      </c>
      <c r="C1588" s="10">
        <v>2.0</v>
      </c>
      <c r="D1588" s="10">
        <v>1.0</v>
      </c>
      <c r="E1588" s="10">
        <v>2.0</v>
      </c>
      <c r="F1588" s="10">
        <v>2.0</v>
      </c>
      <c r="G1588" s="10">
        <v>1.0</v>
      </c>
      <c r="H1588" s="12">
        <f t="shared" si="1"/>
        <v>1.72</v>
      </c>
      <c r="I1588" s="13">
        <v>2.0</v>
      </c>
      <c r="J1588" s="14">
        <f t="shared" si="2"/>
        <v>3.44</v>
      </c>
      <c r="K1588" s="15" t="str">
        <f t="shared" si="3"/>
        <v>Baja</v>
      </c>
    </row>
    <row r="1589" ht="14.25" customHeight="1">
      <c r="A1589" s="6" t="s">
        <v>3228</v>
      </c>
      <c r="B1589" s="9" t="s">
        <v>3949</v>
      </c>
      <c r="C1589" s="10">
        <v>2.0</v>
      </c>
      <c r="D1589" s="10">
        <v>1.0</v>
      </c>
      <c r="E1589" s="10">
        <v>2.0</v>
      </c>
      <c r="F1589" s="10">
        <v>2.0</v>
      </c>
      <c r="G1589" s="10">
        <v>1.0</v>
      </c>
      <c r="H1589" s="12">
        <f t="shared" si="1"/>
        <v>1.72</v>
      </c>
      <c r="I1589" s="13">
        <v>3.0</v>
      </c>
      <c r="J1589" s="14">
        <f t="shared" si="2"/>
        <v>5.16</v>
      </c>
      <c r="K1589" s="15" t="str">
        <f t="shared" si="3"/>
        <v>Media</v>
      </c>
    </row>
    <row r="1590" ht="14.25" customHeight="1">
      <c r="A1590" s="6" t="s">
        <v>3229</v>
      </c>
      <c r="B1590" s="27" t="s">
        <v>3943</v>
      </c>
      <c r="C1590" s="10">
        <v>3.0</v>
      </c>
      <c r="D1590" s="10">
        <v>2.0</v>
      </c>
      <c r="E1590" s="10">
        <v>3.0</v>
      </c>
      <c r="F1590" s="10">
        <v>2.0</v>
      </c>
      <c r="G1590" s="10">
        <v>1.0</v>
      </c>
      <c r="H1590" s="12">
        <f t="shared" si="1"/>
        <v>2.524</v>
      </c>
      <c r="I1590" s="13">
        <v>3.0</v>
      </c>
      <c r="J1590" s="14">
        <f t="shared" si="2"/>
        <v>7.572</v>
      </c>
      <c r="K1590" s="15" t="str">
        <f t="shared" si="3"/>
        <v>Media</v>
      </c>
    </row>
    <row r="1591" ht="14.25" customHeight="1">
      <c r="A1591" s="6" t="s">
        <v>3229</v>
      </c>
      <c r="B1591" s="27" t="s">
        <v>3950</v>
      </c>
      <c r="C1591" s="10">
        <v>1.0</v>
      </c>
      <c r="D1591" s="10">
        <v>1.0</v>
      </c>
      <c r="E1591" s="10">
        <v>2.0</v>
      </c>
      <c r="F1591" s="10">
        <v>2.0</v>
      </c>
      <c r="G1591" s="10">
        <v>1.0</v>
      </c>
      <c r="H1591" s="12">
        <f t="shared" si="1"/>
        <v>1.336</v>
      </c>
      <c r="I1591" s="13">
        <v>2.0</v>
      </c>
      <c r="J1591" s="14">
        <f t="shared" si="2"/>
        <v>2.672</v>
      </c>
      <c r="K1591" s="15" t="str">
        <f t="shared" si="3"/>
        <v>Baja</v>
      </c>
    </row>
    <row r="1592" ht="14.25" customHeight="1">
      <c r="A1592" s="6" t="s">
        <v>3229</v>
      </c>
      <c r="B1592" s="27" t="s">
        <v>3951</v>
      </c>
      <c r="C1592" s="10">
        <v>1.0</v>
      </c>
      <c r="D1592" s="10">
        <v>1.0</v>
      </c>
      <c r="E1592" s="10">
        <v>2.0</v>
      </c>
      <c r="F1592" s="10">
        <v>2.0</v>
      </c>
      <c r="G1592" s="10">
        <v>1.0</v>
      </c>
      <c r="H1592" s="12">
        <f t="shared" si="1"/>
        <v>1.336</v>
      </c>
      <c r="I1592" s="13">
        <v>3.0</v>
      </c>
      <c r="J1592" s="14">
        <f t="shared" si="2"/>
        <v>4.008</v>
      </c>
      <c r="K1592" s="15" t="str">
        <f t="shared" si="3"/>
        <v>Media</v>
      </c>
    </row>
    <row r="1593" ht="14.25" customHeight="1">
      <c r="A1593" s="6" t="s">
        <v>3234</v>
      </c>
      <c r="B1593" s="9" t="s">
        <v>3963</v>
      </c>
      <c r="C1593" s="10">
        <v>1.0</v>
      </c>
      <c r="D1593" s="10">
        <v>1.0</v>
      </c>
      <c r="E1593" s="10">
        <v>3.0</v>
      </c>
      <c r="F1593" s="10">
        <v>2.0</v>
      </c>
      <c r="G1593" s="10">
        <v>1.0</v>
      </c>
      <c r="H1593" s="12">
        <f t="shared" si="1"/>
        <v>1.576</v>
      </c>
      <c r="I1593" s="13">
        <v>3.0</v>
      </c>
      <c r="J1593" s="14">
        <f t="shared" si="2"/>
        <v>4.728</v>
      </c>
      <c r="K1593" s="15" t="str">
        <f t="shared" si="3"/>
        <v>Media</v>
      </c>
    </row>
    <row r="1594" ht="14.25" customHeight="1">
      <c r="A1594" s="6" t="s">
        <v>3234</v>
      </c>
      <c r="B1594" s="9" t="s">
        <v>3964</v>
      </c>
      <c r="C1594" s="10">
        <v>1.0</v>
      </c>
      <c r="D1594" s="10">
        <v>1.0</v>
      </c>
      <c r="E1594" s="10">
        <v>3.0</v>
      </c>
      <c r="F1594" s="10">
        <v>2.0</v>
      </c>
      <c r="G1594" s="10">
        <v>1.0</v>
      </c>
      <c r="H1594" s="12">
        <f t="shared" si="1"/>
        <v>1.576</v>
      </c>
      <c r="I1594" s="13">
        <v>2.0</v>
      </c>
      <c r="J1594" s="14">
        <f t="shared" si="2"/>
        <v>3.152</v>
      </c>
      <c r="K1594" s="15" t="str">
        <f t="shared" si="3"/>
        <v>Baja</v>
      </c>
    </row>
    <row r="1595" ht="14.25" customHeight="1">
      <c r="A1595" s="6" t="s">
        <v>3234</v>
      </c>
      <c r="B1595" s="9" t="s">
        <v>3965</v>
      </c>
      <c r="C1595" s="10">
        <v>1.0</v>
      </c>
      <c r="D1595" s="10">
        <v>1.0</v>
      </c>
      <c r="E1595" s="10">
        <v>2.0</v>
      </c>
      <c r="F1595" s="10">
        <v>1.0</v>
      </c>
      <c r="G1595" s="10">
        <v>1.0</v>
      </c>
      <c r="H1595" s="12">
        <f t="shared" si="1"/>
        <v>1.24</v>
      </c>
      <c r="I1595" s="13">
        <v>2.0</v>
      </c>
      <c r="J1595" s="14">
        <f t="shared" si="2"/>
        <v>2.48</v>
      </c>
      <c r="K1595" s="15" t="str">
        <f t="shared" si="3"/>
        <v>Baja</v>
      </c>
    </row>
    <row r="1596" ht="14.25" customHeight="1">
      <c r="A1596" s="6" t="s">
        <v>3234</v>
      </c>
      <c r="B1596" s="9" t="s">
        <v>3966</v>
      </c>
      <c r="C1596" s="10">
        <v>1.0</v>
      </c>
      <c r="D1596" s="10">
        <v>1.0</v>
      </c>
      <c r="E1596" s="10">
        <v>2.0</v>
      </c>
      <c r="F1596" s="10">
        <v>1.0</v>
      </c>
      <c r="G1596" s="10">
        <v>1.0</v>
      </c>
      <c r="H1596" s="12">
        <f t="shared" si="1"/>
        <v>1.24</v>
      </c>
      <c r="I1596" s="13">
        <v>2.0</v>
      </c>
      <c r="J1596" s="14">
        <f t="shared" si="2"/>
        <v>2.48</v>
      </c>
      <c r="K1596" s="15" t="str">
        <f t="shared" si="3"/>
        <v>Baja</v>
      </c>
    </row>
    <row r="1597" ht="14.25" customHeight="1">
      <c r="A1597" s="6" t="s">
        <v>3245</v>
      </c>
      <c r="B1597" s="27" t="s">
        <v>3967</v>
      </c>
      <c r="C1597" s="10">
        <v>3.0</v>
      </c>
      <c r="D1597" s="10">
        <v>2.0</v>
      </c>
      <c r="E1597" s="10">
        <v>3.0</v>
      </c>
      <c r="F1597" s="10">
        <v>2.0</v>
      </c>
      <c r="G1597" s="10">
        <v>1.0</v>
      </c>
      <c r="H1597" s="12">
        <f t="shared" si="1"/>
        <v>2.524</v>
      </c>
      <c r="I1597" s="13">
        <v>2.0</v>
      </c>
      <c r="J1597" s="14">
        <f t="shared" si="2"/>
        <v>5.048</v>
      </c>
      <c r="K1597" s="15" t="str">
        <f t="shared" si="3"/>
        <v>Media</v>
      </c>
    </row>
    <row r="1598" ht="14.25" customHeight="1">
      <c r="A1598" s="6" t="s">
        <v>3245</v>
      </c>
      <c r="B1598" s="27" t="s">
        <v>3968</v>
      </c>
      <c r="C1598" s="10">
        <v>3.0</v>
      </c>
      <c r="D1598" s="10">
        <v>2.0</v>
      </c>
      <c r="E1598" s="10">
        <v>3.0</v>
      </c>
      <c r="F1598" s="10">
        <v>1.0</v>
      </c>
      <c r="G1598" s="10">
        <v>1.0</v>
      </c>
      <c r="H1598" s="12">
        <f t="shared" si="1"/>
        <v>2.428</v>
      </c>
      <c r="I1598" s="13">
        <v>1.0</v>
      </c>
      <c r="J1598" s="14">
        <f t="shared" si="2"/>
        <v>2.428</v>
      </c>
      <c r="K1598" s="15" t="str">
        <f t="shared" si="3"/>
        <v>Baja</v>
      </c>
    </row>
    <row r="1599" ht="14.25" customHeight="1">
      <c r="A1599" s="6" t="s">
        <v>3245</v>
      </c>
      <c r="B1599" s="27" t="s">
        <v>3969</v>
      </c>
      <c r="C1599" s="10">
        <v>2.0</v>
      </c>
      <c r="D1599" s="10">
        <v>1.0</v>
      </c>
      <c r="E1599" s="10">
        <v>3.0</v>
      </c>
      <c r="F1599" s="10">
        <v>1.0</v>
      </c>
      <c r="G1599" s="10">
        <v>1.0</v>
      </c>
      <c r="H1599" s="12">
        <f t="shared" si="1"/>
        <v>1.864</v>
      </c>
      <c r="I1599" s="13">
        <v>2.0</v>
      </c>
      <c r="J1599" s="14">
        <f t="shared" si="2"/>
        <v>3.728</v>
      </c>
      <c r="K1599" s="15" t="str">
        <f t="shared" si="3"/>
        <v>Baja</v>
      </c>
    </row>
    <row r="1600" ht="14.25" customHeight="1">
      <c r="A1600" s="6" t="s">
        <v>3254</v>
      </c>
      <c r="B1600" s="9" t="s">
        <v>3970</v>
      </c>
      <c r="C1600" s="10">
        <v>3.0</v>
      </c>
      <c r="D1600" s="10">
        <v>2.0</v>
      </c>
      <c r="E1600" s="10">
        <v>3.0</v>
      </c>
      <c r="F1600" s="10">
        <v>2.0</v>
      </c>
      <c r="G1600" s="10">
        <v>1.0</v>
      </c>
      <c r="H1600" s="12">
        <f t="shared" si="1"/>
        <v>2.524</v>
      </c>
      <c r="I1600" s="13">
        <v>2.0</v>
      </c>
      <c r="J1600" s="14">
        <f t="shared" si="2"/>
        <v>5.048</v>
      </c>
      <c r="K1600" s="15" t="str">
        <f t="shared" si="3"/>
        <v>Media</v>
      </c>
    </row>
    <row r="1601" ht="14.25" customHeight="1">
      <c r="A1601" s="6" t="s">
        <v>3254</v>
      </c>
      <c r="B1601" s="9" t="s">
        <v>3972</v>
      </c>
      <c r="C1601" s="10">
        <v>3.0</v>
      </c>
      <c r="D1601" s="10">
        <v>2.0</v>
      </c>
      <c r="E1601" s="10">
        <v>3.0</v>
      </c>
      <c r="F1601" s="10">
        <v>1.0</v>
      </c>
      <c r="G1601" s="10">
        <v>1.0</v>
      </c>
      <c r="H1601" s="12">
        <f t="shared" si="1"/>
        <v>2.428</v>
      </c>
      <c r="I1601" s="13">
        <v>2.0</v>
      </c>
      <c r="J1601" s="14">
        <f t="shared" si="2"/>
        <v>4.856</v>
      </c>
      <c r="K1601" s="15" t="str">
        <f t="shared" si="3"/>
        <v>Media</v>
      </c>
    </row>
    <row r="1602" ht="14.25" customHeight="1">
      <c r="A1602" s="6" t="s">
        <v>3254</v>
      </c>
      <c r="B1602" s="9" t="s">
        <v>3973</v>
      </c>
      <c r="C1602" s="10">
        <v>2.0</v>
      </c>
      <c r="D1602" s="10">
        <v>1.0</v>
      </c>
      <c r="E1602" s="10">
        <v>3.0</v>
      </c>
      <c r="F1602" s="10">
        <v>2.0</v>
      </c>
      <c r="G1602" s="10">
        <v>1.0</v>
      </c>
      <c r="H1602" s="12">
        <f t="shared" si="1"/>
        <v>1.96</v>
      </c>
      <c r="I1602" s="13">
        <v>3.0</v>
      </c>
      <c r="J1602" s="14">
        <f t="shared" si="2"/>
        <v>5.88</v>
      </c>
      <c r="K1602" s="15" t="str">
        <f t="shared" si="3"/>
        <v>Media</v>
      </c>
    </row>
    <row r="1603" ht="14.25" customHeight="1">
      <c r="A1603" s="6" t="s">
        <v>3254</v>
      </c>
      <c r="B1603" s="9" t="s">
        <v>3974</v>
      </c>
      <c r="C1603" s="10">
        <v>2.0</v>
      </c>
      <c r="D1603" s="10">
        <v>1.0</v>
      </c>
      <c r="E1603" s="10">
        <v>2.0</v>
      </c>
      <c r="F1603" s="10">
        <v>2.0</v>
      </c>
      <c r="G1603" s="10">
        <v>1.0</v>
      </c>
      <c r="H1603" s="12">
        <f t="shared" si="1"/>
        <v>1.72</v>
      </c>
      <c r="I1603" s="13">
        <v>2.0</v>
      </c>
      <c r="J1603" s="14">
        <f t="shared" si="2"/>
        <v>3.44</v>
      </c>
      <c r="K1603" s="15" t="str">
        <f t="shared" si="3"/>
        <v>Baja</v>
      </c>
    </row>
    <row r="1604" ht="14.25" customHeight="1">
      <c r="A1604" s="6" t="s">
        <v>3262</v>
      </c>
      <c r="B1604" s="27" t="s">
        <v>3975</v>
      </c>
      <c r="C1604" s="10">
        <v>1.0</v>
      </c>
      <c r="D1604" s="10">
        <v>2.0</v>
      </c>
      <c r="E1604" s="10">
        <v>3.0</v>
      </c>
      <c r="F1604" s="10">
        <v>3.0</v>
      </c>
      <c r="G1604" s="10">
        <v>1.0</v>
      </c>
      <c r="H1604" s="12">
        <f t="shared" si="1"/>
        <v>1.852</v>
      </c>
      <c r="I1604" s="13">
        <v>2.0</v>
      </c>
      <c r="J1604" s="14">
        <f t="shared" si="2"/>
        <v>3.704</v>
      </c>
      <c r="K1604" s="15" t="str">
        <f t="shared" si="3"/>
        <v>Baja</v>
      </c>
    </row>
    <row r="1605" ht="14.25" customHeight="1">
      <c r="A1605" s="6" t="s">
        <v>3262</v>
      </c>
      <c r="B1605" s="27" t="s">
        <v>3976</v>
      </c>
      <c r="C1605" s="10">
        <v>1.0</v>
      </c>
      <c r="D1605" s="10">
        <v>2.0</v>
      </c>
      <c r="E1605" s="10">
        <v>3.0</v>
      </c>
      <c r="F1605" s="10">
        <v>1.0</v>
      </c>
      <c r="G1605" s="10">
        <v>1.0</v>
      </c>
      <c r="H1605" s="12">
        <f t="shared" si="1"/>
        <v>1.66</v>
      </c>
      <c r="I1605" s="13">
        <v>2.0</v>
      </c>
      <c r="J1605" s="14">
        <f t="shared" si="2"/>
        <v>3.32</v>
      </c>
      <c r="K1605" s="15" t="str">
        <f t="shared" si="3"/>
        <v>Baja</v>
      </c>
    </row>
    <row r="1606" ht="14.25" customHeight="1">
      <c r="A1606" s="6" t="s">
        <v>3262</v>
      </c>
      <c r="B1606" s="27" t="s">
        <v>3978</v>
      </c>
      <c r="C1606" s="10">
        <v>1.0</v>
      </c>
      <c r="D1606" s="10">
        <v>1.0</v>
      </c>
      <c r="E1606" s="10">
        <v>2.0</v>
      </c>
      <c r="F1606" s="10">
        <v>1.0</v>
      </c>
      <c r="G1606" s="10">
        <v>1.0</v>
      </c>
      <c r="H1606" s="12">
        <f t="shared" si="1"/>
        <v>1.24</v>
      </c>
      <c r="I1606" s="13">
        <v>3.0</v>
      </c>
      <c r="J1606" s="14">
        <f t="shared" si="2"/>
        <v>3.72</v>
      </c>
      <c r="K1606" s="15" t="str">
        <f t="shared" si="3"/>
        <v>Baja</v>
      </c>
    </row>
    <row r="1607" ht="14.25" customHeight="1">
      <c r="A1607" s="6" t="s">
        <v>3262</v>
      </c>
      <c r="B1607" s="27" t="s">
        <v>3979</v>
      </c>
      <c r="C1607" s="10">
        <v>1.0</v>
      </c>
      <c r="D1607" s="10">
        <v>1.0</v>
      </c>
      <c r="E1607" s="10">
        <v>2.0</v>
      </c>
      <c r="F1607" s="10">
        <v>1.0</v>
      </c>
      <c r="G1607" s="10">
        <v>1.0</v>
      </c>
      <c r="H1607" s="12">
        <f t="shared" si="1"/>
        <v>1.24</v>
      </c>
      <c r="I1607" s="13">
        <v>3.0</v>
      </c>
      <c r="J1607" s="14">
        <f t="shared" si="2"/>
        <v>3.72</v>
      </c>
      <c r="K1607" s="15" t="str">
        <f t="shared" si="3"/>
        <v>Baja</v>
      </c>
    </row>
    <row r="1608" ht="14.25" customHeight="1">
      <c r="A1608" s="6" t="s">
        <v>3269</v>
      </c>
      <c r="B1608" s="9" t="s">
        <v>3980</v>
      </c>
      <c r="C1608" s="10">
        <v>4.0</v>
      </c>
      <c r="D1608" s="10">
        <v>2.0</v>
      </c>
      <c r="E1608" s="10">
        <v>2.0</v>
      </c>
      <c r="F1608" s="10">
        <v>1.0</v>
      </c>
      <c r="G1608" s="10">
        <v>1.0</v>
      </c>
      <c r="H1608" s="12">
        <f t="shared" si="1"/>
        <v>2.572</v>
      </c>
      <c r="I1608" s="13">
        <v>1.0</v>
      </c>
      <c r="J1608" s="14">
        <f t="shared" si="2"/>
        <v>2.572</v>
      </c>
      <c r="K1608" s="15" t="str">
        <f t="shared" si="3"/>
        <v>Baja</v>
      </c>
    </row>
    <row r="1609" ht="14.25" customHeight="1">
      <c r="A1609" s="6" t="s">
        <v>3269</v>
      </c>
      <c r="B1609" s="9" t="s">
        <v>3981</v>
      </c>
      <c r="C1609" s="10">
        <v>4.0</v>
      </c>
      <c r="D1609" s="10">
        <v>2.0</v>
      </c>
      <c r="E1609" s="10">
        <v>2.0</v>
      </c>
      <c r="F1609" s="10">
        <v>1.0</v>
      </c>
      <c r="G1609" s="10">
        <v>1.0</v>
      </c>
      <c r="H1609" s="12">
        <f t="shared" si="1"/>
        <v>2.572</v>
      </c>
      <c r="I1609" s="13">
        <v>3.0</v>
      </c>
      <c r="J1609" s="14">
        <f t="shared" si="2"/>
        <v>7.716</v>
      </c>
      <c r="K1609" s="15" t="str">
        <f t="shared" si="3"/>
        <v>Media</v>
      </c>
    </row>
    <row r="1610" ht="14.25" customHeight="1">
      <c r="A1610" s="6" t="s">
        <v>3269</v>
      </c>
      <c r="B1610" s="9" t="s">
        <v>3982</v>
      </c>
      <c r="C1610" s="10">
        <v>3.0</v>
      </c>
      <c r="D1610" s="10">
        <v>1.0</v>
      </c>
      <c r="E1610" s="10">
        <v>2.0</v>
      </c>
      <c r="F1610" s="10">
        <v>1.0</v>
      </c>
      <c r="G1610" s="10">
        <v>1.0</v>
      </c>
      <c r="H1610" s="12">
        <f t="shared" si="1"/>
        <v>2.008</v>
      </c>
      <c r="I1610" s="13">
        <v>2.0</v>
      </c>
      <c r="J1610" s="14">
        <f t="shared" si="2"/>
        <v>4.016</v>
      </c>
      <c r="K1610" s="15" t="str">
        <f t="shared" si="3"/>
        <v>Media</v>
      </c>
    </row>
    <row r="1611" ht="14.25" customHeight="1">
      <c r="A1611" s="6" t="s">
        <v>3269</v>
      </c>
      <c r="B1611" s="9" t="s">
        <v>3983</v>
      </c>
      <c r="C1611" s="10">
        <v>1.0</v>
      </c>
      <c r="D1611" s="10">
        <v>1.0</v>
      </c>
      <c r="E1611" s="10">
        <v>2.0</v>
      </c>
      <c r="F1611" s="10">
        <v>1.0</v>
      </c>
      <c r="G1611" s="10">
        <v>1.0</v>
      </c>
      <c r="H1611" s="12">
        <f t="shared" si="1"/>
        <v>1.24</v>
      </c>
      <c r="I1611" s="13">
        <v>2.0</v>
      </c>
      <c r="J1611" s="14">
        <f t="shared" si="2"/>
        <v>2.48</v>
      </c>
      <c r="K1611" s="15" t="str">
        <f t="shared" si="3"/>
        <v>Baja</v>
      </c>
    </row>
  </sheetData>
  <autoFilter ref="$A$2:$K$2"/>
  <conditionalFormatting sqref="K1:K1611">
    <cfRule type="cellIs" dxfId="0" priority="1" operator="equal">
      <formula>"Muy alta"</formula>
    </cfRule>
  </conditionalFormatting>
  <conditionalFormatting sqref="K1:K1611">
    <cfRule type="cellIs" dxfId="1" priority="2" operator="equal">
      <formula>"Alta"</formula>
    </cfRule>
  </conditionalFormatting>
  <conditionalFormatting sqref="K1:K1611">
    <cfRule type="cellIs" dxfId="2" priority="3" operator="equal">
      <formula>"Baja"</formula>
    </cfRule>
  </conditionalFormatting>
  <conditionalFormatting sqref="K1:K1611">
    <cfRule type="cellIs" dxfId="3" priority="4" operator="equal">
      <formula>"Media"</formula>
    </cfRule>
  </conditionalFormatting>
  <conditionalFormatting sqref="K1:K161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2026-10-08T17:52:19Z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0x0101001F26305FB359134DB775955F1E12C6AC</vt:lpwstr>
  </property>
</Properties>
</file>